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 activeTab="4"/>
  </bookViews>
  <sheets>
    <sheet name="D_地图数据" sheetId="4" r:id="rId1"/>
    <sheet name="D_关卡BOSS血条判断" sheetId="5" r:id="rId2"/>
    <sheet name="D_关卡怪物类型血条判断" sheetId="6" r:id="rId3"/>
    <sheet name="D_关卡评星奖励" sheetId="7" r:id="rId4"/>
    <sheet name="D_关卡占领奖励" sheetId="8" r:id="rId5"/>
    <sheet name="地图配置说明" sheetId="1" r:id="rId6"/>
    <sheet name="地图配置辅助表" sheetId="3" r:id="rId7"/>
    <sheet name="血条计算评估" sheetId="9" r:id="rId8"/>
  </sheets>
  <externalReferences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0" hidden="1">D_地图数据!$A$1:$BD$219</definedName>
    <definedName name="地图章节数据">地图配置辅助表!$A$2:$D$220</definedName>
    <definedName name="怪物难度系数查询">#REF!</definedName>
  </definedNames>
  <calcPr calcId="152511"/>
</workbook>
</file>

<file path=xl/calcChain.xml><?xml version="1.0" encoding="utf-8"?>
<calcChain xmlns="http://schemas.openxmlformats.org/spreadsheetml/2006/main">
  <c r="B221" i="4" l="1"/>
  <c r="B222" i="4"/>
  <c r="R210" i="3" l="1"/>
  <c r="AE214" i="4"/>
  <c r="AF214" i="4"/>
  <c r="W167" i="4" l="1"/>
  <c r="AB3" i="4" l="1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B106" i="4"/>
  <c r="AB107" i="4"/>
  <c r="AB108" i="4"/>
  <c r="AB109" i="4"/>
  <c r="AB110" i="4"/>
  <c r="AB111" i="4"/>
  <c r="AB112" i="4"/>
  <c r="AB113" i="4"/>
  <c r="AB114" i="4"/>
  <c r="AB115" i="4"/>
  <c r="AB116" i="4"/>
  <c r="AB117" i="4"/>
  <c r="AB118" i="4"/>
  <c r="AB119" i="4"/>
  <c r="AB120" i="4"/>
  <c r="AB121" i="4"/>
  <c r="AB122" i="4"/>
  <c r="AB123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B146" i="4"/>
  <c r="AB147" i="4"/>
  <c r="AB148" i="4"/>
  <c r="AB149" i="4"/>
  <c r="AB150" i="4"/>
  <c r="AB151" i="4"/>
  <c r="AB152" i="4"/>
  <c r="AB153" i="4"/>
  <c r="AB154" i="4"/>
  <c r="AB155" i="4"/>
  <c r="AB156" i="4"/>
  <c r="AB157" i="4"/>
  <c r="AB158" i="4"/>
  <c r="AB159" i="4"/>
  <c r="AB160" i="4"/>
  <c r="AB161" i="4"/>
  <c r="AB162" i="4"/>
  <c r="AB163" i="4"/>
  <c r="AB164" i="4"/>
  <c r="AB165" i="4"/>
  <c r="AB166" i="4"/>
  <c r="AB167" i="4"/>
  <c r="AB168" i="4"/>
  <c r="AB169" i="4"/>
  <c r="AB170" i="4"/>
  <c r="AB171" i="4"/>
  <c r="AB172" i="4"/>
  <c r="AB173" i="4"/>
  <c r="AB174" i="4"/>
  <c r="AB175" i="4"/>
  <c r="AB176" i="4"/>
  <c r="AB177" i="4"/>
  <c r="AB178" i="4"/>
  <c r="AB179" i="4"/>
  <c r="AB180" i="4"/>
  <c r="AB181" i="4"/>
  <c r="AB182" i="4"/>
  <c r="AB183" i="4"/>
  <c r="AB184" i="4"/>
  <c r="AB185" i="4"/>
  <c r="AB186" i="4"/>
  <c r="AB187" i="4"/>
  <c r="AB188" i="4"/>
  <c r="AB189" i="4"/>
  <c r="AB190" i="4"/>
  <c r="AB191" i="4"/>
  <c r="AB192" i="4"/>
  <c r="AB193" i="4"/>
  <c r="AB194" i="4"/>
  <c r="AB195" i="4"/>
  <c r="AB196" i="4"/>
  <c r="AB197" i="4"/>
  <c r="AB198" i="4"/>
  <c r="AB199" i="4"/>
  <c r="AB200" i="4"/>
  <c r="AB201" i="4"/>
  <c r="AB202" i="4"/>
  <c r="AB203" i="4"/>
  <c r="AB204" i="4"/>
  <c r="AB205" i="4"/>
  <c r="AB206" i="4"/>
  <c r="AB207" i="4"/>
  <c r="AB208" i="4"/>
  <c r="AB209" i="4"/>
  <c r="AB210" i="4"/>
  <c r="AB211" i="4"/>
  <c r="AB212" i="4"/>
  <c r="AB213" i="4"/>
  <c r="AB214" i="4"/>
  <c r="AB215" i="4"/>
  <c r="AB216" i="4"/>
  <c r="AB217" i="4"/>
  <c r="AB218" i="4"/>
  <c r="AB219" i="4"/>
  <c r="AB220" i="4"/>
  <c r="AB221" i="4"/>
  <c r="AB222" i="4"/>
  <c r="AB2" i="4"/>
  <c r="E179" i="3" l="1"/>
  <c r="E178" i="3"/>
  <c r="S169" i="3" l="1"/>
  <c r="S170" i="3"/>
  <c r="S171" i="3"/>
  <c r="S172" i="3"/>
  <c r="S173" i="3"/>
  <c r="S174" i="3"/>
  <c r="S175" i="3"/>
  <c r="S176" i="3"/>
  <c r="S177" i="3"/>
  <c r="S178" i="3"/>
  <c r="S179" i="3"/>
  <c r="S180" i="3"/>
  <c r="S181" i="3"/>
  <c r="S168" i="3"/>
  <c r="E168" i="3" l="1"/>
  <c r="P169" i="3"/>
  <c r="P170" i="3"/>
  <c r="P171" i="3"/>
  <c r="P172" i="3"/>
  <c r="P173" i="3"/>
  <c r="P174" i="3"/>
  <c r="P175" i="3"/>
  <c r="P176" i="3"/>
  <c r="P177" i="3"/>
  <c r="P178" i="3"/>
  <c r="A222" i="4" l="1"/>
  <c r="Z222" i="4" s="1"/>
  <c r="C222" i="4"/>
  <c r="D222" i="4"/>
  <c r="AL222" i="4"/>
  <c r="AM222" i="4"/>
  <c r="AN222" i="4"/>
  <c r="BD222" i="4"/>
  <c r="BC222" i="4" l="1"/>
  <c r="AK222" i="4"/>
  <c r="AX222" i="4"/>
  <c r="AF222" i="4"/>
  <c r="AW222" i="4"/>
  <c r="AA222" i="4"/>
  <c r="AV222" i="4"/>
  <c r="V222" i="4"/>
  <c r="AU222" i="4"/>
  <c r="U222" i="4"/>
  <c r="AT222" i="4"/>
  <c r="AD222" i="4"/>
  <c r="AO222" i="4"/>
  <c r="AC222" i="4"/>
  <c r="AE222" i="4"/>
  <c r="BB222" i="4"/>
  <c r="AS222" i="4"/>
  <c r="AJ222" i="4"/>
  <c r="Y222" i="4"/>
  <c r="BA222" i="4"/>
  <c r="AR222" i="4"/>
  <c r="AH222" i="4"/>
  <c r="X222" i="4"/>
  <c r="AZ222" i="4"/>
  <c r="AP222" i="4"/>
  <c r="AG222" i="4"/>
  <c r="W222" i="4"/>
  <c r="AY222" i="4"/>
  <c r="AQ222" i="4"/>
  <c r="AI222" i="4"/>
  <c r="P102" i="3" l="1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93" i="3"/>
  <c r="P57" i="3" l="1"/>
  <c r="P48" i="3"/>
  <c r="P39" i="3"/>
  <c r="P30" i="3"/>
  <c r="P22" i="3"/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4" i="4"/>
  <c r="E84" i="4" s="1"/>
  <c r="D85" i="4"/>
  <c r="E85" i="4" s="1"/>
  <c r="D86" i="4"/>
  <c r="E86" i="4" s="1"/>
  <c r="D87" i="4"/>
  <c r="E87" i="4" s="1"/>
  <c r="D88" i="4"/>
  <c r="E88" i="4" s="1"/>
  <c r="D89" i="4"/>
  <c r="E89" i="4" s="1"/>
  <c r="D90" i="4"/>
  <c r="E90" i="4" s="1"/>
  <c r="D91" i="4"/>
  <c r="E91" i="4" s="1"/>
  <c r="D92" i="4"/>
  <c r="E92" i="4" s="1"/>
  <c r="D93" i="4"/>
  <c r="E93" i="4" s="1"/>
  <c r="D94" i="4"/>
  <c r="E94" i="4" s="1"/>
  <c r="D95" i="4"/>
  <c r="E95" i="4" s="1"/>
  <c r="D96" i="4"/>
  <c r="E96" i="4" s="1"/>
  <c r="D97" i="4"/>
  <c r="E97" i="4" s="1"/>
  <c r="D98" i="4"/>
  <c r="E98" i="4" s="1"/>
  <c r="D99" i="4"/>
  <c r="E99" i="4" s="1"/>
  <c r="D100" i="4"/>
  <c r="E100" i="4" s="1"/>
  <c r="D101" i="4"/>
  <c r="E101" i="4" s="1"/>
  <c r="D102" i="4"/>
  <c r="E102" i="4" s="1"/>
  <c r="D103" i="4"/>
  <c r="E103" i="4" s="1"/>
  <c r="D104" i="4"/>
  <c r="E104" i="4" s="1"/>
  <c r="D105" i="4"/>
  <c r="E105" i="4" s="1"/>
  <c r="D106" i="4"/>
  <c r="E106" i="4" s="1"/>
  <c r="D107" i="4"/>
  <c r="E107" i="4" s="1"/>
  <c r="D108" i="4"/>
  <c r="E108" i="4" s="1"/>
  <c r="D109" i="4"/>
  <c r="E109" i="4" s="1"/>
  <c r="D110" i="4"/>
  <c r="E110" i="4" s="1"/>
  <c r="D111" i="4"/>
  <c r="E111" i="4" s="1"/>
  <c r="D112" i="4"/>
  <c r="E112" i="4" s="1"/>
  <c r="D113" i="4"/>
  <c r="E113" i="4" s="1"/>
  <c r="D114" i="4"/>
  <c r="E114" i="4" s="1"/>
  <c r="D115" i="4"/>
  <c r="E115" i="4" s="1"/>
  <c r="D116" i="4"/>
  <c r="E116" i="4" s="1"/>
  <c r="D117" i="4"/>
  <c r="E117" i="4" s="1"/>
  <c r="D118" i="4"/>
  <c r="E118" i="4" s="1"/>
  <c r="D119" i="4"/>
  <c r="E119" i="4" s="1"/>
  <c r="D120" i="4"/>
  <c r="E120" i="4" s="1"/>
  <c r="D121" i="4"/>
  <c r="E121" i="4" s="1"/>
  <c r="D122" i="4"/>
  <c r="E122" i="4" s="1"/>
  <c r="D123" i="4"/>
  <c r="E123" i="4" s="1"/>
  <c r="D124" i="4"/>
  <c r="E124" i="4" s="1"/>
  <c r="D125" i="4"/>
  <c r="E125" i="4" s="1"/>
  <c r="D126" i="4"/>
  <c r="E126" i="4" s="1"/>
  <c r="D127" i="4"/>
  <c r="E127" i="4" s="1"/>
  <c r="D128" i="4"/>
  <c r="E128" i="4" s="1"/>
  <c r="D129" i="4"/>
  <c r="E129" i="4" s="1"/>
  <c r="D130" i="4"/>
  <c r="E130" i="4" s="1"/>
  <c r="D131" i="4"/>
  <c r="E131" i="4" s="1"/>
  <c r="D132" i="4"/>
  <c r="E132" i="4" s="1"/>
  <c r="D133" i="4"/>
  <c r="E133" i="4" s="1"/>
  <c r="D134" i="4"/>
  <c r="E134" i="4" s="1"/>
  <c r="D135" i="4"/>
  <c r="E135" i="4" s="1"/>
  <c r="D136" i="4"/>
  <c r="E136" i="4" s="1"/>
  <c r="D137" i="4"/>
  <c r="E137" i="4" s="1"/>
  <c r="D138" i="4"/>
  <c r="E138" i="4" s="1"/>
  <c r="D139" i="4"/>
  <c r="E139" i="4" s="1"/>
  <c r="D140" i="4"/>
  <c r="E140" i="4" s="1"/>
  <c r="D141" i="4"/>
  <c r="E141" i="4" s="1"/>
  <c r="D142" i="4"/>
  <c r="E142" i="4" s="1"/>
  <c r="D143" i="4"/>
  <c r="E143" i="4" s="1"/>
  <c r="D144" i="4"/>
  <c r="E144" i="4" s="1"/>
  <c r="D145" i="4"/>
  <c r="E145" i="4" s="1"/>
  <c r="D146" i="4"/>
  <c r="E146" i="4" s="1"/>
  <c r="D147" i="4"/>
  <c r="E147" i="4" s="1"/>
  <c r="D148" i="4"/>
  <c r="E148" i="4" s="1"/>
  <c r="D149" i="4"/>
  <c r="E149" i="4" s="1"/>
  <c r="D150" i="4"/>
  <c r="E150" i="4" s="1"/>
  <c r="D151" i="4"/>
  <c r="E151" i="4" s="1"/>
  <c r="D152" i="4"/>
  <c r="E152" i="4" s="1"/>
  <c r="D153" i="4"/>
  <c r="E153" i="4" s="1"/>
  <c r="D154" i="4"/>
  <c r="E154" i="4" s="1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20" i="4"/>
  <c r="D221" i="4"/>
  <c r="D83" i="4"/>
  <c r="E83" i="4" s="1"/>
  <c r="A74" i="8" l="1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BD127" i="4"/>
  <c r="BC127" i="4"/>
  <c r="BB127" i="4"/>
  <c r="BA127" i="4"/>
  <c r="AZ127" i="4"/>
  <c r="AY127" i="4"/>
  <c r="AX127" i="4"/>
  <c r="AW127" i="4"/>
  <c r="AV127" i="4"/>
  <c r="AU127" i="4"/>
  <c r="AT127" i="4"/>
  <c r="AS127" i="4"/>
  <c r="AR127" i="4"/>
  <c r="AQ127" i="4"/>
  <c r="AP127" i="4"/>
  <c r="AO127" i="4"/>
  <c r="AN127" i="4"/>
  <c r="AM127" i="4"/>
  <c r="AI127" i="4"/>
  <c r="AE127" i="4"/>
  <c r="AD127" i="4"/>
  <c r="AC127" i="4"/>
  <c r="Z127" i="4"/>
  <c r="Y127" i="4"/>
  <c r="X127" i="4"/>
  <c r="W127" i="4"/>
  <c r="V127" i="4"/>
  <c r="U127" i="4"/>
  <c r="C127" i="4"/>
  <c r="B127" i="4"/>
  <c r="BD126" i="4"/>
  <c r="BC126" i="4"/>
  <c r="BB126" i="4"/>
  <c r="BA126" i="4"/>
  <c r="AZ126" i="4"/>
  <c r="AY126" i="4"/>
  <c r="AX126" i="4"/>
  <c r="AW126" i="4"/>
  <c r="AV126" i="4"/>
  <c r="AU126" i="4"/>
  <c r="AT126" i="4"/>
  <c r="AS126" i="4"/>
  <c r="AR126" i="4"/>
  <c r="AQ126" i="4"/>
  <c r="AP126" i="4"/>
  <c r="AO126" i="4"/>
  <c r="AN126" i="4"/>
  <c r="AM126" i="4"/>
  <c r="AI126" i="4"/>
  <c r="AE126" i="4"/>
  <c r="AD126" i="4"/>
  <c r="AC126" i="4"/>
  <c r="Z126" i="4"/>
  <c r="Y126" i="4"/>
  <c r="X126" i="4"/>
  <c r="W126" i="4"/>
  <c r="V126" i="4"/>
  <c r="U126" i="4"/>
  <c r="C126" i="4"/>
  <c r="B126" i="4"/>
  <c r="BD125" i="4"/>
  <c r="BC125" i="4"/>
  <c r="BB125" i="4"/>
  <c r="BA125" i="4"/>
  <c r="AZ125" i="4"/>
  <c r="AY125" i="4"/>
  <c r="AX125" i="4"/>
  <c r="AW125" i="4"/>
  <c r="AV125" i="4"/>
  <c r="AU125" i="4"/>
  <c r="AT125" i="4"/>
  <c r="AS125" i="4"/>
  <c r="AR125" i="4"/>
  <c r="AQ125" i="4"/>
  <c r="AP125" i="4"/>
  <c r="AO125" i="4"/>
  <c r="AN125" i="4"/>
  <c r="AM125" i="4"/>
  <c r="AI125" i="4"/>
  <c r="AE125" i="4"/>
  <c r="AD125" i="4"/>
  <c r="AC125" i="4"/>
  <c r="Z125" i="4"/>
  <c r="Y125" i="4"/>
  <c r="X125" i="4"/>
  <c r="W125" i="4"/>
  <c r="V125" i="4"/>
  <c r="U125" i="4"/>
  <c r="C125" i="4"/>
  <c r="B125" i="4"/>
  <c r="BD118" i="4"/>
  <c r="BC118" i="4"/>
  <c r="BB118" i="4"/>
  <c r="BA118" i="4"/>
  <c r="AZ118" i="4"/>
  <c r="AY118" i="4"/>
  <c r="AX118" i="4"/>
  <c r="AW118" i="4"/>
  <c r="AV118" i="4"/>
  <c r="AU118" i="4"/>
  <c r="AT118" i="4"/>
  <c r="AS118" i="4"/>
  <c r="AR118" i="4"/>
  <c r="AQ118" i="4"/>
  <c r="AP118" i="4"/>
  <c r="AO118" i="4"/>
  <c r="AN118" i="4"/>
  <c r="AM118" i="4"/>
  <c r="AI118" i="4"/>
  <c r="AE118" i="4"/>
  <c r="AD118" i="4"/>
  <c r="AC118" i="4"/>
  <c r="Z118" i="4"/>
  <c r="Y118" i="4"/>
  <c r="X118" i="4"/>
  <c r="W118" i="4"/>
  <c r="V118" i="4"/>
  <c r="U118" i="4"/>
  <c r="C118" i="4"/>
  <c r="B118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AN117" i="4"/>
  <c r="AM117" i="4"/>
  <c r="AI117" i="4"/>
  <c r="AE117" i="4"/>
  <c r="AD117" i="4"/>
  <c r="AC117" i="4"/>
  <c r="Z117" i="4"/>
  <c r="Y117" i="4"/>
  <c r="X117" i="4"/>
  <c r="W117" i="4"/>
  <c r="V117" i="4"/>
  <c r="U117" i="4"/>
  <c r="C117" i="4"/>
  <c r="B117" i="4"/>
  <c r="BD116" i="4"/>
  <c r="BC116" i="4"/>
  <c r="BB116" i="4"/>
  <c r="BA116" i="4"/>
  <c r="AZ116" i="4"/>
  <c r="AY116" i="4"/>
  <c r="AX116" i="4"/>
  <c r="AW116" i="4"/>
  <c r="AV116" i="4"/>
  <c r="AU116" i="4"/>
  <c r="AT116" i="4"/>
  <c r="AS116" i="4"/>
  <c r="AR116" i="4"/>
  <c r="AQ116" i="4"/>
  <c r="AP116" i="4"/>
  <c r="AO116" i="4"/>
  <c r="AN116" i="4"/>
  <c r="AM116" i="4"/>
  <c r="AI116" i="4"/>
  <c r="AE116" i="4"/>
  <c r="AD116" i="4"/>
  <c r="AC116" i="4"/>
  <c r="Z116" i="4"/>
  <c r="Y116" i="4"/>
  <c r="X116" i="4"/>
  <c r="W116" i="4"/>
  <c r="V116" i="4"/>
  <c r="U116" i="4"/>
  <c r="C116" i="4"/>
  <c r="B116" i="4"/>
  <c r="BD109" i="4"/>
  <c r="BC109" i="4"/>
  <c r="BB109" i="4"/>
  <c r="BA109" i="4"/>
  <c r="AZ109" i="4"/>
  <c r="AY109" i="4"/>
  <c r="AX109" i="4"/>
  <c r="AW109" i="4"/>
  <c r="AV109" i="4"/>
  <c r="AU109" i="4"/>
  <c r="AT109" i="4"/>
  <c r="AS109" i="4"/>
  <c r="AR109" i="4"/>
  <c r="AQ109" i="4"/>
  <c r="AP109" i="4"/>
  <c r="AO109" i="4"/>
  <c r="AN109" i="4"/>
  <c r="AM109" i="4"/>
  <c r="AI109" i="4"/>
  <c r="AE109" i="4"/>
  <c r="AD109" i="4"/>
  <c r="AC109" i="4"/>
  <c r="Z109" i="4"/>
  <c r="Y109" i="4"/>
  <c r="X109" i="4"/>
  <c r="W109" i="4"/>
  <c r="V109" i="4"/>
  <c r="U109" i="4"/>
  <c r="C109" i="4"/>
  <c r="B109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R108" i="4"/>
  <c r="AQ108" i="4"/>
  <c r="AP108" i="4"/>
  <c r="AO108" i="4"/>
  <c r="AN108" i="4"/>
  <c r="AM108" i="4"/>
  <c r="AI108" i="4"/>
  <c r="AE108" i="4"/>
  <c r="AD108" i="4"/>
  <c r="AC108" i="4"/>
  <c r="Z108" i="4"/>
  <c r="Y108" i="4"/>
  <c r="X108" i="4"/>
  <c r="W108" i="4"/>
  <c r="V108" i="4"/>
  <c r="U108" i="4"/>
  <c r="C108" i="4"/>
  <c r="B108" i="4"/>
  <c r="BD107" i="4"/>
  <c r="BC107" i="4"/>
  <c r="BB107" i="4"/>
  <c r="BA107" i="4"/>
  <c r="AZ107" i="4"/>
  <c r="AY107" i="4"/>
  <c r="AX107" i="4"/>
  <c r="AW107" i="4"/>
  <c r="AV107" i="4"/>
  <c r="AU107" i="4"/>
  <c r="AT107" i="4"/>
  <c r="AS107" i="4"/>
  <c r="AR107" i="4"/>
  <c r="AQ107" i="4"/>
  <c r="AP107" i="4"/>
  <c r="AO107" i="4"/>
  <c r="AN107" i="4"/>
  <c r="AM107" i="4"/>
  <c r="AI107" i="4"/>
  <c r="AE107" i="4"/>
  <c r="AD107" i="4"/>
  <c r="AC107" i="4"/>
  <c r="Z107" i="4"/>
  <c r="Y107" i="4"/>
  <c r="X107" i="4"/>
  <c r="W107" i="4"/>
  <c r="V107" i="4"/>
  <c r="U107" i="4"/>
  <c r="C107" i="4"/>
  <c r="B107" i="4"/>
  <c r="BD100" i="4"/>
  <c r="BC100" i="4"/>
  <c r="BB100" i="4"/>
  <c r="BA100" i="4"/>
  <c r="AZ100" i="4"/>
  <c r="AY100" i="4"/>
  <c r="AX100" i="4"/>
  <c r="AW100" i="4"/>
  <c r="AV100" i="4"/>
  <c r="AU100" i="4"/>
  <c r="AT100" i="4"/>
  <c r="AS100" i="4"/>
  <c r="AR100" i="4"/>
  <c r="AQ100" i="4"/>
  <c r="AP100" i="4"/>
  <c r="AO100" i="4"/>
  <c r="AN100" i="4"/>
  <c r="AM100" i="4"/>
  <c r="AL100" i="4"/>
  <c r="AI100" i="4"/>
  <c r="AE100" i="4"/>
  <c r="AC100" i="4"/>
  <c r="Z100" i="4"/>
  <c r="Y100" i="4"/>
  <c r="X100" i="4"/>
  <c r="W100" i="4"/>
  <c r="V100" i="4"/>
  <c r="U100" i="4"/>
  <c r="C100" i="4"/>
  <c r="B100" i="4"/>
  <c r="BD99" i="4"/>
  <c r="BC99" i="4"/>
  <c r="BB99" i="4"/>
  <c r="BA99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N99" i="4"/>
  <c r="AM99" i="4"/>
  <c r="AL99" i="4"/>
  <c r="AI99" i="4"/>
  <c r="AE99" i="4"/>
  <c r="AC99" i="4"/>
  <c r="Z99" i="4"/>
  <c r="Y99" i="4"/>
  <c r="X99" i="4"/>
  <c r="W99" i="4"/>
  <c r="V99" i="4"/>
  <c r="U99" i="4"/>
  <c r="C99" i="4"/>
  <c r="B99" i="4"/>
  <c r="BD98" i="4"/>
  <c r="BC98" i="4"/>
  <c r="BB98" i="4"/>
  <c r="BA98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N98" i="4"/>
  <c r="AM98" i="4"/>
  <c r="AL98" i="4"/>
  <c r="AI98" i="4"/>
  <c r="AE98" i="4"/>
  <c r="AC98" i="4"/>
  <c r="Z98" i="4"/>
  <c r="Y98" i="4"/>
  <c r="X98" i="4"/>
  <c r="W98" i="4"/>
  <c r="V98" i="4"/>
  <c r="U98" i="4"/>
  <c r="C98" i="4"/>
  <c r="B98" i="4"/>
  <c r="BD91" i="4"/>
  <c r="BC91" i="4"/>
  <c r="BB91" i="4"/>
  <c r="BA91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N91" i="4"/>
  <c r="AM91" i="4"/>
  <c r="AL91" i="4"/>
  <c r="AI91" i="4"/>
  <c r="AE91" i="4"/>
  <c r="AC91" i="4"/>
  <c r="Z91" i="4"/>
  <c r="Y91" i="4"/>
  <c r="X91" i="4"/>
  <c r="W91" i="4"/>
  <c r="V91" i="4"/>
  <c r="U91" i="4"/>
  <c r="C91" i="4"/>
  <c r="B91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N90" i="4"/>
  <c r="AM90" i="4"/>
  <c r="AL90" i="4"/>
  <c r="AI90" i="4"/>
  <c r="AE90" i="4"/>
  <c r="AC90" i="4"/>
  <c r="Z90" i="4"/>
  <c r="Y90" i="4"/>
  <c r="X90" i="4"/>
  <c r="W90" i="4"/>
  <c r="V90" i="4"/>
  <c r="U90" i="4"/>
  <c r="C90" i="4"/>
  <c r="B90" i="4"/>
  <c r="BD89" i="4"/>
  <c r="BC89" i="4"/>
  <c r="BB89" i="4"/>
  <c r="BA89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N89" i="4"/>
  <c r="AM89" i="4"/>
  <c r="AL89" i="4"/>
  <c r="AI89" i="4"/>
  <c r="AE89" i="4"/>
  <c r="AC89" i="4"/>
  <c r="Z89" i="4"/>
  <c r="Y89" i="4"/>
  <c r="X89" i="4"/>
  <c r="W89" i="4"/>
  <c r="V89" i="4"/>
  <c r="U89" i="4"/>
  <c r="C89" i="4"/>
  <c r="B89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N55" i="4"/>
  <c r="AM55" i="4"/>
  <c r="AI55" i="4"/>
  <c r="AE55" i="4"/>
  <c r="AC55" i="4"/>
  <c r="Z55" i="4"/>
  <c r="Y55" i="4"/>
  <c r="X55" i="4"/>
  <c r="W55" i="4"/>
  <c r="V55" i="4"/>
  <c r="U55" i="4"/>
  <c r="C55" i="4"/>
  <c r="B55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M54" i="4"/>
  <c r="AI54" i="4"/>
  <c r="AE54" i="4"/>
  <c r="AC54" i="4"/>
  <c r="Z54" i="4"/>
  <c r="Y54" i="4"/>
  <c r="X54" i="4"/>
  <c r="W54" i="4"/>
  <c r="V54" i="4"/>
  <c r="U54" i="4"/>
  <c r="C54" i="4"/>
  <c r="B54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I53" i="4"/>
  <c r="AE53" i="4"/>
  <c r="AC53" i="4"/>
  <c r="Z53" i="4"/>
  <c r="Y53" i="4"/>
  <c r="X53" i="4"/>
  <c r="W53" i="4"/>
  <c r="V53" i="4"/>
  <c r="U53" i="4"/>
  <c r="C53" i="4"/>
  <c r="B53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M46" i="4"/>
  <c r="AI46" i="4"/>
  <c r="AE46" i="4"/>
  <c r="AC46" i="4"/>
  <c r="Z46" i="4"/>
  <c r="Y46" i="4"/>
  <c r="X46" i="4"/>
  <c r="W46" i="4"/>
  <c r="V46" i="4"/>
  <c r="U46" i="4"/>
  <c r="C46" i="4"/>
  <c r="B46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N45" i="4"/>
  <c r="AM45" i="4"/>
  <c r="AI45" i="4"/>
  <c r="AE45" i="4"/>
  <c r="AC45" i="4"/>
  <c r="Z45" i="4"/>
  <c r="Y45" i="4"/>
  <c r="X45" i="4"/>
  <c r="W45" i="4"/>
  <c r="V45" i="4"/>
  <c r="U45" i="4"/>
  <c r="C45" i="4"/>
  <c r="B45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N44" i="4"/>
  <c r="AM44" i="4"/>
  <c r="AI44" i="4"/>
  <c r="AE44" i="4"/>
  <c r="AC44" i="4"/>
  <c r="Z44" i="4"/>
  <c r="Y44" i="4"/>
  <c r="X44" i="4"/>
  <c r="W44" i="4"/>
  <c r="V44" i="4"/>
  <c r="U44" i="4"/>
  <c r="C44" i="4"/>
  <c r="B44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I37" i="4"/>
  <c r="AF37" i="4"/>
  <c r="AE37" i="4"/>
  <c r="AC37" i="4"/>
  <c r="Z37" i="4"/>
  <c r="Y37" i="4"/>
  <c r="X37" i="4"/>
  <c r="W37" i="4"/>
  <c r="V37" i="4"/>
  <c r="U37" i="4"/>
  <c r="C37" i="4"/>
  <c r="B37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AM36" i="4"/>
  <c r="AI36" i="4"/>
  <c r="AF36" i="4"/>
  <c r="AE36" i="4"/>
  <c r="AC36" i="4"/>
  <c r="Z36" i="4"/>
  <c r="Y36" i="4"/>
  <c r="X36" i="4"/>
  <c r="W36" i="4"/>
  <c r="V36" i="4"/>
  <c r="U36" i="4"/>
  <c r="C36" i="4"/>
  <c r="B36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I35" i="4"/>
  <c r="AF35" i="4"/>
  <c r="AE35" i="4"/>
  <c r="AC35" i="4"/>
  <c r="Z35" i="4"/>
  <c r="Y35" i="4"/>
  <c r="X35" i="4"/>
  <c r="W35" i="4"/>
  <c r="V35" i="4"/>
  <c r="U35" i="4"/>
  <c r="C35" i="4"/>
  <c r="B35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I28" i="4"/>
  <c r="AF28" i="4"/>
  <c r="AE28" i="4"/>
  <c r="AC28" i="4"/>
  <c r="Z28" i="4"/>
  <c r="Y28" i="4"/>
  <c r="X28" i="4"/>
  <c r="W28" i="4"/>
  <c r="V28" i="4"/>
  <c r="U28" i="4"/>
  <c r="C28" i="4"/>
  <c r="B28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I27" i="4"/>
  <c r="AF27" i="4"/>
  <c r="AE27" i="4"/>
  <c r="AC27" i="4"/>
  <c r="Z27" i="4"/>
  <c r="Y27" i="4"/>
  <c r="X27" i="4"/>
  <c r="W27" i="4"/>
  <c r="V27" i="4"/>
  <c r="U27" i="4"/>
  <c r="C27" i="4"/>
  <c r="B27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N26" i="4"/>
  <c r="AM26" i="4"/>
  <c r="AL26" i="4"/>
  <c r="AI26" i="4"/>
  <c r="AF26" i="4"/>
  <c r="AE26" i="4"/>
  <c r="AC26" i="4"/>
  <c r="Z26" i="4"/>
  <c r="Y26" i="4"/>
  <c r="X26" i="4"/>
  <c r="W26" i="4"/>
  <c r="V26" i="4"/>
  <c r="U26" i="4"/>
  <c r="C26" i="4"/>
  <c r="B26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I18" i="4"/>
  <c r="AF18" i="4"/>
  <c r="AE18" i="4"/>
  <c r="AD18" i="4"/>
  <c r="AC18" i="4"/>
  <c r="Z18" i="4"/>
  <c r="Y18" i="4"/>
  <c r="X18" i="4"/>
  <c r="W18" i="4"/>
  <c r="V18" i="4"/>
  <c r="U18" i="4"/>
  <c r="C18" i="4"/>
  <c r="B18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I17" i="4"/>
  <c r="AF17" i="4"/>
  <c r="AE17" i="4"/>
  <c r="AD17" i="4"/>
  <c r="AC17" i="4"/>
  <c r="Z17" i="4"/>
  <c r="Y17" i="4"/>
  <c r="X17" i="4"/>
  <c r="W17" i="4"/>
  <c r="V17" i="4"/>
  <c r="U17" i="4"/>
  <c r="C17" i="4"/>
  <c r="B17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AM16" i="4"/>
  <c r="AL16" i="4"/>
  <c r="AI16" i="4"/>
  <c r="AF16" i="4"/>
  <c r="AE16" i="4"/>
  <c r="AD16" i="4"/>
  <c r="AC16" i="4"/>
  <c r="Z16" i="4"/>
  <c r="Y16" i="4"/>
  <c r="X16" i="4"/>
  <c r="W16" i="4"/>
  <c r="V16" i="4"/>
  <c r="U16" i="4"/>
  <c r="C16" i="4"/>
  <c r="B16" i="4"/>
  <c r="W87" i="3" l="1"/>
  <c r="W88" i="3"/>
  <c r="W92" i="3"/>
  <c r="AK91" i="4" s="1"/>
  <c r="W95" i="3"/>
  <c r="W96" i="3"/>
  <c r="W100" i="3"/>
  <c r="AK99" i="4" s="1"/>
  <c r="V85" i="3"/>
  <c r="W85" i="3" s="1"/>
  <c r="V86" i="3"/>
  <c r="W86" i="3" s="1"/>
  <c r="V87" i="3"/>
  <c r="V88" i="3"/>
  <c r="V89" i="3"/>
  <c r="W89" i="3" s="1"/>
  <c r="V90" i="3"/>
  <c r="AJ89" i="4" s="1"/>
  <c r="V91" i="3"/>
  <c r="AJ90" i="4" s="1"/>
  <c r="V92" i="3"/>
  <c r="AJ91" i="4" s="1"/>
  <c r="V93" i="3"/>
  <c r="W93" i="3" s="1"/>
  <c r="V94" i="3"/>
  <c r="W94" i="3" s="1"/>
  <c r="V95" i="3"/>
  <c r="V96" i="3"/>
  <c r="V97" i="3"/>
  <c r="W97" i="3" s="1"/>
  <c r="V98" i="3"/>
  <c r="W98" i="3" s="1"/>
  <c r="V99" i="3"/>
  <c r="AJ98" i="4" s="1"/>
  <c r="V100" i="3"/>
  <c r="AJ99" i="4" s="1"/>
  <c r="V101" i="3"/>
  <c r="AJ100" i="4" s="1"/>
  <c r="V102" i="3"/>
  <c r="W102" i="3" s="1"/>
  <c r="X102" i="3" s="1"/>
  <c r="V103" i="3"/>
  <c r="W103" i="3" s="1"/>
  <c r="X103" i="3" s="1"/>
  <c r="V104" i="3"/>
  <c r="W104" i="3" s="1"/>
  <c r="X104" i="3" s="1"/>
  <c r="V105" i="3"/>
  <c r="W105" i="3" s="1"/>
  <c r="X105" i="3" s="1"/>
  <c r="V106" i="3"/>
  <c r="W106" i="3" s="1"/>
  <c r="X106" i="3" s="1"/>
  <c r="V107" i="3"/>
  <c r="W107" i="3" s="1"/>
  <c r="X107" i="3" s="1"/>
  <c r="V108" i="3"/>
  <c r="AJ107" i="4" s="1"/>
  <c r="V109" i="3"/>
  <c r="AJ108" i="4" s="1"/>
  <c r="V110" i="3"/>
  <c r="AJ109" i="4" s="1"/>
  <c r="V111" i="3"/>
  <c r="W111" i="3" s="1"/>
  <c r="X111" i="3" s="1"/>
  <c r="V112" i="3"/>
  <c r="W112" i="3" s="1"/>
  <c r="X112" i="3" s="1"/>
  <c r="V113" i="3"/>
  <c r="W113" i="3" s="1"/>
  <c r="X113" i="3" s="1"/>
  <c r="V114" i="3"/>
  <c r="W114" i="3" s="1"/>
  <c r="X114" i="3" s="1"/>
  <c r="V115" i="3"/>
  <c r="W115" i="3" s="1"/>
  <c r="X115" i="3" s="1"/>
  <c r="V116" i="3"/>
  <c r="W116" i="3" s="1"/>
  <c r="X116" i="3" s="1"/>
  <c r="V117" i="3"/>
  <c r="AJ116" i="4" s="1"/>
  <c r="V118" i="3"/>
  <c r="AJ117" i="4" s="1"/>
  <c r="V119" i="3"/>
  <c r="AJ118" i="4" s="1"/>
  <c r="V120" i="3"/>
  <c r="W120" i="3" s="1"/>
  <c r="X120" i="3" s="1"/>
  <c r="V121" i="3"/>
  <c r="W121" i="3" s="1"/>
  <c r="X121" i="3" s="1"/>
  <c r="V122" i="3"/>
  <c r="W122" i="3" s="1"/>
  <c r="X122" i="3" s="1"/>
  <c r="V123" i="3"/>
  <c r="W123" i="3" s="1"/>
  <c r="X123" i="3" s="1"/>
  <c r="V124" i="3"/>
  <c r="W124" i="3" s="1"/>
  <c r="X124" i="3" s="1"/>
  <c r="V125" i="3"/>
  <c r="W125" i="3" s="1"/>
  <c r="X125" i="3" s="1"/>
  <c r="V126" i="3"/>
  <c r="AJ125" i="4" s="1"/>
  <c r="V127" i="3"/>
  <c r="AJ126" i="4" s="1"/>
  <c r="V128" i="3"/>
  <c r="AJ127" i="4" s="1"/>
  <c r="V129" i="3"/>
  <c r="W129" i="3" s="1"/>
  <c r="X129" i="3" s="1"/>
  <c r="V130" i="3"/>
  <c r="W130" i="3" s="1"/>
  <c r="X130" i="3" s="1"/>
  <c r="V131" i="3"/>
  <c r="W131" i="3" s="1"/>
  <c r="X131" i="3" s="1"/>
  <c r="V132" i="3"/>
  <c r="W132" i="3" s="1"/>
  <c r="X132" i="3" s="1"/>
  <c r="V133" i="3"/>
  <c r="W133" i="3" s="1"/>
  <c r="X133" i="3" s="1"/>
  <c r="V134" i="3"/>
  <c r="W134" i="3" s="1"/>
  <c r="X134" i="3" s="1"/>
  <c r="V135" i="3"/>
  <c r="W135" i="3" s="1"/>
  <c r="X135" i="3" s="1"/>
  <c r="V136" i="3"/>
  <c r="W136" i="3" s="1"/>
  <c r="X136" i="3" s="1"/>
  <c r="V137" i="3"/>
  <c r="W137" i="3" s="1"/>
  <c r="X137" i="3" s="1"/>
  <c r="V138" i="3"/>
  <c r="W138" i="3" s="1"/>
  <c r="X138" i="3" s="1"/>
  <c r="V139" i="3"/>
  <c r="W139" i="3" s="1"/>
  <c r="X139" i="3" s="1"/>
  <c r="V140" i="3"/>
  <c r="W140" i="3" s="1"/>
  <c r="X140" i="3" s="1"/>
  <c r="V141" i="3"/>
  <c r="W141" i="3" s="1"/>
  <c r="X141" i="3" s="1"/>
  <c r="V142" i="3"/>
  <c r="W142" i="3" s="1"/>
  <c r="X142" i="3" s="1"/>
  <c r="V143" i="3"/>
  <c r="W143" i="3" s="1"/>
  <c r="X143" i="3" s="1"/>
  <c r="V144" i="3"/>
  <c r="W144" i="3" s="1"/>
  <c r="X144" i="3" s="1"/>
  <c r="V145" i="3"/>
  <c r="W145" i="3" s="1"/>
  <c r="X145" i="3" s="1"/>
  <c r="V146" i="3"/>
  <c r="W146" i="3" s="1"/>
  <c r="X146" i="3" s="1"/>
  <c r="V147" i="3"/>
  <c r="W147" i="3" s="1"/>
  <c r="X147" i="3" s="1"/>
  <c r="V148" i="3"/>
  <c r="W148" i="3" s="1"/>
  <c r="X148" i="3" s="1"/>
  <c r="V149" i="3"/>
  <c r="W149" i="3" s="1"/>
  <c r="X149" i="3" s="1"/>
  <c r="V150" i="3"/>
  <c r="W150" i="3" s="1"/>
  <c r="X150" i="3" s="1"/>
  <c r="V151" i="3"/>
  <c r="W151" i="3" s="1"/>
  <c r="X151" i="3" s="1"/>
  <c r="V152" i="3"/>
  <c r="W152" i="3" s="1"/>
  <c r="X152" i="3" s="1"/>
  <c r="V153" i="3"/>
  <c r="W153" i="3" s="1"/>
  <c r="X153" i="3" s="1"/>
  <c r="V154" i="3"/>
  <c r="W154" i="3" s="1"/>
  <c r="X154" i="3" s="1"/>
  <c r="V155" i="3"/>
  <c r="W155" i="3" s="1"/>
  <c r="X155" i="3" s="1"/>
  <c r="V84" i="3"/>
  <c r="W84" i="3" s="1"/>
  <c r="T84" i="3"/>
  <c r="T85" i="3"/>
  <c r="T86" i="3"/>
  <c r="T87" i="3"/>
  <c r="T88" i="3"/>
  <c r="T89" i="3"/>
  <c r="T90" i="3"/>
  <c r="AH89" i="4" s="1"/>
  <c r="T91" i="3"/>
  <c r="AH90" i="4" s="1"/>
  <c r="T92" i="3"/>
  <c r="AH91" i="4" s="1"/>
  <c r="T93" i="3"/>
  <c r="T94" i="3"/>
  <c r="T95" i="3"/>
  <c r="T96" i="3"/>
  <c r="T97" i="3"/>
  <c r="T98" i="3"/>
  <c r="T99" i="3"/>
  <c r="AH98" i="4" s="1"/>
  <c r="T100" i="3"/>
  <c r="AH99" i="4" s="1"/>
  <c r="T101" i="3"/>
  <c r="AH100" i="4" s="1"/>
  <c r="T102" i="3"/>
  <c r="T103" i="3"/>
  <c r="T104" i="3"/>
  <c r="T105" i="3"/>
  <c r="T106" i="3"/>
  <c r="T107" i="3"/>
  <c r="T108" i="3"/>
  <c r="AH107" i="4" s="1"/>
  <c r="T109" i="3"/>
  <c r="AH108" i="4" s="1"/>
  <c r="T110" i="3"/>
  <c r="AH109" i="4" s="1"/>
  <c r="T111" i="3"/>
  <c r="T112" i="3"/>
  <c r="T113" i="3"/>
  <c r="T114" i="3"/>
  <c r="T115" i="3"/>
  <c r="T116" i="3"/>
  <c r="T117" i="3"/>
  <c r="AH116" i="4" s="1"/>
  <c r="T118" i="3"/>
  <c r="AH117" i="4" s="1"/>
  <c r="T119" i="3"/>
  <c r="AH118" i="4" s="1"/>
  <c r="T120" i="3"/>
  <c r="T121" i="3"/>
  <c r="T122" i="3"/>
  <c r="T123" i="3"/>
  <c r="T124" i="3"/>
  <c r="T125" i="3"/>
  <c r="T126" i="3"/>
  <c r="AH125" i="4" s="1"/>
  <c r="T127" i="3"/>
  <c r="AH126" i="4" s="1"/>
  <c r="T128" i="3"/>
  <c r="AH127" i="4" s="1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35" i="3"/>
  <c r="T36" i="3"/>
  <c r="AH35" i="4" s="1"/>
  <c r="T37" i="3"/>
  <c r="AH36" i="4" s="1"/>
  <c r="T38" i="3"/>
  <c r="AH37" i="4" s="1"/>
  <c r="T39" i="3"/>
  <c r="T40" i="3"/>
  <c r="T41" i="3"/>
  <c r="T42" i="3"/>
  <c r="T43" i="3"/>
  <c r="T44" i="3"/>
  <c r="T45" i="3"/>
  <c r="AH44" i="4" s="1"/>
  <c r="T46" i="3"/>
  <c r="AH45" i="4" s="1"/>
  <c r="T47" i="3"/>
  <c r="AH46" i="4" s="1"/>
  <c r="T48" i="3"/>
  <c r="T49" i="3"/>
  <c r="T50" i="3"/>
  <c r="T51" i="3"/>
  <c r="T52" i="3"/>
  <c r="T53" i="3"/>
  <c r="T54" i="3"/>
  <c r="AH53" i="4" s="1"/>
  <c r="T55" i="3"/>
  <c r="AH54" i="4" s="1"/>
  <c r="T56" i="3"/>
  <c r="AH55" i="4" s="1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22" i="3"/>
  <c r="T23" i="3"/>
  <c r="T24" i="3"/>
  <c r="T25" i="3"/>
  <c r="T26" i="3"/>
  <c r="T27" i="3"/>
  <c r="AH26" i="4" s="1"/>
  <c r="T28" i="3"/>
  <c r="AH27" i="4" s="1"/>
  <c r="T29" i="3"/>
  <c r="AH28" i="4" s="1"/>
  <c r="T30" i="3"/>
  <c r="T31" i="3"/>
  <c r="T32" i="3"/>
  <c r="T33" i="3"/>
  <c r="T34" i="3"/>
  <c r="T21" i="3"/>
  <c r="T12" i="3"/>
  <c r="T13" i="3"/>
  <c r="T14" i="3"/>
  <c r="T15" i="3"/>
  <c r="T16" i="3"/>
  <c r="T17" i="3"/>
  <c r="AH16" i="4" s="1"/>
  <c r="T18" i="3"/>
  <c r="AH17" i="4" s="1"/>
  <c r="T19" i="3"/>
  <c r="AH18" i="4" s="1"/>
  <c r="T11" i="3"/>
  <c r="V11" i="3"/>
  <c r="W11" i="3" s="1"/>
  <c r="X31" i="3"/>
  <c r="X39" i="3"/>
  <c r="X47" i="3"/>
  <c r="AL46" i="4" s="1"/>
  <c r="X55" i="3"/>
  <c r="AL54" i="4" s="1"/>
  <c r="W35" i="3"/>
  <c r="X35" i="3" s="1"/>
  <c r="W39" i="3"/>
  <c r="W40" i="3"/>
  <c r="X40" i="3" s="1"/>
  <c r="W43" i="3"/>
  <c r="X43" i="3" s="1"/>
  <c r="W47" i="3"/>
  <c r="AK46" i="4" s="1"/>
  <c r="W48" i="3"/>
  <c r="X48" i="3" s="1"/>
  <c r="W51" i="3"/>
  <c r="X51" i="3" s="1"/>
  <c r="W55" i="3"/>
  <c r="AK54" i="4" s="1"/>
  <c r="W56" i="3"/>
  <c r="AK55" i="4" s="1"/>
  <c r="W15" i="3"/>
  <c r="W16" i="3"/>
  <c r="W19" i="3"/>
  <c r="AK18" i="4" s="1"/>
  <c r="W20" i="3"/>
  <c r="W24" i="3"/>
  <c r="W27" i="3"/>
  <c r="AK26" i="4" s="1"/>
  <c r="W31" i="3"/>
  <c r="W32" i="3"/>
  <c r="X32" i="3" s="1"/>
  <c r="V58" i="3"/>
  <c r="W58" i="3" s="1"/>
  <c r="X58" i="3" s="1"/>
  <c r="V59" i="3"/>
  <c r="W59" i="3" s="1"/>
  <c r="X59" i="3" s="1"/>
  <c r="V60" i="3"/>
  <c r="W60" i="3" s="1"/>
  <c r="X60" i="3" s="1"/>
  <c r="V61" i="3"/>
  <c r="W61" i="3" s="1"/>
  <c r="X61" i="3" s="1"/>
  <c r="V62" i="3"/>
  <c r="W62" i="3" s="1"/>
  <c r="X62" i="3" s="1"/>
  <c r="V63" i="3"/>
  <c r="W63" i="3" s="1"/>
  <c r="X63" i="3" s="1"/>
  <c r="V64" i="3"/>
  <c r="W64" i="3" s="1"/>
  <c r="X64" i="3" s="1"/>
  <c r="V65" i="3"/>
  <c r="W65" i="3" s="1"/>
  <c r="X65" i="3" s="1"/>
  <c r="V66" i="3"/>
  <c r="W66" i="3" s="1"/>
  <c r="X66" i="3" s="1"/>
  <c r="V67" i="3"/>
  <c r="W67" i="3" s="1"/>
  <c r="X67" i="3" s="1"/>
  <c r="V68" i="3"/>
  <c r="W68" i="3" s="1"/>
  <c r="X68" i="3" s="1"/>
  <c r="V69" i="3"/>
  <c r="W69" i="3" s="1"/>
  <c r="X69" i="3" s="1"/>
  <c r="V70" i="3"/>
  <c r="W70" i="3" s="1"/>
  <c r="X70" i="3" s="1"/>
  <c r="V71" i="3"/>
  <c r="W71" i="3" s="1"/>
  <c r="X71" i="3" s="1"/>
  <c r="V72" i="3"/>
  <c r="W72" i="3" s="1"/>
  <c r="X72" i="3" s="1"/>
  <c r="V73" i="3"/>
  <c r="W73" i="3" s="1"/>
  <c r="X73" i="3" s="1"/>
  <c r="V74" i="3"/>
  <c r="W74" i="3" s="1"/>
  <c r="X74" i="3" s="1"/>
  <c r="V75" i="3"/>
  <c r="W75" i="3" s="1"/>
  <c r="X75" i="3" s="1"/>
  <c r="V76" i="3"/>
  <c r="W76" i="3" s="1"/>
  <c r="X76" i="3" s="1"/>
  <c r="V77" i="3"/>
  <c r="W77" i="3" s="1"/>
  <c r="X77" i="3" s="1"/>
  <c r="V78" i="3"/>
  <c r="W78" i="3" s="1"/>
  <c r="X78" i="3" s="1"/>
  <c r="V79" i="3"/>
  <c r="W79" i="3" s="1"/>
  <c r="X79" i="3" s="1"/>
  <c r="V80" i="3"/>
  <c r="W80" i="3" s="1"/>
  <c r="X80" i="3" s="1"/>
  <c r="V81" i="3"/>
  <c r="W81" i="3" s="1"/>
  <c r="X81" i="3" s="1"/>
  <c r="V82" i="3"/>
  <c r="W82" i="3" s="1"/>
  <c r="X82" i="3" s="1"/>
  <c r="V83" i="3"/>
  <c r="W83" i="3" s="1"/>
  <c r="X83" i="3" s="1"/>
  <c r="V31" i="3"/>
  <c r="V32" i="3"/>
  <c r="V33" i="3"/>
  <c r="W33" i="3" s="1"/>
  <c r="X33" i="3" s="1"/>
  <c r="V34" i="3"/>
  <c r="W34" i="3" s="1"/>
  <c r="X34" i="3" s="1"/>
  <c r="V35" i="3"/>
  <c r="V36" i="3"/>
  <c r="AJ35" i="4" s="1"/>
  <c r="V37" i="3"/>
  <c r="AJ36" i="4" s="1"/>
  <c r="V38" i="3"/>
  <c r="AJ37" i="4" s="1"/>
  <c r="V39" i="3"/>
  <c r="V40" i="3"/>
  <c r="V41" i="3"/>
  <c r="W41" i="3" s="1"/>
  <c r="X41" i="3" s="1"/>
  <c r="V42" i="3"/>
  <c r="W42" i="3" s="1"/>
  <c r="X42" i="3" s="1"/>
  <c r="V43" i="3"/>
  <c r="V44" i="3"/>
  <c r="W44" i="3" s="1"/>
  <c r="X44" i="3" s="1"/>
  <c r="V45" i="3"/>
  <c r="AJ44" i="4" s="1"/>
  <c r="V46" i="3"/>
  <c r="AJ45" i="4" s="1"/>
  <c r="V47" i="3"/>
  <c r="AJ46" i="4" s="1"/>
  <c r="V48" i="3"/>
  <c r="V49" i="3"/>
  <c r="W49" i="3" s="1"/>
  <c r="X49" i="3" s="1"/>
  <c r="V50" i="3"/>
  <c r="W50" i="3" s="1"/>
  <c r="X50" i="3" s="1"/>
  <c r="V51" i="3"/>
  <c r="V52" i="3"/>
  <c r="W52" i="3" s="1"/>
  <c r="X52" i="3" s="1"/>
  <c r="V53" i="3"/>
  <c r="W53" i="3" s="1"/>
  <c r="X53" i="3" s="1"/>
  <c r="V54" i="3"/>
  <c r="AJ53" i="4" s="1"/>
  <c r="V55" i="3"/>
  <c r="AJ54" i="4" s="1"/>
  <c r="V56" i="3"/>
  <c r="AJ55" i="4" s="1"/>
  <c r="V57" i="3"/>
  <c r="W57" i="3" s="1"/>
  <c r="X57" i="3" s="1"/>
  <c r="V22" i="3"/>
  <c r="W22" i="3" s="1"/>
  <c r="V23" i="3"/>
  <c r="W23" i="3" s="1"/>
  <c r="V24" i="3"/>
  <c r="V25" i="3"/>
  <c r="W25" i="3" s="1"/>
  <c r="V26" i="3"/>
  <c r="W26" i="3" s="1"/>
  <c r="V27" i="3"/>
  <c r="AJ26" i="4" s="1"/>
  <c r="V28" i="3"/>
  <c r="AJ27" i="4" s="1"/>
  <c r="V29" i="3"/>
  <c r="AJ28" i="4" s="1"/>
  <c r="V30" i="3"/>
  <c r="W30" i="3" s="1"/>
  <c r="X30" i="3" s="1"/>
  <c r="V21" i="3"/>
  <c r="W21" i="3" s="1"/>
  <c r="V12" i="3"/>
  <c r="W12" i="3" s="1"/>
  <c r="V13" i="3"/>
  <c r="W13" i="3" s="1"/>
  <c r="V14" i="3"/>
  <c r="W14" i="3" s="1"/>
  <c r="V15" i="3"/>
  <c r="V16" i="3"/>
  <c r="V17" i="3"/>
  <c r="AJ16" i="4" s="1"/>
  <c r="V18" i="3"/>
  <c r="AJ17" i="4" s="1"/>
  <c r="V19" i="3"/>
  <c r="AJ18" i="4" s="1"/>
  <c r="P91" i="3"/>
  <c r="AD90" i="4" s="1"/>
  <c r="P92" i="3"/>
  <c r="AD91" i="4" s="1"/>
  <c r="P94" i="3"/>
  <c r="AR128" i="3"/>
  <c r="AQ128" i="3"/>
  <c r="S128" i="3"/>
  <c r="AG127" i="4" s="1"/>
  <c r="R128" i="3"/>
  <c r="AF127" i="4" s="1"/>
  <c r="AS128" i="3"/>
  <c r="M128" i="3"/>
  <c r="AA127" i="4" s="1"/>
  <c r="E128" i="3"/>
  <c r="AR127" i="3"/>
  <c r="AQ127" i="3"/>
  <c r="S127" i="3"/>
  <c r="AG126" i="4" s="1"/>
  <c r="R127" i="3"/>
  <c r="AF126" i="4" s="1"/>
  <c r="AS127" i="3"/>
  <c r="M127" i="3"/>
  <c r="AA126" i="4" s="1"/>
  <c r="E127" i="3"/>
  <c r="AS126" i="3"/>
  <c r="AR126" i="3"/>
  <c r="AQ126" i="3"/>
  <c r="S126" i="3"/>
  <c r="AG125" i="4" s="1"/>
  <c r="R126" i="3"/>
  <c r="AF125" i="4" s="1"/>
  <c r="M126" i="3"/>
  <c r="AA125" i="4" s="1"/>
  <c r="E126" i="3"/>
  <c r="AR119" i="3"/>
  <c r="AQ119" i="3"/>
  <c r="S119" i="3"/>
  <c r="AG118" i="4" s="1"/>
  <c r="R119" i="3"/>
  <c r="AF118" i="4" s="1"/>
  <c r="AS119" i="3"/>
  <c r="M119" i="3"/>
  <c r="AA118" i="4" s="1"/>
  <c r="E119" i="3"/>
  <c r="AR118" i="3"/>
  <c r="AQ118" i="3"/>
  <c r="S118" i="3"/>
  <c r="AG117" i="4" s="1"/>
  <c r="R118" i="3"/>
  <c r="AF117" i="4" s="1"/>
  <c r="AS118" i="3"/>
  <c r="M118" i="3"/>
  <c r="AA117" i="4" s="1"/>
  <c r="E118" i="3"/>
  <c r="AR117" i="3"/>
  <c r="AQ117" i="3"/>
  <c r="S117" i="3"/>
  <c r="AG116" i="4" s="1"/>
  <c r="R117" i="3"/>
  <c r="AF116" i="4" s="1"/>
  <c r="AS117" i="3"/>
  <c r="M117" i="3"/>
  <c r="AA116" i="4" s="1"/>
  <c r="E117" i="3"/>
  <c r="AR110" i="3"/>
  <c r="AQ110" i="3"/>
  <c r="S110" i="3"/>
  <c r="AG109" i="4" s="1"/>
  <c r="R110" i="3"/>
  <c r="AF109" i="4" s="1"/>
  <c r="AS110" i="3"/>
  <c r="M110" i="3"/>
  <c r="AA109" i="4" s="1"/>
  <c r="E110" i="3"/>
  <c r="AR109" i="3"/>
  <c r="AQ109" i="3"/>
  <c r="S109" i="3"/>
  <c r="AG108" i="4" s="1"/>
  <c r="R109" i="3"/>
  <c r="AF108" i="4" s="1"/>
  <c r="AS109" i="3"/>
  <c r="M109" i="3"/>
  <c r="AA108" i="4" s="1"/>
  <c r="E109" i="3"/>
  <c r="AR108" i="3"/>
  <c r="AQ108" i="3"/>
  <c r="S108" i="3"/>
  <c r="AG107" i="4" s="1"/>
  <c r="R108" i="3"/>
  <c r="AF107" i="4" s="1"/>
  <c r="AS108" i="3"/>
  <c r="M108" i="3"/>
  <c r="AA107" i="4" s="1"/>
  <c r="E108" i="3"/>
  <c r="AR101" i="3"/>
  <c r="AQ101" i="3"/>
  <c r="S101" i="3"/>
  <c r="AG100" i="4" s="1"/>
  <c r="R101" i="3"/>
  <c r="AF100" i="4" s="1"/>
  <c r="P101" i="3"/>
  <c r="M101" i="3"/>
  <c r="AA100" i="4" s="1"/>
  <c r="E101" i="3"/>
  <c r="AR100" i="3"/>
  <c r="AQ100" i="3"/>
  <c r="S100" i="3"/>
  <c r="AG99" i="4" s="1"/>
  <c r="R100" i="3"/>
  <c r="AF99" i="4" s="1"/>
  <c r="P100" i="3"/>
  <c r="M100" i="3"/>
  <c r="AA99" i="4" s="1"/>
  <c r="E100" i="3"/>
  <c r="AR99" i="3"/>
  <c r="AQ99" i="3"/>
  <c r="S99" i="3"/>
  <c r="AG98" i="4" s="1"/>
  <c r="R99" i="3"/>
  <c r="AF98" i="4" s="1"/>
  <c r="P99" i="3"/>
  <c r="M99" i="3"/>
  <c r="AA98" i="4" s="1"/>
  <c r="E99" i="3"/>
  <c r="AR92" i="3"/>
  <c r="AQ92" i="3"/>
  <c r="S92" i="3"/>
  <c r="AG91" i="4" s="1"/>
  <c r="R92" i="3"/>
  <c r="AF91" i="4" s="1"/>
  <c r="M92" i="3"/>
  <c r="AA91" i="4" s="1"/>
  <c r="E92" i="3"/>
  <c r="AR91" i="3"/>
  <c r="AQ91" i="3"/>
  <c r="S91" i="3"/>
  <c r="AG90" i="4" s="1"/>
  <c r="R91" i="3"/>
  <c r="AF90" i="4" s="1"/>
  <c r="AS91" i="3"/>
  <c r="M91" i="3"/>
  <c r="AA90" i="4" s="1"/>
  <c r="E91" i="3"/>
  <c r="AR90" i="3"/>
  <c r="AQ90" i="3"/>
  <c r="S90" i="3"/>
  <c r="AG89" i="4" s="1"/>
  <c r="R90" i="3"/>
  <c r="AF89" i="4" s="1"/>
  <c r="P90" i="3"/>
  <c r="M90" i="3"/>
  <c r="AA89" i="4" s="1"/>
  <c r="E90" i="3"/>
  <c r="AR56" i="3"/>
  <c r="S56" i="3"/>
  <c r="P56" i="3"/>
  <c r="M56" i="3"/>
  <c r="AA55" i="4" s="1"/>
  <c r="E56" i="3"/>
  <c r="AR55" i="3"/>
  <c r="S55" i="3"/>
  <c r="P55" i="3"/>
  <c r="M55" i="3"/>
  <c r="AA54" i="4" s="1"/>
  <c r="E55" i="3"/>
  <c r="AR54" i="3"/>
  <c r="S54" i="3"/>
  <c r="P54" i="3"/>
  <c r="M54" i="3"/>
  <c r="AA53" i="4" s="1"/>
  <c r="E54" i="3"/>
  <c r="AR47" i="3"/>
  <c r="S47" i="3"/>
  <c r="P47" i="3"/>
  <c r="M47" i="3"/>
  <c r="AA46" i="4" s="1"/>
  <c r="E47" i="3"/>
  <c r="AR46" i="3"/>
  <c r="S46" i="3"/>
  <c r="P46" i="3"/>
  <c r="M46" i="3"/>
  <c r="AA45" i="4" s="1"/>
  <c r="E46" i="3"/>
  <c r="AR45" i="3"/>
  <c r="S45" i="3"/>
  <c r="P45" i="3"/>
  <c r="M45" i="3"/>
  <c r="AA44" i="4" s="1"/>
  <c r="E45" i="3"/>
  <c r="AR38" i="3"/>
  <c r="AQ38" i="3"/>
  <c r="S38" i="3"/>
  <c r="AG37" i="4" s="1"/>
  <c r="P38" i="3"/>
  <c r="M38" i="3"/>
  <c r="AA37" i="4" s="1"/>
  <c r="E38" i="3"/>
  <c r="AR37" i="3"/>
  <c r="AQ37" i="3"/>
  <c r="S37" i="3"/>
  <c r="AG36" i="4" s="1"/>
  <c r="P37" i="3"/>
  <c r="M37" i="3"/>
  <c r="AA36" i="4" s="1"/>
  <c r="E37" i="3"/>
  <c r="AR36" i="3"/>
  <c r="AQ36" i="3"/>
  <c r="S36" i="3"/>
  <c r="AG35" i="4" s="1"/>
  <c r="P36" i="3"/>
  <c r="M36" i="3"/>
  <c r="AA35" i="4" s="1"/>
  <c r="E36" i="3"/>
  <c r="AR29" i="3"/>
  <c r="AQ29" i="3"/>
  <c r="S29" i="3"/>
  <c r="AG28" i="4" s="1"/>
  <c r="P29" i="3"/>
  <c r="M29" i="3"/>
  <c r="AA28" i="4" s="1"/>
  <c r="E29" i="3"/>
  <c r="AR28" i="3"/>
  <c r="AQ28" i="3"/>
  <c r="S28" i="3"/>
  <c r="AG27" i="4" s="1"/>
  <c r="P28" i="3"/>
  <c r="M28" i="3"/>
  <c r="AA27" i="4" s="1"/>
  <c r="E28" i="3"/>
  <c r="AR27" i="3"/>
  <c r="AQ27" i="3"/>
  <c r="S27" i="3"/>
  <c r="AG26" i="4" s="1"/>
  <c r="P27" i="3"/>
  <c r="M27" i="3"/>
  <c r="AA26" i="4" s="1"/>
  <c r="E27" i="3"/>
  <c r="AS19" i="3"/>
  <c r="AR19" i="3"/>
  <c r="AQ19" i="3"/>
  <c r="S19" i="3"/>
  <c r="AG18" i="4" s="1"/>
  <c r="M19" i="3"/>
  <c r="AA18" i="4" s="1"/>
  <c r="E19" i="3"/>
  <c r="AS18" i="3"/>
  <c r="AR18" i="3"/>
  <c r="AQ18" i="3"/>
  <c r="S18" i="3"/>
  <c r="AG17" i="4" s="1"/>
  <c r="M18" i="3"/>
  <c r="AA17" i="4" s="1"/>
  <c r="E18" i="3"/>
  <c r="AS17" i="3"/>
  <c r="AR17" i="3"/>
  <c r="AQ17" i="3"/>
  <c r="S17" i="3"/>
  <c r="AG16" i="4" s="1"/>
  <c r="M17" i="3"/>
  <c r="AA16" i="4" s="1"/>
  <c r="E17" i="3"/>
  <c r="S36" i="4" l="1"/>
  <c r="W126" i="3"/>
  <c r="W118" i="3"/>
  <c r="W110" i="3"/>
  <c r="AS36" i="3"/>
  <c r="AD35" i="4"/>
  <c r="AS90" i="3"/>
  <c r="AD89" i="4"/>
  <c r="W18" i="3"/>
  <c r="AK17" i="4" s="1"/>
  <c r="W117" i="3"/>
  <c r="W109" i="3"/>
  <c r="W101" i="3"/>
  <c r="AK100" i="4" s="1"/>
  <c r="AS54" i="3"/>
  <c r="AD53" i="4"/>
  <c r="W17" i="3"/>
  <c r="AK16" i="4" s="1"/>
  <c r="W108" i="3"/>
  <c r="AS29" i="3"/>
  <c r="AD28" i="4"/>
  <c r="AS56" i="3"/>
  <c r="AD55" i="4"/>
  <c r="W99" i="3"/>
  <c r="AK98" i="4" s="1"/>
  <c r="AS47" i="3"/>
  <c r="AD46" i="4"/>
  <c r="W54" i="3"/>
  <c r="W38" i="3"/>
  <c r="W29" i="3"/>
  <c r="AK28" i="4" s="1"/>
  <c r="W45" i="3"/>
  <c r="W37" i="3"/>
  <c r="W128" i="3"/>
  <c r="AS46" i="3"/>
  <c r="AD45" i="4"/>
  <c r="AS45" i="3"/>
  <c r="AD44" i="4"/>
  <c r="AS101" i="3"/>
  <c r="AD100" i="4"/>
  <c r="AS100" i="3"/>
  <c r="AD99" i="4"/>
  <c r="W91" i="3"/>
  <c r="AK90" i="4" s="1"/>
  <c r="AS28" i="3"/>
  <c r="AD27" i="4"/>
  <c r="AS38" i="3"/>
  <c r="AD37" i="4"/>
  <c r="AS99" i="3"/>
  <c r="AD98" i="4"/>
  <c r="W46" i="3"/>
  <c r="W90" i="3"/>
  <c r="AK89" i="4" s="1"/>
  <c r="AS27" i="3"/>
  <c r="AD26" i="4"/>
  <c r="AS37" i="3"/>
  <c r="AD36" i="4"/>
  <c r="AS55" i="3"/>
  <c r="AD54" i="4"/>
  <c r="AS92" i="3"/>
  <c r="W28" i="3"/>
  <c r="AK27" i="4" s="1"/>
  <c r="W36" i="3"/>
  <c r="X56" i="3"/>
  <c r="AL55" i="4" s="1"/>
  <c r="W127" i="3"/>
  <c r="W119" i="3"/>
  <c r="S53" i="4"/>
  <c r="S107" i="4"/>
  <c r="S127" i="4"/>
  <c r="S17" i="4"/>
  <c r="S28" i="4"/>
  <c r="S44" i="4"/>
  <c r="S100" i="4"/>
  <c r="S126" i="4"/>
  <c r="S89" i="4"/>
  <c r="S55" i="4"/>
  <c r="S99" i="4"/>
  <c r="S125" i="4"/>
  <c r="S45" i="4"/>
  <c r="S18" i="4"/>
  <c r="S35" i="4"/>
  <c r="S27" i="4"/>
  <c r="S37" i="4"/>
  <c r="S46" i="4"/>
  <c r="S98" i="4"/>
  <c r="S118" i="4"/>
  <c r="S117" i="4"/>
  <c r="S90" i="4"/>
  <c r="S109" i="4"/>
  <c r="S108" i="4"/>
  <c r="S16" i="4"/>
  <c r="S26" i="4"/>
  <c r="S54" i="4"/>
  <c r="S91" i="4"/>
  <c r="S116" i="4"/>
  <c r="R217" i="3"/>
  <c r="R218" i="3"/>
  <c r="R219" i="3"/>
  <c r="R220" i="3"/>
  <c r="R216" i="3"/>
  <c r="R211" i="3"/>
  <c r="R212" i="3"/>
  <c r="R213" i="3"/>
  <c r="R214" i="3"/>
  <c r="R164" i="3"/>
  <c r="R165" i="3"/>
  <c r="R166" i="3"/>
  <c r="R167" i="3"/>
  <c r="R163" i="3"/>
  <c r="R158" i="3"/>
  <c r="R159" i="3"/>
  <c r="R160" i="3"/>
  <c r="R161" i="3"/>
  <c r="R157" i="3"/>
  <c r="AK37" i="4" l="1"/>
  <c r="X38" i="3"/>
  <c r="AL37" i="4" s="1"/>
  <c r="AK45" i="4"/>
  <c r="X46" i="3"/>
  <c r="AL45" i="4" s="1"/>
  <c r="AK36" i="4"/>
  <c r="X37" i="3"/>
  <c r="AL36" i="4" s="1"/>
  <c r="AK109" i="4"/>
  <c r="X110" i="3"/>
  <c r="AL109" i="4" s="1"/>
  <c r="AK127" i="4"/>
  <c r="X128" i="3"/>
  <c r="AL127" i="4" s="1"/>
  <c r="AK44" i="4"/>
  <c r="X45" i="3"/>
  <c r="AL44" i="4" s="1"/>
  <c r="AK108" i="4"/>
  <c r="X109" i="3"/>
  <c r="AL108" i="4" s="1"/>
  <c r="AK117" i="4"/>
  <c r="X118" i="3"/>
  <c r="AL117" i="4" s="1"/>
  <c r="AK126" i="4"/>
  <c r="X127" i="3"/>
  <c r="AL126" i="4" s="1"/>
  <c r="AK53" i="4"/>
  <c r="X54" i="3"/>
  <c r="AL53" i="4" s="1"/>
  <c r="AK107" i="4"/>
  <c r="X108" i="3"/>
  <c r="AL107" i="4" s="1"/>
  <c r="AK35" i="4"/>
  <c r="X36" i="3"/>
  <c r="AL35" i="4" s="1"/>
  <c r="AK118" i="4"/>
  <c r="X119" i="3"/>
  <c r="AL118" i="4" s="1"/>
  <c r="AK116" i="4"/>
  <c r="X117" i="3"/>
  <c r="AL116" i="4" s="1"/>
  <c r="AK125" i="4"/>
  <c r="X126" i="3"/>
  <c r="AL125" i="4" s="1"/>
  <c r="AE38" i="4"/>
  <c r="AE39" i="4"/>
  <c r="AE40" i="4"/>
  <c r="AE41" i="4"/>
  <c r="AE42" i="4"/>
  <c r="AE43" i="4"/>
  <c r="AE47" i="4"/>
  <c r="AE48" i="4"/>
  <c r="AE49" i="4"/>
  <c r="AE50" i="4"/>
  <c r="AE51" i="4"/>
  <c r="AE52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92" i="4"/>
  <c r="AE93" i="4"/>
  <c r="AE94" i="4"/>
  <c r="AE95" i="4"/>
  <c r="AE96" i="4"/>
  <c r="AE97" i="4"/>
  <c r="AE101" i="4"/>
  <c r="AE102" i="4"/>
  <c r="AE103" i="4"/>
  <c r="AE104" i="4"/>
  <c r="AE105" i="4"/>
  <c r="AE106" i="4"/>
  <c r="AE110" i="4"/>
  <c r="AE111" i="4"/>
  <c r="AE112" i="4"/>
  <c r="AE113" i="4"/>
  <c r="AE114" i="4"/>
  <c r="AE115" i="4"/>
  <c r="AE119" i="4"/>
  <c r="AE120" i="4"/>
  <c r="AE121" i="4"/>
  <c r="AE122" i="4"/>
  <c r="AE123" i="4"/>
  <c r="AE124" i="4"/>
  <c r="AE128" i="4"/>
  <c r="AE129" i="4"/>
  <c r="AE130" i="4"/>
  <c r="AE131" i="4"/>
  <c r="AE132" i="4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68" i="4"/>
  <c r="AE169" i="4"/>
  <c r="AE170" i="4"/>
  <c r="AE171" i="4"/>
  <c r="AE172" i="4"/>
  <c r="AE173" i="4"/>
  <c r="AE174" i="4"/>
  <c r="AE175" i="4"/>
  <c r="AE176" i="4"/>
  <c r="AE177" i="4"/>
  <c r="AE178" i="4"/>
  <c r="AE179" i="4"/>
  <c r="AE180" i="4"/>
  <c r="AE181" i="4"/>
  <c r="AE182" i="4"/>
  <c r="AE183" i="4"/>
  <c r="AE184" i="4"/>
  <c r="AE185" i="4"/>
  <c r="AE186" i="4"/>
  <c r="AE187" i="4"/>
  <c r="AE188" i="4"/>
  <c r="AE189" i="4"/>
  <c r="AE190" i="4"/>
  <c r="AE191" i="4"/>
  <c r="AE192" i="4"/>
  <c r="AE193" i="4"/>
  <c r="AE194" i="4"/>
  <c r="AE195" i="4"/>
  <c r="AE196" i="4"/>
  <c r="AE197" i="4"/>
  <c r="AE198" i="4"/>
  <c r="AE199" i="4"/>
  <c r="AE200" i="4"/>
  <c r="AE201" i="4"/>
  <c r="AE202" i="4"/>
  <c r="AE203" i="4"/>
  <c r="AE204" i="4"/>
  <c r="AE205" i="4"/>
  <c r="AE206" i="4"/>
  <c r="AE207" i="4"/>
  <c r="AE220" i="4"/>
  <c r="AE221" i="4"/>
  <c r="M3" i="9" l="1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2" i="9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2" i="9"/>
  <c r="J5" i="7" l="1"/>
  <c r="J8" i="7"/>
  <c r="H27" i="7" l="1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" i="7" l="1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" i="7"/>
  <c r="H3" i="7"/>
  <c r="E161" i="3" l="1"/>
  <c r="E160" i="3"/>
  <c r="E159" i="3"/>
  <c r="E158" i="3"/>
  <c r="E157" i="3"/>
  <c r="E156" i="3"/>
  <c r="E163" i="3" l="1"/>
  <c r="E209" i="3"/>
  <c r="E165" i="3"/>
  <c r="E213" i="3"/>
  <c r="E164" i="3"/>
  <c r="E214" i="3"/>
  <c r="E212" i="3"/>
  <c r="E211" i="3"/>
  <c r="E162" i="3"/>
  <c r="E210" i="3"/>
  <c r="E166" i="3"/>
  <c r="E167" i="3"/>
  <c r="C221" i="4"/>
  <c r="AG221" i="4"/>
  <c r="AH221" i="4"/>
  <c r="BB221" i="4"/>
  <c r="BC221" i="4"/>
  <c r="BD221" i="4"/>
  <c r="AI221" i="4"/>
  <c r="AJ221" i="4"/>
  <c r="AK221" i="4"/>
  <c r="AL221" i="4"/>
  <c r="AM221" i="4"/>
  <c r="AN221" i="4"/>
  <c r="AO221" i="4"/>
  <c r="AP221" i="4"/>
  <c r="AQ221" i="4"/>
  <c r="AR221" i="4"/>
  <c r="AS221" i="4"/>
  <c r="AT221" i="4"/>
  <c r="AU221" i="4"/>
  <c r="AV221" i="4"/>
  <c r="AW221" i="4"/>
  <c r="AX221" i="4"/>
  <c r="AY221" i="4"/>
  <c r="AZ221" i="4"/>
  <c r="BA221" i="4"/>
  <c r="AF221" i="4"/>
  <c r="AD221" i="4"/>
  <c r="U221" i="4"/>
  <c r="V221" i="4"/>
  <c r="W221" i="4"/>
  <c r="X221" i="4"/>
  <c r="Y221" i="4"/>
  <c r="Z221" i="4"/>
  <c r="AA221" i="4"/>
  <c r="AC221" i="4"/>
  <c r="W137" i="4" l="1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B11" i="4" l="1"/>
  <c r="B12" i="4"/>
  <c r="B13" i="4"/>
  <c r="B14" i="4"/>
  <c r="B15" i="4"/>
  <c r="B19" i="4"/>
  <c r="B20" i="4"/>
  <c r="B21" i="4"/>
  <c r="B22" i="4"/>
  <c r="B23" i="4"/>
  <c r="B24" i="4"/>
  <c r="B25" i="4"/>
  <c r="B29" i="4"/>
  <c r="B30" i="4"/>
  <c r="B31" i="4"/>
  <c r="B32" i="4"/>
  <c r="B33" i="4"/>
  <c r="B34" i="4"/>
  <c r="B38" i="4"/>
  <c r="B39" i="4"/>
  <c r="B40" i="4"/>
  <c r="B41" i="4"/>
  <c r="B42" i="4"/>
  <c r="B43" i="4"/>
  <c r="B47" i="4"/>
  <c r="B48" i="4"/>
  <c r="B49" i="4"/>
  <c r="B50" i="4"/>
  <c r="B51" i="4"/>
  <c r="B52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92" i="4"/>
  <c r="B93" i="4"/>
  <c r="B94" i="4"/>
  <c r="B95" i="4"/>
  <c r="B96" i="4"/>
  <c r="B97" i="4"/>
  <c r="B101" i="4"/>
  <c r="B102" i="4"/>
  <c r="B103" i="4"/>
  <c r="B104" i="4"/>
  <c r="B105" i="4"/>
  <c r="B106" i="4"/>
  <c r="B110" i="4"/>
  <c r="B111" i="4"/>
  <c r="B112" i="4"/>
  <c r="B113" i="4"/>
  <c r="B114" i="4"/>
  <c r="B115" i="4"/>
  <c r="B119" i="4"/>
  <c r="B120" i="4"/>
  <c r="B121" i="4"/>
  <c r="B122" i="4"/>
  <c r="B123" i="4"/>
  <c r="B124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10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83" i="4"/>
  <c r="C84" i="4"/>
  <c r="C85" i="4"/>
  <c r="C86" i="4"/>
  <c r="C87" i="4"/>
  <c r="C88" i="4"/>
  <c r="C92" i="4"/>
  <c r="C93" i="4"/>
  <c r="C94" i="4"/>
  <c r="C95" i="4"/>
  <c r="C96" i="4"/>
  <c r="C97" i="4"/>
  <c r="C101" i="4"/>
  <c r="C102" i="4"/>
  <c r="C103" i="4"/>
  <c r="C104" i="4"/>
  <c r="C105" i="4"/>
  <c r="C106" i="4"/>
  <c r="C110" i="4"/>
  <c r="C111" i="4"/>
  <c r="C112" i="4"/>
  <c r="C113" i="4"/>
  <c r="C114" i="4"/>
  <c r="C115" i="4"/>
  <c r="C119" i="4"/>
  <c r="C120" i="4"/>
  <c r="C121" i="4"/>
  <c r="C122" i="4"/>
  <c r="C123" i="4"/>
  <c r="C124" i="4"/>
  <c r="C128" i="4"/>
  <c r="C129" i="4"/>
  <c r="C130" i="4"/>
  <c r="C131" i="4"/>
  <c r="C132" i="4"/>
  <c r="C133" i="4"/>
  <c r="C49" i="4"/>
  <c r="C50" i="4"/>
  <c r="C51" i="4"/>
  <c r="C52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11" i="4"/>
  <c r="C12" i="4"/>
  <c r="C13" i="4"/>
  <c r="C14" i="4"/>
  <c r="C15" i="4"/>
  <c r="C19" i="4"/>
  <c r="C20" i="4"/>
  <c r="C21" i="4"/>
  <c r="C22" i="4"/>
  <c r="C23" i="4"/>
  <c r="C24" i="4"/>
  <c r="C25" i="4"/>
  <c r="C29" i="4"/>
  <c r="C30" i="4"/>
  <c r="C31" i="4"/>
  <c r="C32" i="4"/>
  <c r="C33" i="4"/>
  <c r="C34" i="4"/>
  <c r="C38" i="4"/>
  <c r="C39" i="4"/>
  <c r="C40" i="4"/>
  <c r="C41" i="4"/>
  <c r="C42" i="4"/>
  <c r="C43" i="4"/>
  <c r="C47" i="4"/>
  <c r="C48" i="4"/>
  <c r="C10" i="4"/>
  <c r="E216" i="3"/>
  <c r="E218" i="3"/>
  <c r="E219" i="3"/>
  <c r="E220" i="3"/>
  <c r="E169" i="3"/>
  <c r="E170" i="3"/>
  <c r="E171" i="3"/>
  <c r="E172" i="3"/>
  <c r="E173" i="3"/>
  <c r="E174" i="3"/>
  <c r="E175" i="3"/>
  <c r="E176" i="3"/>
  <c r="E177" i="3"/>
  <c r="E180" i="3"/>
  <c r="E181" i="3"/>
  <c r="E85" i="3"/>
  <c r="E86" i="3"/>
  <c r="E87" i="3"/>
  <c r="E88" i="3"/>
  <c r="E89" i="3"/>
  <c r="E93" i="3"/>
  <c r="E94" i="3"/>
  <c r="E95" i="3"/>
  <c r="E96" i="3"/>
  <c r="E97" i="3"/>
  <c r="E98" i="3"/>
  <c r="E102" i="3"/>
  <c r="E103" i="3"/>
  <c r="E104" i="3"/>
  <c r="E105" i="3"/>
  <c r="E106" i="3"/>
  <c r="E107" i="3"/>
  <c r="E111" i="3"/>
  <c r="E112" i="3"/>
  <c r="E113" i="3"/>
  <c r="E114" i="3"/>
  <c r="E115" i="3"/>
  <c r="E116" i="3"/>
  <c r="E120" i="3"/>
  <c r="E121" i="3"/>
  <c r="E122" i="3"/>
  <c r="E123" i="3"/>
  <c r="E124" i="3"/>
  <c r="E125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84" i="3"/>
  <c r="E58" i="3"/>
  <c r="E12" i="3"/>
  <c r="E13" i="3"/>
  <c r="E14" i="3"/>
  <c r="E15" i="3"/>
  <c r="E16" i="3"/>
  <c r="E21" i="3"/>
  <c r="E22" i="3"/>
  <c r="E23" i="3"/>
  <c r="E24" i="3"/>
  <c r="E25" i="3"/>
  <c r="E26" i="3"/>
  <c r="E30" i="3"/>
  <c r="E31" i="3"/>
  <c r="E32" i="3"/>
  <c r="E33" i="3"/>
  <c r="E34" i="3"/>
  <c r="E35" i="3"/>
  <c r="E39" i="3"/>
  <c r="E40" i="3"/>
  <c r="E41" i="3"/>
  <c r="E42" i="3"/>
  <c r="E43" i="3"/>
  <c r="E44" i="3"/>
  <c r="E48" i="3"/>
  <c r="E49" i="3"/>
  <c r="E50" i="3"/>
  <c r="E51" i="3"/>
  <c r="E52" i="3"/>
  <c r="E53" i="3"/>
  <c r="E57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11" i="3"/>
  <c r="E20" i="3" l="1"/>
  <c r="E217" i="3"/>
  <c r="E215" i="3"/>
  <c r="S62" i="4"/>
  <c r="S136" i="4"/>
  <c r="S153" i="4"/>
  <c r="S154" i="4"/>
  <c r="S64" i="4"/>
  <c r="S71" i="4"/>
  <c r="S72" i="4"/>
  <c r="S73" i="4"/>
  <c r="S80" i="4"/>
  <c r="S81" i="4"/>
  <c r="S10" i="4"/>
  <c r="S135" i="4"/>
  <c r="S143" i="4"/>
  <c r="S144" i="4"/>
  <c r="S152" i="4"/>
  <c r="S82" i="4"/>
  <c r="S63" i="4"/>
  <c r="A3" i="8"/>
  <c r="A4" i="8"/>
  <c r="A2" i="8"/>
  <c r="BD82" i="4"/>
  <c r="BC82" i="4"/>
  <c r="BB82" i="4"/>
  <c r="BA82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N82" i="4"/>
  <c r="AM82" i="4"/>
  <c r="AL82" i="4"/>
  <c r="AK82" i="4"/>
  <c r="AJ82" i="4"/>
  <c r="AI82" i="4"/>
  <c r="AH82" i="4"/>
  <c r="AC82" i="4"/>
  <c r="Z82" i="4"/>
  <c r="Y82" i="4"/>
  <c r="X82" i="4"/>
  <c r="W82" i="4"/>
  <c r="V82" i="4"/>
  <c r="U82" i="4"/>
  <c r="BD81" i="4"/>
  <c r="BC81" i="4"/>
  <c r="BB81" i="4"/>
  <c r="BA81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N81" i="4"/>
  <c r="AM81" i="4"/>
  <c r="AL81" i="4"/>
  <c r="AK81" i="4"/>
  <c r="AJ81" i="4"/>
  <c r="AI81" i="4"/>
  <c r="AH81" i="4"/>
  <c r="AC81" i="4"/>
  <c r="Z81" i="4"/>
  <c r="Y81" i="4"/>
  <c r="X81" i="4"/>
  <c r="W81" i="4"/>
  <c r="V81" i="4"/>
  <c r="U81" i="4"/>
  <c r="BD80" i="4"/>
  <c r="BC80" i="4"/>
  <c r="BB80" i="4"/>
  <c r="BA80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N80" i="4"/>
  <c r="AM80" i="4"/>
  <c r="AL80" i="4"/>
  <c r="AK80" i="4"/>
  <c r="AJ80" i="4"/>
  <c r="AI80" i="4"/>
  <c r="AH80" i="4"/>
  <c r="AC80" i="4"/>
  <c r="Z80" i="4"/>
  <c r="Y80" i="4"/>
  <c r="X80" i="4"/>
  <c r="W80" i="4"/>
  <c r="V80" i="4"/>
  <c r="U80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C73" i="4"/>
  <c r="Z73" i="4"/>
  <c r="Y73" i="4"/>
  <c r="X73" i="4"/>
  <c r="W73" i="4"/>
  <c r="V73" i="4"/>
  <c r="U73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C72" i="4"/>
  <c r="Z72" i="4"/>
  <c r="Y72" i="4"/>
  <c r="X72" i="4"/>
  <c r="W72" i="4"/>
  <c r="V72" i="4"/>
  <c r="U72" i="4"/>
  <c r="BD71" i="4"/>
  <c r="BC71" i="4"/>
  <c r="BB71" i="4"/>
  <c r="BA71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C71" i="4"/>
  <c r="Z71" i="4"/>
  <c r="Y71" i="4"/>
  <c r="X71" i="4"/>
  <c r="W71" i="4"/>
  <c r="V71" i="4"/>
  <c r="U71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C64" i="4"/>
  <c r="Z64" i="4"/>
  <c r="Y64" i="4"/>
  <c r="X64" i="4"/>
  <c r="W64" i="4"/>
  <c r="V64" i="4"/>
  <c r="U64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C63" i="4"/>
  <c r="Z63" i="4"/>
  <c r="Y63" i="4"/>
  <c r="X63" i="4"/>
  <c r="W63" i="4"/>
  <c r="V63" i="4"/>
  <c r="U63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C62" i="4"/>
  <c r="Z62" i="4"/>
  <c r="Y62" i="4"/>
  <c r="X62" i="4"/>
  <c r="W62" i="4"/>
  <c r="V62" i="4"/>
  <c r="U62" i="4"/>
  <c r="BD154" i="4"/>
  <c r="BC154" i="4"/>
  <c r="BB154" i="4"/>
  <c r="BA154" i="4"/>
  <c r="AZ154" i="4"/>
  <c r="AY154" i="4"/>
  <c r="AX154" i="4"/>
  <c r="AW154" i="4"/>
  <c r="AV154" i="4"/>
  <c r="AU154" i="4"/>
  <c r="AT154" i="4"/>
  <c r="AS154" i="4"/>
  <c r="AR154" i="4"/>
  <c r="AQ154" i="4"/>
  <c r="AP154" i="4"/>
  <c r="AO154" i="4"/>
  <c r="AN154" i="4"/>
  <c r="AM154" i="4"/>
  <c r="AL154" i="4"/>
  <c r="AK154" i="4"/>
  <c r="AJ154" i="4"/>
  <c r="AI154" i="4"/>
  <c r="AH154" i="4"/>
  <c r="AG154" i="4"/>
  <c r="AC154" i="4"/>
  <c r="AA154" i="4"/>
  <c r="Z154" i="4"/>
  <c r="Y154" i="4"/>
  <c r="X154" i="4"/>
  <c r="V154" i="4"/>
  <c r="U154" i="4"/>
  <c r="BD153" i="4"/>
  <c r="BC153" i="4"/>
  <c r="BB153" i="4"/>
  <c r="BA153" i="4"/>
  <c r="AZ153" i="4"/>
  <c r="AY153" i="4"/>
  <c r="AX153" i="4"/>
  <c r="AW153" i="4"/>
  <c r="AV153" i="4"/>
  <c r="AU153" i="4"/>
  <c r="AT153" i="4"/>
  <c r="AS153" i="4"/>
  <c r="AR153" i="4"/>
  <c r="AQ153" i="4"/>
  <c r="AP153" i="4"/>
  <c r="AO153" i="4"/>
  <c r="AN153" i="4"/>
  <c r="AM153" i="4"/>
  <c r="AL153" i="4"/>
  <c r="AK153" i="4"/>
  <c r="AJ153" i="4"/>
  <c r="AI153" i="4"/>
  <c r="AH153" i="4"/>
  <c r="AG153" i="4"/>
  <c r="AC153" i="4"/>
  <c r="AA153" i="4"/>
  <c r="Z153" i="4"/>
  <c r="Y153" i="4"/>
  <c r="X153" i="4"/>
  <c r="V153" i="4"/>
  <c r="U153" i="4"/>
  <c r="BD152" i="4"/>
  <c r="BC152" i="4"/>
  <c r="BB152" i="4"/>
  <c r="BA152" i="4"/>
  <c r="AZ152" i="4"/>
  <c r="AY152" i="4"/>
  <c r="AX152" i="4"/>
  <c r="AW152" i="4"/>
  <c r="AV152" i="4"/>
  <c r="AU152" i="4"/>
  <c r="AT152" i="4"/>
  <c r="AS152" i="4"/>
  <c r="AR152" i="4"/>
  <c r="AQ152" i="4"/>
  <c r="AP152" i="4"/>
  <c r="AO152" i="4"/>
  <c r="AN152" i="4"/>
  <c r="AM152" i="4"/>
  <c r="AL152" i="4"/>
  <c r="AK152" i="4"/>
  <c r="AJ152" i="4"/>
  <c r="AI152" i="4"/>
  <c r="AH152" i="4"/>
  <c r="AG152" i="4"/>
  <c r="AC152" i="4"/>
  <c r="Z152" i="4"/>
  <c r="Y152" i="4"/>
  <c r="X152" i="4"/>
  <c r="V152" i="4"/>
  <c r="U152" i="4"/>
  <c r="BD145" i="4"/>
  <c r="BC145" i="4"/>
  <c r="BB145" i="4"/>
  <c r="BA145" i="4"/>
  <c r="AZ145" i="4"/>
  <c r="AY145" i="4"/>
  <c r="AX145" i="4"/>
  <c r="AW145" i="4"/>
  <c r="AV145" i="4"/>
  <c r="AU145" i="4"/>
  <c r="AT145" i="4"/>
  <c r="AS145" i="4"/>
  <c r="AR145" i="4"/>
  <c r="AQ145" i="4"/>
  <c r="AP145" i="4"/>
  <c r="AO145" i="4"/>
  <c r="AN145" i="4"/>
  <c r="AM145" i="4"/>
  <c r="AL145" i="4"/>
  <c r="AK145" i="4"/>
  <c r="AJ145" i="4"/>
  <c r="AI145" i="4"/>
  <c r="AH145" i="4"/>
  <c r="AG145" i="4"/>
  <c r="AC145" i="4"/>
  <c r="AA145" i="4"/>
  <c r="Z145" i="4"/>
  <c r="Y145" i="4"/>
  <c r="X145" i="4"/>
  <c r="V145" i="4"/>
  <c r="U145" i="4"/>
  <c r="S145" i="4"/>
  <c r="BD144" i="4"/>
  <c r="BC144" i="4"/>
  <c r="BB144" i="4"/>
  <c r="BA144" i="4"/>
  <c r="AZ144" i="4"/>
  <c r="AY144" i="4"/>
  <c r="AX144" i="4"/>
  <c r="AW144" i="4"/>
  <c r="AV144" i="4"/>
  <c r="AU144" i="4"/>
  <c r="AT144" i="4"/>
  <c r="AS144" i="4"/>
  <c r="AR144" i="4"/>
  <c r="AQ144" i="4"/>
  <c r="AP144" i="4"/>
  <c r="AO144" i="4"/>
  <c r="AN144" i="4"/>
  <c r="AM144" i="4"/>
  <c r="AL144" i="4"/>
  <c r="AK144" i="4"/>
  <c r="AJ144" i="4"/>
  <c r="AI144" i="4"/>
  <c r="AH144" i="4"/>
  <c r="AF144" i="4"/>
  <c r="AC144" i="4"/>
  <c r="Z144" i="4"/>
  <c r="Y144" i="4"/>
  <c r="X144" i="4"/>
  <c r="V144" i="4"/>
  <c r="U144" i="4"/>
  <c r="BD143" i="4"/>
  <c r="BC143" i="4"/>
  <c r="BB143" i="4"/>
  <c r="BA143" i="4"/>
  <c r="AZ143" i="4"/>
  <c r="AY143" i="4"/>
  <c r="AX143" i="4"/>
  <c r="AW143" i="4"/>
  <c r="AV143" i="4"/>
  <c r="AU143" i="4"/>
  <c r="AT143" i="4"/>
  <c r="AS143" i="4"/>
  <c r="AR143" i="4"/>
  <c r="AQ143" i="4"/>
  <c r="AP143" i="4"/>
  <c r="AO143" i="4"/>
  <c r="AN143" i="4"/>
  <c r="AM143" i="4"/>
  <c r="AL143" i="4"/>
  <c r="AK143" i="4"/>
  <c r="AJ143" i="4"/>
  <c r="AI143" i="4"/>
  <c r="AH143" i="4"/>
  <c r="AC143" i="4"/>
  <c r="Z143" i="4"/>
  <c r="Y143" i="4"/>
  <c r="X143" i="4"/>
  <c r="V143" i="4"/>
  <c r="U143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R136" i="4"/>
  <c r="AQ136" i="4"/>
  <c r="AP136" i="4"/>
  <c r="AO136" i="4"/>
  <c r="AN136" i="4"/>
  <c r="AM136" i="4"/>
  <c r="AL136" i="4"/>
  <c r="AK136" i="4"/>
  <c r="AJ136" i="4"/>
  <c r="AI136" i="4"/>
  <c r="AH136" i="4"/>
  <c r="AC136" i="4"/>
  <c r="Z136" i="4"/>
  <c r="Y136" i="4"/>
  <c r="X136" i="4"/>
  <c r="W136" i="4"/>
  <c r="V136" i="4"/>
  <c r="U136" i="4"/>
  <c r="BD135" i="4"/>
  <c r="BC135" i="4"/>
  <c r="BB135" i="4"/>
  <c r="BA135" i="4"/>
  <c r="AZ135" i="4"/>
  <c r="AY135" i="4"/>
  <c r="AX135" i="4"/>
  <c r="AW135" i="4"/>
  <c r="AV135" i="4"/>
  <c r="AU135" i="4"/>
  <c r="AT135" i="4"/>
  <c r="AS135" i="4"/>
  <c r="AR135" i="4"/>
  <c r="AQ135" i="4"/>
  <c r="AP135" i="4"/>
  <c r="AO135" i="4"/>
  <c r="AN135" i="4"/>
  <c r="AM135" i="4"/>
  <c r="AL135" i="4"/>
  <c r="AK135" i="4"/>
  <c r="AJ135" i="4"/>
  <c r="AI135" i="4"/>
  <c r="AH135" i="4"/>
  <c r="AF135" i="4"/>
  <c r="AC135" i="4"/>
  <c r="Z135" i="4"/>
  <c r="Y135" i="4"/>
  <c r="X135" i="4"/>
  <c r="W135" i="4"/>
  <c r="V135" i="4"/>
  <c r="U135" i="4"/>
  <c r="BD134" i="4"/>
  <c r="BC134" i="4"/>
  <c r="BB134" i="4"/>
  <c r="BA134" i="4"/>
  <c r="AZ134" i="4"/>
  <c r="AY134" i="4"/>
  <c r="AX134" i="4"/>
  <c r="AW134" i="4"/>
  <c r="AV134" i="4"/>
  <c r="AU134" i="4"/>
  <c r="AT134" i="4"/>
  <c r="AS134" i="4"/>
  <c r="AR134" i="4"/>
  <c r="AQ134" i="4"/>
  <c r="AP134" i="4"/>
  <c r="AO134" i="4"/>
  <c r="AN134" i="4"/>
  <c r="AM134" i="4"/>
  <c r="AL134" i="4"/>
  <c r="AK134" i="4"/>
  <c r="AJ134" i="4"/>
  <c r="AI134" i="4"/>
  <c r="AH134" i="4"/>
  <c r="AG134" i="4"/>
  <c r="AC134" i="4"/>
  <c r="Z134" i="4"/>
  <c r="Y134" i="4"/>
  <c r="X134" i="4"/>
  <c r="W134" i="4"/>
  <c r="V134" i="4"/>
  <c r="U134" i="4"/>
  <c r="S134" i="4"/>
  <c r="P51" i="3"/>
  <c r="P52" i="3"/>
  <c r="P53" i="3"/>
  <c r="P58" i="3"/>
  <c r="P59" i="3"/>
  <c r="P60" i="3"/>
  <c r="P61" i="3"/>
  <c r="P62" i="3"/>
  <c r="P63" i="3"/>
  <c r="AS63" i="3" s="1"/>
  <c r="P64" i="3"/>
  <c r="AS64" i="3" s="1"/>
  <c r="P65" i="3"/>
  <c r="AS65" i="3" s="1"/>
  <c r="P66" i="3"/>
  <c r="P67" i="3"/>
  <c r="P68" i="3"/>
  <c r="P69" i="3"/>
  <c r="P70" i="3"/>
  <c r="P71" i="3"/>
  <c r="P72" i="3"/>
  <c r="AD71" i="4" s="1"/>
  <c r="P73" i="3"/>
  <c r="AD72" i="4" s="1"/>
  <c r="P74" i="3"/>
  <c r="AD73" i="4" s="1"/>
  <c r="P75" i="3"/>
  <c r="P76" i="3"/>
  <c r="P77" i="3"/>
  <c r="P78" i="3"/>
  <c r="P79" i="3"/>
  <c r="P80" i="3"/>
  <c r="P81" i="3"/>
  <c r="AD80" i="4" s="1"/>
  <c r="P82" i="3"/>
  <c r="AD81" i="4" s="1"/>
  <c r="P83" i="3"/>
  <c r="AS83" i="3" s="1"/>
  <c r="P23" i="3"/>
  <c r="P24" i="3"/>
  <c r="P25" i="3"/>
  <c r="P26" i="3"/>
  <c r="P31" i="3"/>
  <c r="P32" i="3"/>
  <c r="P33" i="3"/>
  <c r="P34" i="3"/>
  <c r="P35" i="3"/>
  <c r="P40" i="3"/>
  <c r="P41" i="3"/>
  <c r="P42" i="3"/>
  <c r="P43" i="3"/>
  <c r="P44" i="3"/>
  <c r="P49" i="3"/>
  <c r="P50" i="3"/>
  <c r="P86" i="3"/>
  <c r="P87" i="3"/>
  <c r="P88" i="3"/>
  <c r="P89" i="3"/>
  <c r="P95" i="3"/>
  <c r="P96" i="3"/>
  <c r="P97" i="3"/>
  <c r="P98" i="3"/>
  <c r="AS135" i="3"/>
  <c r="AD135" i="4"/>
  <c r="AD136" i="4"/>
  <c r="AS144" i="3"/>
  <c r="AD144" i="4"/>
  <c r="AD145" i="4"/>
  <c r="AD152" i="4"/>
  <c r="AS154" i="3"/>
  <c r="AS155" i="3"/>
  <c r="P85" i="3"/>
  <c r="AR155" i="3"/>
  <c r="AQ155" i="3"/>
  <c r="S155" i="3"/>
  <c r="R155" i="3"/>
  <c r="AF154" i="4" s="1"/>
  <c r="M155" i="3"/>
  <c r="AR154" i="3"/>
  <c r="AQ154" i="3"/>
  <c r="S154" i="3"/>
  <c r="R154" i="3"/>
  <c r="AF153" i="4" s="1"/>
  <c r="M154" i="3"/>
  <c r="AR153" i="3"/>
  <c r="AQ153" i="3"/>
  <c r="S153" i="3"/>
  <c r="R153" i="3"/>
  <c r="AF152" i="4" s="1"/>
  <c r="M153" i="3"/>
  <c r="AA152" i="4" s="1"/>
  <c r="AS146" i="3"/>
  <c r="AR146" i="3"/>
  <c r="AQ146" i="3"/>
  <c r="S146" i="3"/>
  <c r="R146" i="3"/>
  <c r="AF145" i="4" s="1"/>
  <c r="M146" i="3"/>
  <c r="AR145" i="3"/>
  <c r="AQ145" i="3"/>
  <c r="S145" i="3"/>
  <c r="AG144" i="4" s="1"/>
  <c r="R145" i="3"/>
  <c r="M145" i="3"/>
  <c r="AA144" i="4" s="1"/>
  <c r="AR144" i="3"/>
  <c r="AQ144" i="3"/>
  <c r="S144" i="3"/>
  <c r="AG143" i="4" s="1"/>
  <c r="R144" i="3"/>
  <c r="AF143" i="4" s="1"/>
  <c r="M144" i="3"/>
  <c r="AA143" i="4" s="1"/>
  <c r="AR137" i="3"/>
  <c r="AQ137" i="3"/>
  <c r="S137" i="3"/>
  <c r="AG136" i="4" s="1"/>
  <c r="R137" i="3"/>
  <c r="AF136" i="4" s="1"/>
  <c r="M137" i="3"/>
  <c r="AA136" i="4" s="1"/>
  <c r="AR136" i="3"/>
  <c r="AQ136" i="3"/>
  <c r="S136" i="3"/>
  <c r="AG135" i="4" s="1"/>
  <c r="R136" i="3"/>
  <c r="M136" i="3"/>
  <c r="AA135" i="4" s="1"/>
  <c r="AR135" i="3"/>
  <c r="AQ135" i="3"/>
  <c r="S135" i="3"/>
  <c r="R135" i="3"/>
  <c r="AF134" i="4" s="1"/>
  <c r="M135" i="3"/>
  <c r="AA134" i="4" s="1"/>
  <c r="AR65" i="3"/>
  <c r="S65" i="3"/>
  <c r="M65" i="3"/>
  <c r="AA64" i="4" s="1"/>
  <c r="AR64" i="3"/>
  <c r="S64" i="3"/>
  <c r="M64" i="3"/>
  <c r="AA63" i="4" s="1"/>
  <c r="AR63" i="3"/>
  <c r="S63" i="3"/>
  <c r="M63" i="3"/>
  <c r="AA62" i="4" s="1"/>
  <c r="AR83" i="3"/>
  <c r="S83" i="3"/>
  <c r="M83" i="3"/>
  <c r="AA82" i="4" s="1"/>
  <c r="AR82" i="3"/>
  <c r="S82" i="3"/>
  <c r="M82" i="3"/>
  <c r="AA81" i="4" s="1"/>
  <c r="AR81" i="3"/>
  <c r="S81" i="3"/>
  <c r="M81" i="3"/>
  <c r="AA80" i="4" s="1"/>
  <c r="AR74" i="3"/>
  <c r="S74" i="3"/>
  <c r="M74" i="3"/>
  <c r="AA73" i="4" s="1"/>
  <c r="AR73" i="3"/>
  <c r="S73" i="3"/>
  <c r="M73" i="3"/>
  <c r="AA72" i="4" s="1"/>
  <c r="AR72" i="3"/>
  <c r="S72" i="3"/>
  <c r="M72" i="3"/>
  <c r="AA71" i="4" s="1"/>
  <c r="AS145" i="3" l="1"/>
  <c r="AS153" i="3"/>
  <c r="AS137" i="3"/>
  <c r="AD153" i="4"/>
  <c r="AD143" i="4"/>
  <c r="AD82" i="4"/>
  <c r="AD134" i="4"/>
  <c r="AS136" i="3"/>
  <c r="AS82" i="3"/>
  <c r="AD154" i="4"/>
  <c r="AS74" i="3"/>
  <c r="AS72" i="3"/>
  <c r="AD63" i="4"/>
  <c r="AS73" i="3"/>
  <c r="AS81" i="3"/>
  <c r="AD62" i="4"/>
  <c r="AD64" i="4"/>
  <c r="BD151" i="4"/>
  <c r="BC151" i="4"/>
  <c r="BB151" i="4"/>
  <c r="BA151" i="4"/>
  <c r="AZ151" i="4"/>
  <c r="AY151" i="4"/>
  <c r="AX151" i="4"/>
  <c r="AW151" i="4"/>
  <c r="AV151" i="4"/>
  <c r="AU151" i="4"/>
  <c r="AT151" i="4"/>
  <c r="AS151" i="4"/>
  <c r="AR151" i="4"/>
  <c r="AQ151" i="4"/>
  <c r="AP151" i="4"/>
  <c r="AO151" i="4"/>
  <c r="AN151" i="4"/>
  <c r="AM151" i="4"/>
  <c r="AL151" i="4"/>
  <c r="AK151" i="4"/>
  <c r="AJ151" i="4"/>
  <c r="AI151" i="4"/>
  <c r="AH151" i="4"/>
  <c r="AD151" i="4"/>
  <c r="AC151" i="4"/>
  <c r="Z151" i="4"/>
  <c r="Y151" i="4"/>
  <c r="X151" i="4"/>
  <c r="V151" i="4"/>
  <c r="U151" i="4"/>
  <c r="BD150" i="4"/>
  <c r="BC150" i="4"/>
  <c r="BB150" i="4"/>
  <c r="BA150" i="4"/>
  <c r="AZ150" i="4"/>
  <c r="AY150" i="4"/>
  <c r="AX150" i="4"/>
  <c r="AW150" i="4"/>
  <c r="AV150" i="4"/>
  <c r="AU150" i="4"/>
  <c r="AT150" i="4"/>
  <c r="AS150" i="4"/>
  <c r="AR150" i="4"/>
  <c r="AQ150" i="4"/>
  <c r="AP150" i="4"/>
  <c r="AO150" i="4"/>
  <c r="AN150" i="4"/>
  <c r="AM150" i="4"/>
  <c r="AL150" i="4"/>
  <c r="AK150" i="4"/>
  <c r="AJ150" i="4"/>
  <c r="AI150" i="4"/>
  <c r="AH150" i="4"/>
  <c r="AD150" i="4"/>
  <c r="AC150" i="4"/>
  <c r="Z150" i="4"/>
  <c r="Y150" i="4"/>
  <c r="X150" i="4"/>
  <c r="V150" i="4"/>
  <c r="U150" i="4"/>
  <c r="BD149" i="4"/>
  <c r="BC149" i="4"/>
  <c r="BB149" i="4"/>
  <c r="BA149" i="4"/>
  <c r="AZ149" i="4"/>
  <c r="AY149" i="4"/>
  <c r="AX149" i="4"/>
  <c r="AW149" i="4"/>
  <c r="AV149" i="4"/>
  <c r="AU149" i="4"/>
  <c r="AT149" i="4"/>
  <c r="AS149" i="4"/>
  <c r="AR149" i="4"/>
  <c r="AQ149" i="4"/>
  <c r="AP149" i="4"/>
  <c r="AO149" i="4"/>
  <c r="AN149" i="4"/>
  <c r="AM149" i="4"/>
  <c r="AL149" i="4"/>
  <c r="AK149" i="4"/>
  <c r="AJ149" i="4"/>
  <c r="AI149" i="4"/>
  <c r="AH149" i="4"/>
  <c r="AD149" i="4"/>
  <c r="AC149" i="4"/>
  <c r="Z149" i="4"/>
  <c r="Y149" i="4"/>
  <c r="X149" i="4"/>
  <c r="V149" i="4"/>
  <c r="U149" i="4"/>
  <c r="BD148" i="4"/>
  <c r="BC148" i="4"/>
  <c r="BB148" i="4"/>
  <c r="BA148" i="4"/>
  <c r="AZ148" i="4"/>
  <c r="AY148" i="4"/>
  <c r="AX148" i="4"/>
  <c r="AW148" i="4"/>
  <c r="AV148" i="4"/>
  <c r="AU148" i="4"/>
  <c r="AT148" i="4"/>
  <c r="AS148" i="4"/>
  <c r="AR148" i="4"/>
  <c r="AQ148" i="4"/>
  <c r="AP148" i="4"/>
  <c r="AO148" i="4"/>
  <c r="AN148" i="4"/>
  <c r="AM148" i="4"/>
  <c r="AL148" i="4"/>
  <c r="AK148" i="4"/>
  <c r="AJ148" i="4"/>
  <c r="AI148" i="4"/>
  <c r="AH148" i="4"/>
  <c r="AD148" i="4"/>
  <c r="AC148" i="4"/>
  <c r="Z148" i="4"/>
  <c r="Y148" i="4"/>
  <c r="X148" i="4"/>
  <c r="V148" i="4"/>
  <c r="U148" i="4"/>
  <c r="BD147" i="4"/>
  <c r="BC147" i="4"/>
  <c r="BB147" i="4"/>
  <c r="BA147" i="4"/>
  <c r="AZ147" i="4"/>
  <c r="AY147" i="4"/>
  <c r="AX147" i="4"/>
  <c r="AW147" i="4"/>
  <c r="AV147" i="4"/>
  <c r="AU147" i="4"/>
  <c r="AT147" i="4"/>
  <c r="AS147" i="4"/>
  <c r="AR147" i="4"/>
  <c r="AQ147" i="4"/>
  <c r="AP147" i="4"/>
  <c r="AO147" i="4"/>
  <c r="AN147" i="4"/>
  <c r="AM147" i="4"/>
  <c r="AL147" i="4"/>
  <c r="AK147" i="4"/>
  <c r="AJ147" i="4"/>
  <c r="AI147" i="4"/>
  <c r="AH147" i="4"/>
  <c r="AD147" i="4"/>
  <c r="AC147" i="4"/>
  <c r="Z147" i="4"/>
  <c r="Y147" i="4"/>
  <c r="X147" i="4"/>
  <c r="V147" i="4"/>
  <c r="U147" i="4"/>
  <c r="BD146" i="4"/>
  <c r="BC146" i="4"/>
  <c r="BB146" i="4"/>
  <c r="BA146" i="4"/>
  <c r="AZ146" i="4"/>
  <c r="AY146" i="4"/>
  <c r="AX146" i="4"/>
  <c r="AW146" i="4"/>
  <c r="AV146" i="4"/>
  <c r="AU146" i="4"/>
  <c r="AT146" i="4"/>
  <c r="AS146" i="4"/>
  <c r="AR146" i="4"/>
  <c r="AQ146" i="4"/>
  <c r="AP146" i="4"/>
  <c r="AO146" i="4"/>
  <c r="AN146" i="4"/>
  <c r="AM146" i="4"/>
  <c r="AL146" i="4"/>
  <c r="AK146" i="4"/>
  <c r="AJ146" i="4"/>
  <c r="AI146" i="4"/>
  <c r="AH146" i="4"/>
  <c r="AD146" i="4"/>
  <c r="AC146" i="4"/>
  <c r="Z146" i="4"/>
  <c r="Y146" i="4"/>
  <c r="X146" i="4"/>
  <c r="V146" i="4"/>
  <c r="U146" i="4"/>
  <c r="BD142" i="4"/>
  <c r="BC142" i="4"/>
  <c r="BB142" i="4"/>
  <c r="BA142" i="4"/>
  <c r="AZ142" i="4"/>
  <c r="AY142" i="4"/>
  <c r="AX142" i="4"/>
  <c r="AW142" i="4"/>
  <c r="AV142" i="4"/>
  <c r="AU142" i="4"/>
  <c r="AT142" i="4"/>
  <c r="AS142" i="4"/>
  <c r="AR142" i="4"/>
  <c r="AQ142" i="4"/>
  <c r="AP142" i="4"/>
  <c r="AO142" i="4"/>
  <c r="AN142" i="4"/>
  <c r="AM142" i="4"/>
  <c r="AL142" i="4"/>
  <c r="AK142" i="4"/>
  <c r="AJ142" i="4"/>
  <c r="AI142" i="4"/>
  <c r="AH142" i="4"/>
  <c r="AD142" i="4"/>
  <c r="AC142" i="4"/>
  <c r="Z142" i="4"/>
  <c r="Y142" i="4"/>
  <c r="X142" i="4"/>
  <c r="V142" i="4"/>
  <c r="U142" i="4"/>
  <c r="BD141" i="4"/>
  <c r="BC141" i="4"/>
  <c r="BB141" i="4"/>
  <c r="BA141" i="4"/>
  <c r="AZ141" i="4"/>
  <c r="AY141" i="4"/>
  <c r="AX141" i="4"/>
  <c r="AW141" i="4"/>
  <c r="AV141" i="4"/>
  <c r="AU141" i="4"/>
  <c r="AT141" i="4"/>
  <c r="AS141" i="4"/>
  <c r="AR141" i="4"/>
  <c r="AQ141" i="4"/>
  <c r="AP141" i="4"/>
  <c r="AO141" i="4"/>
  <c r="AN141" i="4"/>
  <c r="AM141" i="4"/>
  <c r="AL141" i="4"/>
  <c r="AK141" i="4"/>
  <c r="AJ141" i="4"/>
  <c r="AI141" i="4"/>
  <c r="AH141" i="4"/>
  <c r="AD141" i="4"/>
  <c r="AC141" i="4"/>
  <c r="Z141" i="4"/>
  <c r="Y141" i="4"/>
  <c r="X141" i="4"/>
  <c r="V141" i="4"/>
  <c r="U141" i="4"/>
  <c r="BD140" i="4"/>
  <c r="BC140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AN140" i="4"/>
  <c r="AM140" i="4"/>
  <c r="AL140" i="4"/>
  <c r="AK140" i="4"/>
  <c r="AJ140" i="4"/>
  <c r="AI140" i="4"/>
  <c r="AH140" i="4"/>
  <c r="AD140" i="4"/>
  <c r="AC140" i="4"/>
  <c r="Z140" i="4"/>
  <c r="Y140" i="4"/>
  <c r="X140" i="4"/>
  <c r="V140" i="4"/>
  <c r="U140" i="4"/>
  <c r="BD139" i="4"/>
  <c r="BC139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AN139" i="4"/>
  <c r="AM139" i="4"/>
  <c r="AL139" i="4"/>
  <c r="AK139" i="4"/>
  <c r="AJ139" i="4"/>
  <c r="AI139" i="4"/>
  <c r="AH139" i="4"/>
  <c r="AD139" i="4"/>
  <c r="AC139" i="4"/>
  <c r="Z139" i="4"/>
  <c r="Y139" i="4"/>
  <c r="X139" i="4"/>
  <c r="V139" i="4"/>
  <c r="U139" i="4"/>
  <c r="BD138" i="4"/>
  <c r="BC138" i="4"/>
  <c r="BB138" i="4"/>
  <c r="BA138" i="4"/>
  <c r="AZ138" i="4"/>
  <c r="AY138" i="4"/>
  <c r="AX138" i="4"/>
  <c r="AW138" i="4"/>
  <c r="AV138" i="4"/>
  <c r="AU138" i="4"/>
  <c r="AT138" i="4"/>
  <c r="AS138" i="4"/>
  <c r="AR138" i="4"/>
  <c r="AQ138" i="4"/>
  <c r="AP138" i="4"/>
  <c r="AO138" i="4"/>
  <c r="AN138" i="4"/>
  <c r="AM138" i="4"/>
  <c r="AL138" i="4"/>
  <c r="AK138" i="4"/>
  <c r="AJ138" i="4"/>
  <c r="AI138" i="4"/>
  <c r="AH138" i="4"/>
  <c r="AD138" i="4"/>
  <c r="AC138" i="4"/>
  <c r="Z138" i="4"/>
  <c r="Y138" i="4"/>
  <c r="X138" i="4"/>
  <c r="V138" i="4"/>
  <c r="U138" i="4"/>
  <c r="BD137" i="4"/>
  <c r="BC137" i="4"/>
  <c r="BB137" i="4"/>
  <c r="BA137" i="4"/>
  <c r="AZ137" i="4"/>
  <c r="AY137" i="4"/>
  <c r="AX137" i="4"/>
  <c r="AW137" i="4"/>
  <c r="AV137" i="4"/>
  <c r="AU137" i="4"/>
  <c r="AT137" i="4"/>
  <c r="AS137" i="4"/>
  <c r="AR137" i="4"/>
  <c r="AQ137" i="4"/>
  <c r="AP137" i="4"/>
  <c r="AO137" i="4"/>
  <c r="AN137" i="4"/>
  <c r="AM137" i="4"/>
  <c r="AL137" i="4"/>
  <c r="AK137" i="4"/>
  <c r="AJ137" i="4"/>
  <c r="AI137" i="4"/>
  <c r="AH137" i="4"/>
  <c r="AD137" i="4"/>
  <c r="AC137" i="4"/>
  <c r="Z137" i="4"/>
  <c r="Y137" i="4"/>
  <c r="X137" i="4"/>
  <c r="V137" i="4"/>
  <c r="U137" i="4"/>
  <c r="AD78" i="4"/>
  <c r="AD70" i="4"/>
  <c r="AD74" i="4"/>
  <c r="AD75" i="4"/>
  <c r="AD76" i="4"/>
  <c r="AD77" i="4"/>
  <c r="AD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C79" i="4"/>
  <c r="Z79" i="4"/>
  <c r="Y79" i="4"/>
  <c r="X79" i="4"/>
  <c r="W79" i="4"/>
  <c r="V79" i="4"/>
  <c r="U79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C78" i="4"/>
  <c r="Z78" i="4"/>
  <c r="Y78" i="4"/>
  <c r="X78" i="4"/>
  <c r="W78" i="4"/>
  <c r="V78" i="4"/>
  <c r="U78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C77" i="4"/>
  <c r="Z77" i="4"/>
  <c r="Y77" i="4"/>
  <c r="X77" i="4"/>
  <c r="W77" i="4"/>
  <c r="V77" i="4"/>
  <c r="U77" i="4"/>
  <c r="BD76" i="4"/>
  <c r="BC76" i="4"/>
  <c r="BB76" i="4"/>
  <c r="BA76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C76" i="4"/>
  <c r="Z76" i="4"/>
  <c r="Y76" i="4"/>
  <c r="X76" i="4"/>
  <c r="W76" i="4"/>
  <c r="V76" i="4"/>
  <c r="U76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C75" i="4"/>
  <c r="Z75" i="4"/>
  <c r="Y75" i="4"/>
  <c r="X75" i="4"/>
  <c r="W75" i="4"/>
  <c r="V75" i="4"/>
  <c r="U75" i="4"/>
  <c r="BD74" i="4"/>
  <c r="BC74" i="4"/>
  <c r="BB74" i="4"/>
  <c r="BA74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C74" i="4"/>
  <c r="Z74" i="4"/>
  <c r="Y74" i="4"/>
  <c r="X74" i="4"/>
  <c r="W74" i="4"/>
  <c r="V74" i="4"/>
  <c r="U74" i="4"/>
  <c r="BD70" i="4"/>
  <c r="BC70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C70" i="4"/>
  <c r="Z70" i="4"/>
  <c r="Y70" i="4"/>
  <c r="X70" i="4"/>
  <c r="W70" i="4"/>
  <c r="V70" i="4"/>
  <c r="U70" i="4"/>
  <c r="BD69" i="4"/>
  <c r="BC69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D69" i="4"/>
  <c r="AC69" i="4"/>
  <c r="Z69" i="4"/>
  <c r="Y69" i="4"/>
  <c r="X69" i="4"/>
  <c r="W69" i="4"/>
  <c r="V69" i="4"/>
  <c r="U69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D68" i="4"/>
  <c r="AC68" i="4"/>
  <c r="Z68" i="4"/>
  <c r="Y68" i="4"/>
  <c r="X68" i="4"/>
  <c r="W68" i="4"/>
  <c r="V68" i="4"/>
  <c r="U68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D67" i="4"/>
  <c r="AC67" i="4"/>
  <c r="Z67" i="4"/>
  <c r="Y67" i="4"/>
  <c r="X67" i="4"/>
  <c r="W67" i="4"/>
  <c r="V67" i="4"/>
  <c r="U67" i="4"/>
  <c r="BD66" i="4"/>
  <c r="BC66" i="4"/>
  <c r="BB66" i="4"/>
  <c r="BA66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N66" i="4"/>
  <c r="AM66" i="4"/>
  <c r="AL66" i="4"/>
  <c r="AK66" i="4"/>
  <c r="AJ66" i="4"/>
  <c r="AI66" i="4"/>
  <c r="AH66" i="4"/>
  <c r="AD66" i="4"/>
  <c r="AC66" i="4"/>
  <c r="Z66" i="4"/>
  <c r="Y66" i="4"/>
  <c r="X66" i="4"/>
  <c r="W66" i="4"/>
  <c r="V66" i="4"/>
  <c r="U66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D65" i="4"/>
  <c r="AC65" i="4"/>
  <c r="Z65" i="4"/>
  <c r="Y65" i="4"/>
  <c r="X65" i="4"/>
  <c r="W65" i="4"/>
  <c r="V65" i="4"/>
  <c r="U65" i="4"/>
  <c r="AT20" i="3"/>
  <c r="AY15" i="4" l="1"/>
  <c r="R138" i="3" l="1"/>
  <c r="AF137" i="4" s="1"/>
  <c r="R139" i="3"/>
  <c r="AF138" i="4" s="1"/>
  <c r="R140" i="3"/>
  <c r="AF139" i="4" s="1"/>
  <c r="R141" i="3"/>
  <c r="AF140" i="4" s="1"/>
  <c r="R142" i="3"/>
  <c r="AF141" i="4" s="1"/>
  <c r="R143" i="3"/>
  <c r="AF142" i="4" s="1"/>
  <c r="R147" i="3"/>
  <c r="AF146" i="4" s="1"/>
  <c r="R148" i="3"/>
  <c r="AF147" i="4" s="1"/>
  <c r="R149" i="3"/>
  <c r="AF148" i="4" s="1"/>
  <c r="R150" i="3"/>
  <c r="AF149" i="4" s="1"/>
  <c r="R151" i="3"/>
  <c r="AF150" i="4" s="1"/>
  <c r="R152" i="3"/>
  <c r="AF151" i="4" s="1"/>
  <c r="R85" i="3"/>
  <c r="R86" i="3"/>
  <c r="R87" i="3"/>
  <c r="R88" i="3"/>
  <c r="R89" i="3"/>
  <c r="R93" i="3"/>
  <c r="R94" i="3"/>
  <c r="R95" i="3"/>
  <c r="R96" i="3"/>
  <c r="R97" i="3"/>
  <c r="R98" i="3"/>
  <c r="R102" i="3"/>
  <c r="R103" i="3"/>
  <c r="R104" i="3"/>
  <c r="R105" i="3"/>
  <c r="R106" i="3"/>
  <c r="R107" i="3"/>
  <c r="R111" i="3"/>
  <c r="R112" i="3"/>
  <c r="R113" i="3"/>
  <c r="R114" i="3"/>
  <c r="R115" i="3"/>
  <c r="R116" i="3"/>
  <c r="R120" i="3"/>
  <c r="R121" i="3"/>
  <c r="R122" i="3"/>
  <c r="R123" i="3"/>
  <c r="R124" i="3"/>
  <c r="R125" i="3"/>
  <c r="R129" i="3"/>
  <c r="R130" i="3"/>
  <c r="R131" i="3"/>
  <c r="R132" i="3"/>
  <c r="R133" i="3"/>
  <c r="R134" i="3"/>
  <c r="R84" i="3"/>
  <c r="H2" i="8" l="1"/>
  <c r="BD220" i="4" l="1"/>
  <c r="BC220" i="4"/>
  <c r="BB220" i="4"/>
  <c r="BA220" i="4"/>
  <c r="AZ220" i="4"/>
  <c r="AY220" i="4"/>
  <c r="AX220" i="4"/>
  <c r="AW220" i="4"/>
  <c r="AV220" i="4"/>
  <c r="AU220" i="4"/>
  <c r="AT220" i="4"/>
  <c r="AS220" i="4"/>
  <c r="AR220" i="4"/>
  <c r="AQ220" i="4"/>
  <c r="AP220" i="4"/>
  <c r="AO220" i="4"/>
  <c r="AN220" i="4"/>
  <c r="AM220" i="4"/>
  <c r="AL220" i="4"/>
  <c r="AK220" i="4"/>
  <c r="AJ220" i="4"/>
  <c r="AI220" i="4"/>
  <c r="AH220" i="4"/>
  <c r="AG220" i="4"/>
  <c r="AF220" i="4"/>
  <c r="AD220" i="4"/>
  <c r="AC220" i="4"/>
  <c r="AA220" i="4"/>
  <c r="Z220" i="4"/>
  <c r="Y220" i="4"/>
  <c r="X220" i="4"/>
  <c r="W220" i="4"/>
  <c r="V220" i="4"/>
  <c r="U220" i="4"/>
  <c r="S220" i="4"/>
  <c r="AF8" i="4" l="1"/>
  <c r="AD9" i="4" l="1"/>
  <c r="AD10" i="4"/>
  <c r="AD11" i="4"/>
  <c r="AD12" i="4"/>
  <c r="AD13" i="4"/>
  <c r="AD14" i="4"/>
  <c r="AD15" i="4"/>
  <c r="AD19" i="4"/>
  <c r="AD20" i="4"/>
  <c r="AD21" i="4"/>
  <c r="AD22" i="4"/>
  <c r="AD23" i="4"/>
  <c r="AD24" i="4"/>
  <c r="AD25" i="4"/>
  <c r="AD29" i="4"/>
  <c r="AD30" i="4"/>
  <c r="AD31" i="4"/>
  <c r="AD32" i="4"/>
  <c r="AD33" i="4"/>
  <c r="AD34" i="4"/>
  <c r="AD38" i="4"/>
  <c r="AD39" i="4"/>
  <c r="AD40" i="4"/>
  <c r="AD41" i="4"/>
  <c r="AD42" i="4"/>
  <c r="AD43" i="4"/>
  <c r="AD47" i="4"/>
  <c r="AD48" i="4"/>
  <c r="AD49" i="4"/>
  <c r="AD50" i="4"/>
  <c r="AD51" i="4"/>
  <c r="AD52" i="4"/>
  <c r="AD56" i="4"/>
  <c r="AD57" i="4"/>
  <c r="AD58" i="4"/>
  <c r="AD59" i="4"/>
  <c r="AD60" i="4"/>
  <c r="AD61" i="4"/>
  <c r="AD83" i="4"/>
  <c r="AD84" i="4"/>
  <c r="AD85" i="4"/>
  <c r="AD86" i="4"/>
  <c r="AD87" i="4"/>
  <c r="AD88" i="4"/>
  <c r="AD92" i="4"/>
  <c r="AD93" i="4"/>
  <c r="AD94" i="4"/>
  <c r="AD95" i="4"/>
  <c r="AD96" i="4"/>
  <c r="AD97" i="4"/>
  <c r="AD101" i="4"/>
  <c r="AD102" i="4"/>
  <c r="AD103" i="4"/>
  <c r="AD104" i="4"/>
  <c r="AD105" i="4"/>
  <c r="AD106" i="4"/>
  <c r="AD110" i="4"/>
  <c r="AD111" i="4"/>
  <c r="AD112" i="4"/>
  <c r="AD113" i="4"/>
  <c r="AD114" i="4"/>
  <c r="AD115" i="4"/>
  <c r="AD119" i="4"/>
  <c r="AD120" i="4"/>
  <c r="AD121" i="4"/>
  <c r="AD122" i="4"/>
  <c r="AD123" i="4"/>
  <c r="AD124" i="4"/>
  <c r="AD128" i="4"/>
  <c r="AD129" i="4"/>
  <c r="AD130" i="4"/>
  <c r="AD131" i="4"/>
  <c r="AD132" i="4"/>
  <c r="AD133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D206" i="4"/>
  <c r="AD207" i="4"/>
  <c r="AE11" i="4" l="1"/>
  <c r="AE12" i="4"/>
  <c r="AE13" i="4"/>
  <c r="AE14" i="4"/>
  <c r="AE15" i="4"/>
  <c r="AE19" i="4"/>
  <c r="AE20" i="4"/>
  <c r="AE21" i="4"/>
  <c r="AE22" i="4"/>
  <c r="AE23" i="4"/>
  <c r="AE24" i="4"/>
  <c r="AE25" i="4"/>
  <c r="AE29" i="4"/>
  <c r="AE30" i="4"/>
  <c r="AE31" i="4"/>
  <c r="AE32" i="4"/>
  <c r="AE33" i="4"/>
  <c r="AE34" i="4"/>
  <c r="AH10" i="4" l="1"/>
  <c r="AH11" i="4"/>
  <c r="AH12" i="4"/>
  <c r="AH13" i="4"/>
  <c r="AH14" i="4"/>
  <c r="AH15" i="4"/>
  <c r="AH19" i="4"/>
  <c r="AF11" i="4" l="1"/>
  <c r="AF12" i="4"/>
  <c r="AF13" i="4"/>
  <c r="AF14" i="4"/>
  <c r="AF15" i="4"/>
  <c r="AF19" i="4"/>
  <c r="AF20" i="4"/>
  <c r="AF21" i="4"/>
  <c r="AF22" i="4"/>
  <c r="AF23" i="4"/>
  <c r="AF24" i="4"/>
  <c r="AF25" i="4"/>
  <c r="AF29" i="4"/>
  <c r="AF83" i="4"/>
  <c r="AF84" i="4"/>
  <c r="AF85" i="4"/>
  <c r="AF86" i="4"/>
  <c r="AF87" i="4"/>
  <c r="AF88" i="4"/>
  <c r="AF92" i="4"/>
  <c r="AF93" i="4"/>
  <c r="AF94" i="4"/>
  <c r="AF95" i="4"/>
  <c r="AF96" i="4"/>
  <c r="AF97" i="4"/>
  <c r="AF101" i="4"/>
  <c r="AF102" i="4"/>
  <c r="AF103" i="4"/>
  <c r="AF104" i="4"/>
  <c r="AF105" i="4"/>
  <c r="AF106" i="4"/>
  <c r="AF110" i="4"/>
  <c r="AF111" i="4"/>
  <c r="AF112" i="4"/>
  <c r="AF113" i="4"/>
  <c r="AF114" i="4"/>
  <c r="AF115" i="4"/>
  <c r="AF119" i="4"/>
  <c r="AF120" i="4"/>
  <c r="AF121" i="4"/>
  <c r="AF122" i="4"/>
  <c r="AF123" i="4"/>
  <c r="AF124" i="4"/>
  <c r="AF128" i="4"/>
  <c r="AF129" i="4"/>
  <c r="AF130" i="4"/>
  <c r="AF131" i="4"/>
  <c r="AF132" i="4"/>
  <c r="AF133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5" i="4"/>
  <c r="AF216" i="4"/>
  <c r="AF217" i="4"/>
  <c r="AF218" i="4"/>
  <c r="AF219" i="4"/>
  <c r="AF10" i="4"/>
  <c r="E28" i="7" l="1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H4" i="7" l="1"/>
  <c r="H26" i="7"/>
  <c r="J2" i="7" l="1"/>
  <c r="J3" i="7"/>
  <c r="J4" i="7"/>
  <c r="J6" i="7"/>
  <c r="J7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S20" i="3" l="1"/>
  <c r="AG19" i="4" s="1"/>
  <c r="S169" i="4" l="1"/>
  <c r="AI167" i="4"/>
  <c r="AJ167" i="4"/>
  <c r="AK167" i="4"/>
  <c r="AL167" i="4"/>
  <c r="AM167" i="4"/>
  <c r="AN167" i="4"/>
  <c r="AO167" i="4"/>
  <c r="AP167" i="4"/>
  <c r="AQ167" i="4"/>
  <c r="AR167" i="4"/>
  <c r="AS167" i="4"/>
  <c r="AT167" i="4"/>
  <c r="AU167" i="4"/>
  <c r="AV167" i="4"/>
  <c r="AW167" i="4"/>
  <c r="AX167" i="4"/>
  <c r="AY167" i="4"/>
  <c r="AZ167" i="4"/>
  <c r="BA167" i="4"/>
  <c r="BB167" i="4"/>
  <c r="BC167" i="4"/>
  <c r="BD167" i="4"/>
  <c r="AI168" i="4"/>
  <c r="AJ168" i="4"/>
  <c r="AK168" i="4"/>
  <c r="AL168" i="4"/>
  <c r="AM168" i="4"/>
  <c r="AN168" i="4"/>
  <c r="AO168" i="4"/>
  <c r="AP168" i="4"/>
  <c r="AQ168" i="4"/>
  <c r="AR168" i="4"/>
  <c r="AS168" i="4"/>
  <c r="AT168" i="4"/>
  <c r="AU168" i="4"/>
  <c r="AV168" i="4"/>
  <c r="AW168" i="4"/>
  <c r="AX168" i="4"/>
  <c r="AY168" i="4"/>
  <c r="AZ168" i="4"/>
  <c r="BA168" i="4"/>
  <c r="BB168" i="4"/>
  <c r="BC168" i="4"/>
  <c r="BD168" i="4"/>
  <c r="AI169" i="4"/>
  <c r="AJ169" i="4"/>
  <c r="AK169" i="4"/>
  <c r="AL169" i="4"/>
  <c r="AM169" i="4"/>
  <c r="AN169" i="4"/>
  <c r="AO169" i="4"/>
  <c r="AP169" i="4"/>
  <c r="AQ169" i="4"/>
  <c r="AR169" i="4"/>
  <c r="AS169" i="4"/>
  <c r="AT169" i="4"/>
  <c r="AU169" i="4"/>
  <c r="AV169" i="4"/>
  <c r="AW169" i="4"/>
  <c r="AX169" i="4"/>
  <c r="AY169" i="4"/>
  <c r="AZ169" i="4"/>
  <c r="BA169" i="4"/>
  <c r="BB169" i="4"/>
  <c r="BC169" i="4"/>
  <c r="BD169" i="4"/>
  <c r="AI170" i="4"/>
  <c r="AJ170" i="4"/>
  <c r="AK170" i="4"/>
  <c r="AL170" i="4"/>
  <c r="AM170" i="4"/>
  <c r="AN170" i="4"/>
  <c r="AO170" i="4"/>
  <c r="AP170" i="4"/>
  <c r="AQ170" i="4"/>
  <c r="AR170" i="4"/>
  <c r="AS170" i="4"/>
  <c r="AT170" i="4"/>
  <c r="AU170" i="4"/>
  <c r="AV170" i="4"/>
  <c r="AW170" i="4"/>
  <c r="AX170" i="4"/>
  <c r="AY170" i="4"/>
  <c r="AZ170" i="4"/>
  <c r="BA170" i="4"/>
  <c r="BB170" i="4"/>
  <c r="BC170" i="4"/>
  <c r="BD170" i="4"/>
  <c r="AI171" i="4"/>
  <c r="AJ171" i="4"/>
  <c r="AK171" i="4"/>
  <c r="AL171" i="4"/>
  <c r="AM171" i="4"/>
  <c r="AN171" i="4"/>
  <c r="AO171" i="4"/>
  <c r="AP171" i="4"/>
  <c r="AQ171" i="4"/>
  <c r="AR171" i="4"/>
  <c r="AS171" i="4"/>
  <c r="AT171" i="4"/>
  <c r="AU171" i="4"/>
  <c r="AV171" i="4"/>
  <c r="AW171" i="4"/>
  <c r="AX171" i="4"/>
  <c r="AY171" i="4"/>
  <c r="AZ171" i="4"/>
  <c r="BA171" i="4"/>
  <c r="BB171" i="4"/>
  <c r="BC171" i="4"/>
  <c r="BD171" i="4"/>
  <c r="AI172" i="4"/>
  <c r="AJ172" i="4"/>
  <c r="AK172" i="4"/>
  <c r="AL172" i="4"/>
  <c r="AM172" i="4"/>
  <c r="AN172" i="4"/>
  <c r="AO172" i="4"/>
  <c r="AP172" i="4"/>
  <c r="AQ172" i="4"/>
  <c r="AR172" i="4"/>
  <c r="AS172" i="4"/>
  <c r="AT172" i="4"/>
  <c r="AU172" i="4"/>
  <c r="AV172" i="4"/>
  <c r="AW172" i="4"/>
  <c r="AX172" i="4"/>
  <c r="AY172" i="4"/>
  <c r="AZ172" i="4"/>
  <c r="BA172" i="4"/>
  <c r="BB172" i="4"/>
  <c r="BC172" i="4"/>
  <c r="BD172" i="4"/>
  <c r="AI173" i="4"/>
  <c r="AJ173" i="4"/>
  <c r="AK173" i="4"/>
  <c r="AL173" i="4"/>
  <c r="AM173" i="4"/>
  <c r="AN173" i="4"/>
  <c r="AO173" i="4"/>
  <c r="AP173" i="4"/>
  <c r="AQ173" i="4"/>
  <c r="AR173" i="4"/>
  <c r="AS173" i="4"/>
  <c r="AT173" i="4"/>
  <c r="AU173" i="4"/>
  <c r="AV173" i="4"/>
  <c r="AW173" i="4"/>
  <c r="AX173" i="4"/>
  <c r="AY173" i="4"/>
  <c r="AZ173" i="4"/>
  <c r="BA173" i="4"/>
  <c r="BB173" i="4"/>
  <c r="BC173" i="4"/>
  <c r="BD173" i="4"/>
  <c r="AI174" i="4"/>
  <c r="AJ174" i="4"/>
  <c r="AK174" i="4"/>
  <c r="AL174" i="4"/>
  <c r="AM174" i="4"/>
  <c r="AN174" i="4"/>
  <c r="AO174" i="4"/>
  <c r="AP174" i="4"/>
  <c r="AQ174" i="4"/>
  <c r="AR174" i="4"/>
  <c r="AS174" i="4"/>
  <c r="AT174" i="4"/>
  <c r="AU174" i="4"/>
  <c r="AV174" i="4"/>
  <c r="AW174" i="4"/>
  <c r="AX174" i="4"/>
  <c r="AY174" i="4"/>
  <c r="AZ174" i="4"/>
  <c r="BA174" i="4"/>
  <c r="BB174" i="4"/>
  <c r="BC174" i="4"/>
  <c r="BD174" i="4"/>
  <c r="AI175" i="4"/>
  <c r="AJ175" i="4"/>
  <c r="AK175" i="4"/>
  <c r="AL175" i="4"/>
  <c r="AM175" i="4"/>
  <c r="AN175" i="4"/>
  <c r="AO175" i="4"/>
  <c r="AP175" i="4"/>
  <c r="AQ175" i="4"/>
  <c r="AR175" i="4"/>
  <c r="AS175" i="4"/>
  <c r="AT175" i="4"/>
  <c r="AU175" i="4"/>
  <c r="AV175" i="4"/>
  <c r="AW175" i="4"/>
  <c r="AX175" i="4"/>
  <c r="AY175" i="4"/>
  <c r="AZ175" i="4"/>
  <c r="BA175" i="4"/>
  <c r="BB175" i="4"/>
  <c r="BC175" i="4"/>
  <c r="BD175" i="4"/>
  <c r="AI176" i="4"/>
  <c r="AJ176" i="4"/>
  <c r="AK176" i="4"/>
  <c r="AL176" i="4"/>
  <c r="AM176" i="4"/>
  <c r="AN176" i="4"/>
  <c r="AO176" i="4"/>
  <c r="AP176" i="4"/>
  <c r="AQ176" i="4"/>
  <c r="AR176" i="4"/>
  <c r="AS176" i="4"/>
  <c r="AT176" i="4"/>
  <c r="AU176" i="4"/>
  <c r="AV176" i="4"/>
  <c r="AW176" i="4"/>
  <c r="AX176" i="4"/>
  <c r="AY176" i="4"/>
  <c r="AZ176" i="4"/>
  <c r="BA176" i="4"/>
  <c r="BB176" i="4"/>
  <c r="BC176" i="4"/>
  <c r="BD176" i="4"/>
  <c r="AI177" i="4"/>
  <c r="AJ177" i="4"/>
  <c r="AK177" i="4"/>
  <c r="AL177" i="4"/>
  <c r="AM177" i="4"/>
  <c r="AN177" i="4"/>
  <c r="AO177" i="4"/>
  <c r="AP177" i="4"/>
  <c r="AQ177" i="4"/>
  <c r="AR177" i="4"/>
  <c r="AS177" i="4"/>
  <c r="AT177" i="4"/>
  <c r="AU177" i="4"/>
  <c r="AV177" i="4"/>
  <c r="AW177" i="4"/>
  <c r="AX177" i="4"/>
  <c r="AY177" i="4"/>
  <c r="AZ177" i="4"/>
  <c r="BA177" i="4"/>
  <c r="BB177" i="4"/>
  <c r="BC177" i="4"/>
  <c r="BD177" i="4"/>
  <c r="AI178" i="4"/>
  <c r="AJ178" i="4"/>
  <c r="AK178" i="4"/>
  <c r="AL178" i="4"/>
  <c r="AM178" i="4"/>
  <c r="AN178" i="4"/>
  <c r="AO178" i="4"/>
  <c r="AP178" i="4"/>
  <c r="AQ178" i="4"/>
  <c r="AR178" i="4"/>
  <c r="AS178" i="4"/>
  <c r="AT178" i="4"/>
  <c r="AU178" i="4"/>
  <c r="AV178" i="4"/>
  <c r="AW178" i="4"/>
  <c r="AX178" i="4"/>
  <c r="AY178" i="4"/>
  <c r="AZ178" i="4"/>
  <c r="BA178" i="4"/>
  <c r="BB178" i="4"/>
  <c r="BC178" i="4"/>
  <c r="BD178" i="4"/>
  <c r="AI179" i="4"/>
  <c r="AJ179" i="4"/>
  <c r="AK179" i="4"/>
  <c r="AL179" i="4"/>
  <c r="AM179" i="4"/>
  <c r="AN179" i="4"/>
  <c r="AO179" i="4"/>
  <c r="AP179" i="4"/>
  <c r="AQ179" i="4"/>
  <c r="AR179" i="4"/>
  <c r="AS179" i="4"/>
  <c r="AT179" i="4"/>
  <c r="AU179" i="4"/>
  <c r="AV179" i="4"/>
  <c r="AW179" i="4"/>
  <c r="AX179" i="4"/>
  <c r="AY179" i="4"/>
  <c r="AZ179" i="4"/>
  <c r="BA179" i="4"/>
  <c r="BB179" i="4"/>
  <c r="BC179" i="4"/>
  <c r="BD179" i="4"/>
  <c r="AI180" i="4"/>
  <c r="AJ180" i="4"/>
  <c r="AK180" i="4"/>
  <c r="AL180" i="4"/>
  <c r="AM180" i="4"/>
  <c r="AN180" i="4"/>
  <c r="AO180" i="4"/>
  <c r="AP180" i="4"/>
  <c r="AQ180" i="4"/>
  <c r="AR180" i="4"/>
  <c r="AS180" i="4"/>
  <c r="AT180" i="4"/>
  <c r="AU180" i="4"/>
  <c r="AV180" i="4"/>
  <c r="AW180" i="4"/>
  <c r="AX180" i="4"/>
  <c r="AY180" i="4"/>
  <c r="AZ180" i="4"/>
  <c r="BA180" i="4"/>
  <c r="BB180" i="4"/>
  <c r="BC180" i="4"/>
  <c r="BD180" i="4"/>
  <c r="AI181" i="4"/>
  <c r="AJ181" i="4"/>
  <c r="AK181" i="4"/>
  <c r="AL181" i="4"/>
  <c r="AM181" i="4"/>
  <c r="AN181" i="4"/>
  <c r="AO181" i="4"/>
  <c r="AP181" i="4"/>
  <c r="AQ181" i="4"/>
  <c r="AR181" i="4"/>
  <c r="AS181" i="4"/>
  <c r="AT181" i="4"/>
  <c r="AU181" i="4"/>
  <c r="AV181" i="4"/>
  <c r="AW181" i="4"/>
  <c r="AX181" i="4"/>
  <c r="AY181" i="4"/>
  <c r="AZ181" i="4"/>
  <c r="BA181" i="4"/>
  <c r="BB181" i="4"/>
  <c r="BC181" i="4"/>
  <c r="BD181" i="4"/>
  <c r="AI182" i="4"/>
  <c r="AJ182" i="4"/>
  <c r="AK182" i="4"/>
  <c r="AL182" i="4"/>
  <c r="AM182" i="4"/>
  <c r="AN182" i="4"/>
  <c r="AO182" i="4"/>
  <c r="AP182" i="4"/>
  <c r="AQ182" i="4"/>
  <c r="AR182" i="4"/>
  <c r="AS182" i="4"/>
  <c r="AT182" i="4"/>
  <c r="AU182" i="4"/>
  <c r="AV182" i="4"/>
  <c r="AW182" i="4"/>
  <c r="AX182" i="4"/>
  <c r="AY182" i="4"/>
  <c r="AZ182" i="4"/>
  <c r="BA182" i="4"/>
  <c r="BB182" i="4"/>
  <c r="BC182" i="4"/>
  <c r="BD182" i="4"/>
  <c r="AI183" i="4"/>
  <c r="AJ183" i="4"/>
  <c r="AK183" i="4"/>
  <c r="AL183" i="4"/>
  <c r="AM183" i="4"/>
  <c r="AN183" i="4"/>
  <c r="AO183" i="4"/>
  <c r="AP183" i="4"/>
  <c r="AQ183" i="4"/>
  <c r="AR183" i="4"/>
  <c r="AS183" i="4"/>
  <c r="AT183" i="4"/>
  <c r="AU183" i="4"/>
  <c r="AV183" i="4"/>
  <c r="AW183" i="4"/>
  <c r="AX183" i="4"/>
  <c r="AY183" i="4"/>
  <c r="AZ183" i="4"/>
  <c r="BA183" i="4"/>
  <c r="BB183" i="4"/>
  <c r="BC183" i="4"/>
  <c r="BD183" i="4"/>
  <c r="AI184" i="4"/>
  <c r="AJ184" i="4"/>
  <c r="AK184" i="4"/>
  <c r="AL184" i="4"/>
  <c r="AM184" i="4"/>
  <c r="AN184" i="4"/>
  <c r="AO184" i="4"/>
  <c r="AP184" i="4"/>
  <c r="AQ184" i="4"/>
  <c r="AR184" i="4"/>
  <c r="AS184" i="4"/>
  <c r="AT184" i="4"/>
  <c r="AU184" i="4"/>
  <c r="AV184" i="4"/>
  <c r="AW184" i="4"/>
  <c r="AX184" i="4"/>
  <c r="AY184" i="4"/>
  <c r="AZ184" i="4"/>
  <c r="BA184" i="4"/>
  <c r="BB184" i="4"/>
  <c r="BC184" i="4"/>
  <c r="BD184" i="4"/>
  <c r="AI185" i="4"/>
  <c r="AJ185" i="4"/>
  <c r="AK185" i="4"/>
  <c r="AL185" i="4"/>
  <c r="AM185" i="4"/>
  <c r="AN185" i="4"/>
  <c r="AO185" i="4"/>
  <c r="AP185" i="4"/>
  <c r="AQ185" i="4"/>
  <c r="AR185" i="4"/>
  <c r="AS185" i="4"/>
  <c r="AT185" i="4"/>
  <c r="AU185" i="4"/>
  <c r="AV185" i="4"/>
  <c r="AW185" i="4"/>
  <c r="AX185" i="4"/>
  <c r="AY185" i="4"/>
  <c r="AZ185" i="4"/>
  <c r="BA185" i="4"/>
  <c r="BB185" i="4"/>
  <c r="BC185" i="4"/>
  <c r="BD185" i="4"/>
  <c r="AI186" i="4"/>
  <c r="AJ186" i="4"/>
  <c r="AK186" i="4"/>
  <c r="AL186" i="4"/>
  <c r="AM186" i="4"/>
  <c r="AN186" i="4"/>
  <c r="AO186" i="4"/>
  <c r="AP186" i="4"/>
  <c r="AQ186" i="4"/>
  <c r="AR186" i="4"/>
  <c r="AS186" i="4"/>
  <c r="AT186" i="4"/>
  <c r="AU186" i="4"/>
  <c r="AV186" i="4"/>
  <c r="AW186" i="4"/>
  <c r="AX186" i="4"/>
  <c r="AY186" i="4"/>
  <c r="AZ186" i="4"/>
  <c r="BA186" i="4"/>
  <c r="BB186" i="4"/>
  <c r="BC186" i="4"/>
  <c r="BD186" i="4"/>
  <c r="AI187" i="4"/>
  <c r="AJ187" i="4"/>
  <c r="AK187" i="4"/>
  <c r="AL187" i="4"/>
  <c r="AM187" i="4"/>
  <c r="AN187" i="4"/>
  <c r="AO187" i="4"/>
  <c r="AP187" i="4"/>
  <c r="AQ187" i="4"/>
  <c r="AR187" i="4"/>
  <c r="AS187" i="4"/>
  <c r="AT187" i="4"/>
  <c r="AU187" i="4"/>
  <c r="AV187" i="4"/>
  <c r="AW187" i="4"/>
  <c r="AX187" i="4"/>
  <c r="AY187" i="4"/>
  <c r="AZ187" i="4"/>
  <c r="BA187" i="4"/>
  <c r="BB187" i="4"/>
  <c r="BC187" i="4"/>
  <c r="BD187" i="4"/>
  <c r="AI188" i="4"/>
  <c r="AJ188" i="4"/>
  <c r="AK188" i="4"/>
  <c r="AL188" i="4"/>
  <c r="AM188" i="4"/>
  <c r="AN188" i="4"/>
  <c r="AO188" i="4"/>
  <c r="AP188" i="4"/>
  <c r="AQ188" i="4"/>
  <c r="AR188" i="4"/>
  <c r="AS188" i="4"/>
  <c r="AT188" i="4"/>
  <c r="AU188" i="4"/>
  <c r="AV188" i="4"/>
  <c r="AW188" i="4"/>
  <c r="AX188" i="4"/>
  <c r="AY188" i="4"/>
  <c r="AZ188" i="4"/>
  <c r="BA188" i="4"/>
  <c r="BB188" i="4"/>
  <c r="BC188" i="4"/>
  <c r="BD188" i="4"/>
  <c r="AI189" i="4"/>
  <c r="AJ189" i="4"/>
  <c r="AK189" i="4"/>
  <c r="AL189" i="4"/>
  <c r="AM189" i="4"/>
  <c r="AN189" i="4"/>
  <c r="AO189" i="4"/>
  <c r="AP189" i="4"/>
  <c r="AQ189" i="4"/>
  <c r="AR189" i="4"/>
  <c r="AS189" i="4"/>
  <c r="AT189" i="4"/>
  <c r="AU189" i="4"/>
  <c r="AV189" i="4"/>
  <c r="AW189" i="4"/>
  <c r="AX189" i="4"/>
  <c r="AY189" i="4"/>
  <c r="AZ189" i="4"/>
  <c r="BA189" i="4"/>
  <c r="BB189" i="4"/>
  <c r="BC189" i="4"/>
  <c r="BD189" i="4"/>
  <c r="AI190" i="4"/>
  <c r="AJ190" i="4"/>
  <c r="AK190" i="4"/>
  <c r="AL190" i="4"/>
  <c r="AM190" i="4"/>
  <c r="AN190" i="4"/>
  <c r="AO190" i="4"/>
  <c r="AP190" i="4"/>
  <c r="AQ190" i="4"/>
  <c r="AR190" i="4"/>
  <c r="AS190" i="4"/>
  <c r="AT190" i="4"/>
  <c r="AU190" i="4"/>
  <c r="AV190" i="4"/>
  <c r="AW190" i="4"/>
  <c r="AX190" i="4"/>
  <c r="AY190" i="4"/>
  <c r="AZ190" i="4"/>
  <c r="BA190" i="4"/>
  <c r="BB190" i="4"/>
  <c r="BC190" i="4"/>
  <c r="BD190" i="4"/>
  <c r="AI191" i="4"/>
  <c r="AJ191" i="4"/>
  <c r="AK191" i="4"/>
  <c r="AL191" i="4"/>
  <c r="AM191" i="4"/>
  <c r="AN191" i="4"/>
  <c r="AO191" i="4"/>
  <c r="AP191" i="4"/>
  <c r="AQ191" i="4"/>
  <c r="AR191" i="4"/>
  <c r="AS191" i="4"/>
  <c r="AT191" i="4"/>
  <c r="AU191" i="4"/>
  <c r="AV191" i="4"/>
  <c r="AW191" i="4"/>
  <c r="AX191" i="4"/>
  <c r="AY191" i="4"/>
  <c r="AZ191" i="4"/>
  <c r="BA191" i="4"/>
  <c r="BB191" i="4"/>
  <c r="BC191" i="4"/>
  <c r="BD191" i="4"/>
  <c r="AI192" i="4"/>
  <c r="AJ192" i="4"/>
  <c r="AK192" i="4"/>
  <c r="AL192" i="4"/>
  <c r="AM192" i="4"/>
  <c r="AN192" i="4"/>
  <c r="AO192" i="4"/>
  <c r="AP192" i="4"/>
  <c r="AQ192" i="4"/>
  <c r="AR192" i="4"/>
  <c r="AS192" i="4"/>
  <c r="AT192" i="4"/>
  <c r="AU192" i="4"/>
  <c r="AV192" i="4"/>
  <c r="AW192" i="4"/>
  <c r="AX192" i="4"/>
  <c r="AY192" i="4"/>
  <c r="AZ192" i="4"/>
  <c r="BA192" i="4"/>
  <c r="BB192" i="4"/>
  <c r="BC192" i="4"/>
  <c r="BD192" i="4"/>
  <c r="AI193" i="4"/>
  <c r="AJ193" i="4"/>
  <c r="AK193" i="4"/>
  <c r="AL193" i="4"/>
  <c r="AM193" i="4"/>
  <c r="AN193" i="4"/>
  <c r="AO193" i="4"/>
  <c r="AP193" i="4"/>
  <c r="AQ193" i="4"/>
  <c r="AR193" i="4"/>
  <c r="AS193" i="4"/>
  <c r="AT193" i="4"/>
  <c r="AU193" i="4"/>
  <c r="AV193" i="4"/>
  <c r="AW193" i="4"/>
  <c r="AX193" i="4"/>
  <c r="AY193" i="4"/>
  <c r="AZ193" i="4"/>
  <c r="BA193" i="4"/>
  <c r="BB193" i="4"/>
  <c r="BC193" i="4"/>
  <c r="BD193" i="4"/>
  <c r="AI194" i="4"/>
  <c r="AJ194" i="4"/>
  <c r="AK194" i="4"/>
  <c r="AL194" i="4"/>
  <c r="AM194" i="4"/>
  <c r="AN194" i="4"/>
  <c r="AO194" i="4"/>
  <c r="AP194" i="4"/>
  <c r="AQ194" i="4"/>
  <c r="AR194" i="4"/>
  <c r="AS194" i="4"/>
  <c r="AT194" i="4"/>
  <c r="AU194" i="4"/>
  <c r="AV194" i="4"/>
  <c r="AW194" i="4"/>
  <c r="AX194" i="4"/>
  <c r="AY194" i="4"/>
  <c r="AZ194" i="4"/>
  <c r="BA194" i="4"/>
  <c r="BB194" i="4"/>
  <c r="BC194" i="4"/>
  <c r="BD194" i="4"/>
  <c r="AI195" i="4"/>
  <c r="AJ195" i="4"/>
  <c r="AK195" i="4"/>
  <c r="AL195" i="4"/>
  <c r="AM195" i="4"/>
  <c r="AN195" i="4"/>
  <c r="AO195" i="4"/>
  <c r="AP195" i="4"/>
  <c r="AQ195" i="4"/>
  <c r="AR195" i="4"/>
  <c r="AS195" i="4"/>
  <c r="AT195" i="4"/>
  <c r="AU195" i="4"/>
  <c r="AV195" i="4"/>
  <c r="AW195" i="4"/>
  <c r="AX195" i="4"/>
  <c r="AY195" i="4"/>
  <c r="AZ195" i="4"/>
  <c r="BA195" i="4"/>
  <c r="BB195" i="4"/>
  <c r="BC195" i="4"/>
  <c r="BD195" i="4"/>
  <c r="AI196" i="4"/>
  <c r="AJ196" i="4"/>
  <c r="AK196" i="4"/>
  <c r="AL196" i="4"/>
  <c r="AM196" i="4"/>
  <c r="AN196" i="4"/>
  <c r="AO196" i="4"/>
  <c r="AP196" i="4"/>
  <c r="AQ196" i="4"/>
  <c r="AR196" i="4"/>
  <c r="AS196" i="4"/>
  <c r="AT196" i="4"/>
  <c r="AU196" i="4"/>
  <c r="AV196" i="4"/>
  <c r="AW196" i="4"/>
  <c r="AX196" i="4"/>
  <c r="AY196" i="4"/>
  <c r="AZ196" i="4"/>
  <c r="BA196" i="4"/>
  <c r="BB196" i="4"/>
  <c r="BC196" i="4"/>
  <c r="BD196" i="4"/>
  <c r="AI197" i="4"/>
  <c r="AJ197" i="4"/>
  <c r="AK197" i="4"/>
  <c r="AL197" i="4"/>
  <c r="AM197" i="4"/>
  <c r="AN197" i="4"/>
  <c r="AO197" i="4"/>
  <c r="AP197" i="4"/>
  <c r="AQ197" i="4"/>
  <c r="AR197" i="4"/>
  <c r="AS197" i="4"/>
  <c r="AT197" i="4"/>
  <c r="AU197" i="4"/>
  <c r="AV197" i="4"/>
  <c r="AW197" i="4"/>
  <c r="AX197" i="4"/>
  <c r="AY197" i="4"/>
  <c r="AZ197" i="4"/>
  <c r="BA197" i="4"/>
  <c r="BB197" i="4"/>
  <c r="BC197" i="4"/>
  <c r="BD197" i="4"/>
  <c r="AI198" i="4"/>
  <c r="AJ198" i="4"/>
  <c r="AK198" i="4"/>
  <c r="AL198" i="4"/>
  <c r="AM198" i="4"/>
  <c r="AN198" i="4"/>
  <c r="AO198" i="4"/>
  <c r="AP198" i="4"/>
  <c r="AQ198" i="4"/>
  <c r="AR198" i="4"/>
  <c r="AS198" i="4"/>
  <c r="AT198" i="4"/>
  <c r="AU198" i="4"/>
  <c r="AV198" i="4"/>
  <c r="AW198" i="4"/>
  <c r="AX198" i="4"/>
  <c r="AY198" i="4"/>
  <c r="AZ198" i="4"/>
  <c r="BA198" i="4"/>
  <c r="BB198" i="4"/>
  <c r="BC198" i="4"/>
  <c r="BD198" i="4"/>
  <c r="AI199" i="4"/>
  <c r="AJ199" i="4"/>
  <c r="AK199" i="4"/>
  <c r="AL199" i="4"/>
  <c r="AM199" i="4"/>
  <c r="AN199" i="4"/>
  <c r="AO199" i="4"/>
  <c r="AP199" i="4"/>
  <c r="AQ199" i="4"/>
  <c r="AR199" i="4"/>
  <c r="AS199" i="4"/>
  <c r="AT199" i="4"/>
  <c r="AU199" i="4"/>
  <c r="AV199" i="4"/>
  <c r="AW199" i="4"/>
  <c r="AX199" i="4"/>
  <c r="AY199" i="4"/>
  <c r="AZ199" i="4"/>
  <c r="BA199" i="4"/>
  <c r="BB199" i="4"/>
  <c r="BC199" i="4"/>
  <c r="BD199" i="4"/>
  <c r="AI200" i="4"/>
  <c r="AJ200" i="4"/>
  <c r="AK200" i="4"/>
  <c r="AL200" i="4"/>
  <c r="AM200" i="4"/>
  <c r="AN200" i="4"/>
  <c r="AO200" i="4"/>
  <c r="AP200" i="4"/>
  <c r="AQ200" i="4"/>
  <c r="AR200" i="4"/>
  <c r="AS200" i="4"/>
  <c r="AT200" i="4"/>
  <c r="AU200" i="4"/>
  <c r="AV200" i="4"/>
  <c r="AW200" i="4"/>
  <c r="AX200" i="4"/>
  <c r="AY200" i="4"/>
  <c r="AZ200" i="4"/>
  <c r="BA200" i="4"/>
  <c r="BB200" i="4"/>
  <c r="BC200" i="4"/>
  <c r="BD200" i="4"/>
  <c r="AI201" i="4"/>
  <c r="AJ201" i="4"/>
  <c r="AK201" i="4"/>
  <c r="AL201" i="4"/>
  <c r="AM201" i="4"/>
  <c r="AN201" i="4"/>
  <c r="AO201" i="4"/>
  <c r="AP201" i="4"/>
  <c r="AQ201" i="4"/>
  <c r="AR201" i="4"/>
  <c r="AS201" i="4"/>
  <c r="AT201" i="4"/>
  <c r="AU201" i="4"/>
  <c r="AV201" i="4"/>
  <c r="AW201" i="4"/>
  <c r="AX201" i="4"/>
  <c r="AY201" i="4"/>
  <c r="AZ201" i="4"/>
  <c r="BA201" i="4"/>
  <c r="BB201" i="4"/>
  <c r="BC201" i="4"/>
  <c r="BD201" i="4"/>
  <c r="AI202" i="4"/>
  <c r="AJ202" i="4"/>
  <c r="AK202" i="4"/>
  <c r="AL202" i="4"/>
  <c r="AM202" i="4"/>
  <c r="AN202" i="4"/>
  <c r="AO202" i="4"/>
  <c r="AP202" i="4"/>
  <c r="AQ202" i="4"/>
  <c r="AR202" i="4"/>
  <c r="AS202" i="4"/>
  <c r="AT202" i="4"/>
  <c r="AU202" i="4"/>
  <c r="AV202" i="4"/>
  <c r="AW202" i="4"/>
  <c r="AX202" i="4"/>
  <c r="AY202" i="4"/>
  <c r="AZ202" i="4"/>
  <c r="BA202" i="4"/>
  <c r="BB202" i="4"/>
  <c r="BC202" i="4"/>
  <c r="BD202" i="4"/>
  <c r="AI203" i="4"/>
  <c r="AJ203" i="4"/>
  <c r="AK203" i="4"/>
  <c r="AL203" i="4"/>
  <c r="AM203" i="4"/>
  <c r="AN203" i="4"/>
  <c r="AO203" i="4"/>
  <c r="AP203" i="4"/>
  <c r="AQ203" i="4"/>
  <c r="AR203" i="4"/>
  <c r="AS203" i="4"/>
  <c r="AT203" i="4"/>
  <c r="AU203" i="4"/>
  <c r="AV203" i="4"/>
  <c r="AW203" i="4"/>
  <c r="AX203" i="4"/>
  <c r="AY203" i="4"/>
  <c r="AZ203" i="4"/>
  <c r="BA203" i="4"/>
  <c r="BB203" i="4"/>
  <c r="BC203" i="4"/>
  <c r="BD203" i="4"/>
  <c r="AI204" i="4"/>
  <c r="AJ204" i="4"/>
  <c r="AK204" i="4"/>
  <c r="AL204" i="4"/>
  <c r="AM204" i="4"/>
  <c r="AN204" i="4"/>
  <c r="AO204" i="4"/>
  <c r="AP204" i="4"/>
  <c r="AQ204" i="4"/>
  <c r="AR204" i="4"/>
  <c r="AS204" i="4"/>
  <c r="AT204" i="4"/>
  <c r="AU204" i="4"/>
  <c r="AV204" i="4"/>
  <c r="AW204" i="4"/>
  <c r="AX204" i="4"/>
  <c r="AY204" i="4"/>
  <c r="AZ204" i="4"/>
  <c r="BA204" i="4"/>
  <c r="BB204" i="4"/>
  <c r="BC204" i="4"/>
  <c r="BD204" i="4"/>
  <c r="AI205" i="4"/>
  <c r="AJ205" i="4"/>
  <c r="AK205" i="4"/>
  <c r="AL205" i="4"/>
  <c r="AM205" i="4"/>
  <c r="AN205" i="4"/>
  <c r="AO205" i="4"/>
  <c r="AP205" i="4"/>
  <c r="AQ205" i="4"/>
  <c r="AR205" i="4"/>
  <c r="AS205" i="4"/>
  <c r="AT205" i="4"/>
  <c r="AU205" i="4"/>
  <c r="AV205" i="4"/>
  <c r="AW205" i="4"/>
  <c r="AX205" i="4"/>
  <c r="AY205" i="4"/>
  <c r="AZ205" i="4"/>
  <c r="BA205" i="4"/>
  <c r="BB205" i="4"/>
  <c r="BC205" i="4"/>
  <c r="BD205" i="4"/>
  <c r="AI206" i="4"/>
  <c r="AJ206" i="4"/>
  <c r="AK206" i="4"/>
  <c r="AL206" i="4"/>
  <c r="AM206" i="4"/>
  <c r="AN206" i="4"/>
  <c r="AO206" i="4"/>
  <c r="AP206" i="4"/>
  <c r="AQ206" i="4"/>
  <c r="AR206" i="4"/>
  <c r="AS206" i="4"/>
  <c r="AT206" i="4"/>
  <c r="AU206" i="4"/>
  <c r="AV206" i="4"/>
  <c r="AW206" i="4"/>
  <c r="AX206" i="4"/>
  <c r="AY206" i="4"/>
  <c r="AZ206" i="4"/>
  <c r="BA206" i="4"/>
  <c r="BB206" i="4"/>
  <c r="BC206" i="4"/>
  <c r="BD206" i="4"/>
  <c r="AI207" i="4"/>
  <c r="AJ207" i="4"/>
  <c r="AK207" i="4"/>
  <c r="AL207" i="4"/>
  <c r="AM207" i="4"/>
  <c r="AN207" i="4"/>
  <c r="AO207" i="4"/>
  <c r="AP207" i="4"/>
  <c r="AQ207" i="4"/>
  <c r="AR207" i="4"/>
  <c r="AS207" i="4"/>
  <c r="AT207" i="4"/>
  <c r="AU207" i="4"/>
  <c r="AV207" i="4"/>
  <c r="AW207" i="4"/>
  <c r="AX207" i="4"/>
  <c r="AY207" i="4"/>
  <c r="AZ207" i="4"/>
  <c r="BA207" i="4"/>
  <c r="BB207" i="4"/>
  <c r="BC207" i="4"/>
  <c r="BD207" i="4"/>
  <c r="AI208" i="4"/>
  <c r="AJ208" i="4"/>
  <c r="AK208" i="4"/>
  <c r="AL208" i="4"/>
  <c r="AM208" i="4"/>
  <c r="AN208" i="4"/>
  <c r="AO208" i="4"/>
  <c r="AP208" i="4"/>
  <c r="AQ208" i="4"/>
  <c r="AR208" i="4"/>
  <c r="AS208" i="4"/>
  <c r="AT208" i="4"/>
  <c r="AU208" i="4"/>
  <c r="AV208" i="4"/>
  <c r="AW208" i="4"/>
  <c r="AX208" i="4"/>
  <c r="AY208" i="4"/>
  <c r="AZ208" i="4"/>
  <c r="BA208" i="4"/>
  <c r="BB208" i="4"/>
  <c r="BC208" i="4"/>
  <c r="BD208" i="4"/>
  <c r="AI209" i="4"/>
  <c r="AJ209" i="4"/>
  <c r="AK209" i="4"/>
  <c r="AL209" i="4"/>
  <c r="AM209" i="4"/>
  <c r="AN209" i="4"/>
  <c r="AO209" i="4"/>
  <c r="AP209" i="4"/>
  <c r="AQ209" i="4"/>
  <c r="AR209" i="4"/>
  <c r="AS209" i="4"/>
  <c r="AT209" i="4"/>
  <c r="AU209" i="4"/>
  <c r="AV209" i="4"/>
  <c r="AW209" i="4"/>
  <c r="AX209" i="4"/>
  <c r="AY209" i="4"/>
  <c r="AZ209" i="4"/>
  <c r="BA209" i="4"/>
  <c r="BB209" i="4"/>
  <c r="BC209" i="4"/>
  <c r="BD209" i="4"/>
  <c r="AI210" i="4"/>
  <c r="AJ210" i="4"/>
  <c r="AK210" i="4"/>
  <c r="AL210" i="4"/>
  <c r="AM210" i="4"/>
  <c r="AN210" i="4"/>
  <c r="AO210" i="4"/>
  <c r="AP210" i="4"/>
  <c r="AQ210" i="4"/>
  <c r="AR210" i="4"/>
  <c r="AS210" i="4"/>
  <c r="AT210" i="4"/>
  <c r="AU210" i="4"/>
  <c r="AV210" i="4"/>
  <c r="AW210" i="4"/>
  <c r="AX210" i="4"/>
  <c r="AY210" i="4"/>
  <c r="AZ210" i="4"/>
  <c r="BA210" i="4"/>
  <c r="BB210" i="4"/>
  <c r="BC210" i="4"/>
  <c r="BD210" i="4"/>
  <c r="AI211" i="4"/>
  <c r="AJ211" i="4"/>
  <c r="AK211" i="4"/>
  <c r="AL211" i="4"/>
  <c r="AM211" i="4"/>
  <c r="AN211" i="4"/>
  <c r="AO211" i="4"/>
  <c r="AP211" i="4"/>
  <c r="AQ211" i="4"/>
  <c r="AR211" i="4"/>
  <c r="AS211" i="4"/>
  <c r="AT211" i="4"/>
  <c r="AU211" i="4"/>
  <c r="AV211" i="4"/>
  <c r="AW211" i="4"/>
  <c r="AX211" i="4"/>
  <c r="AY211" i="4"/>
  <c r="AZ211" i="4"/>
  <c r="BA211" i="4"/>
  <c r="BB211" i="4"/>
  <c r="BC211" i="4"/>
  <c r="BD211" i="4"/>
  <c r="AI212" i="4"/>
  <c r="AJ212" i="4"/>
  <c r="AK212" i="4"/>
  <c r="AL212" i="4"/>
  <c r="AM212" i="4"/>
  <c r="AN212" i="4"/>
  <c r="AO212" i="4"/>
  <c r="AP212" i="4"/>
  <c r="AQ212" i="4"/>
  <c r="AR212" i="4"/>
  <c r="AS212" i="4"/>
  <c r="AT212" i="4"/>
  <c r="AU212" i="4"/>
  <c r="AV212" i="4"/>
  <c r="AW212" i="4"/>
  <c r="AX212" i="4"/>
  <c r="AY212" i="4"/>
  <c r="AZ212" i="4"/>
  <c r="BA212" i="4"/>
  <c r="BB212" i="4"/>
  <c r="BC212" i="4"/>
  <c r="BD212" i="4"/>
  <c r="AI213" i="4"/>
  <c r="AJ213" i="4"/>
  <c r="AK213" i="4"/>
  <c r="AL213" i="4"/>
  <c r="AM213" i="4"/>
  <c r="AN213" i="4"/>
  <c r="AO213" i="4"/>
  <c r="AP213" i="4"/>
  <c r="AQ213" i="4"/>
  <c r="AR213" i="4"/>
  <c r="AS213" i="4"/>
  <c r="AT213" i="4"/>
  <c r="AU213" i="4"/>
  <c r="AV213" i="4"/>
  <c r="AW213" i="4"/>
  <c r="AX213" i="4"/>
  <c r="AY213" i="4"/>
  <c r="AZ213" i="4"/>
  <c r="BA213" i="4"/>
  <c r="BB213" i="4"/>
  <c r="BC213" i="4"/>
  <c r="BD213" i="4"/>
  <c r="AI214" i="4"/>
  <c r="AJ214" i="4"/>
  <c r="AK214" i="4"/>
  <c r="AL214" i="4"/>
  <c r="AM214" i="4"/>
  <c r="AN214" i="4"/>
  <c r="AO214" i="4"/>
  <c r="AP214" i="4"/>
  <c r="AQ214" i="4"/>
  <c r="AR214" i="4"/>
  <c r="AS214" i="4"/>
  <c r="AT214" i="4"/>
  <c r="AU214" i="4"/>
  <c r="AV214" i="4"/>
  <c r="AW214" i="4"/>
  <c r="AX214" i="4"/>
  <c r="AY214" i="4"/>
  <c r="AZ214" i="4"/>
  <c r="BA214" i="4"/>
  <c r="BB214" i="4"/>
  <c r="BC214" i="4"/>
  <c r="BD214" i="4"/>
  <c r="AI215" i="4"/>
  <c r="AJ215" i="4"/>
  <c r="AK215" i="4"/>
  <c r="AL215" i="4"/>
  <c r="AM215" i="4"/>
  <c r="AN215" i="4"/>
  <c r="AO215" i="4"/>
  <c r="AP215" i="4"/>
  <c r="AQ215" i="4"/>
  <c r="AR215" i="4"/>
  <c r="AS215" i="4"/>
  <c r="AT215" i="4"/>
  <c r="AU215" i="4"/>
  <c r="AV215" i="4"/>
  <c r="AW215" i="4"/>
  <c r="AX215" i="4"/>
  <c r="AY215" i="4"/>
  <c r="AZ215" i="4"/>
  <c r="BA215" i="4"/>
  <c r="BB215" i="4"/>
  <c r="BC215" i="4"/>
  <c r="BD215" i="4"/>
  <c r="AI216" i="4"/>
  <c r="AJ216" i="4"/>
  <c r="AK216" i="4"/>
  <c r="AL216" i="4"/>
  <c r="AM216" i="4"/>
  <c r="AN216" i="4"/>
  <c r="AO216" i="4"/>
  <c r="AP216" i="4"/>
  <c r="AQ216" i="4"/>
  <c r="AR216" i="4"/>
  <c r="AS216" i="4"/>
  <c r="AT216" i="4"/>
  <c r="AU216" i="4"/>
  <c r="AV216" i="4"/>
  <c r="AW216" i="4"/>
  <c r="AX216" i="4"/>
  <c r="AY216" i="4"/>
  <c r="AZ216" i="4"/>
  <c r="BA216" i="4"/>
  <c r="BB216" i="4"/>
  <c r="BC216" i="4"/>
  <c r="BD216" i="4"/>
  <c r="AI217" i="4"/>
  <c r="AJ217" i="4"/>
  <c r="AK217" i="4"/>
  <c r="AL217" i="4"/>
  <c r="AM217" i="4"/>
  <c r="AN217" i="4"/>
  <c r="AO217" i="4"/>
  <c r="AP217" i="4"/>
  <c r="AQ217" i="4"/>
  <c r="AR217" i="4"/>
  <c r="AS217" i="4"/>
  <c r="AT217" i="4"/>
  <c r="AU217" i="4"/>
  <c r="AV217" i="4"/>
  <c r="AW217" i="4"/>
  <c r="AX217" i="4"/>
  <c r="AY217" i="4"/>
  <c r="AZ217" i="4"/>
  <c r="BA217" i="4"/>
  <c r="BB217" i="4"/>
  <c r="BC217" i="4"/>
  <c r="BD217" i="4"/>
  <c r="AI218" i="4"/>
  <c r="AJ218" i="4"/>
  <c r="AK218" i="4"/>
  <c r="AL218" i="4"/>
  <c r="AM218" i="4"/>
  <c r="AN218" i="4"/>
  <c r="AO218" i="4"/>
  <c r="AP218" i="4"/>
  <c r="AQ218" i="4"/>
  <c r="AR218" i="4"/>
  <c r="AS218" i="4"/>
  <c r="AT218" i="4"/>
  <c r="AU218" i="4"/>
  <c r="AV218" i="4"/>
  <c r="AW218" i="4"/>
  <c r="AX218" i="4"/>
  <c r="AY218" i="4"/>
  <c r="AZ218" i="4"/>
  <c r="BA218" i="4"/>
  <c r="BB218" i="4"/>
  <c r="BC218" i="4"/>
  <c r="BD218" i="4"/>
  <c r="AI219" i="4"/>
  <c r="AJ219" i="4"/>
  <c r="AK219" i="4"/>
  <c r="AL219" i="4"/>
  <c r="AM219" i="4"/>
  <c r="AN219" i="4"/>
  <c r="AO219" i="4"/>
  <c r="AP219" i="4"/>
  <c r="AQ219" i="4"/>
  <c r="AR219" i="4"/>
  <c r="AS219" i="4"/>
  <c r="AT219" i="4"/>
  <c r="AU219" i="4"/>
  <c r="AV219" i="4"/>
  <c r="AW219" i="4"/>
  <c r="AX219" i="4"/>
  <c r="AY219" i="4"/>
  <c r="AZ219" i="4"/>
  <c r="BA219" i="4"/>
  <c r="BB219" i="4"/>
  <c r="BC219" i="4"/>
  <c r="BD219" i="4"/>
  <c r="Y167" i="4"/>
  <c r="Z167" i="4"/>
  <c r="AC167" i="4"/>
  <c r="Y168" i="4"/>
  <c r="Z168" i="4"/>
  <c r="AC168" i="4"/>
  <c r="Y169" i="4"/>
  <c r="Z169" i="4"/>
  <c r="AC169" i="4"/>
  <c r="Y170" i="4"/>
  <c r="Z170" i="4"/>
  <c r="AC170" i="4"/>
  <c r="Y171" i="4"/>
  <c r="Z171" i="4"/>
  <c r="AC171" i="4"/>
  <c r="Y172" i="4"/>
  <c r="Z172" i="4"/>
  <c r="AC172" i="4"/>
  <c r="Y173" i="4"/>
  <c r="Z173" i="4"/>
  <c r="AC173" i="4"/>
  <c r="Y174" i="4"/>
  <c r="Z174" i="4"/>
  <c r="AC174" i="4"/>
  <c r="Y175" i="4"/>
  <c r="Z175" i="4"/>
  <c r="AC175" i="4"/>
  <c r="Y176" i="4"/>
  <c r="Z176" i="4"/>
  <c r="AC176" i="4"/>
  <c r="Y177" i="4"/>
  <c r="Z177" i="4"/>
  <c r="AC177" i="4"/>
  <c r="Y178" i="4"/>
  <c r="Z178" i="4"/>
  <c r="AC178" i="4"/>
  <c r="Y179" i="4"/>
  <c r="Z179" i="4"/>
  <c r="AC179" i="4"/>
  <c r="Y180" i="4"/>
  <c r="Z180" i="4"/>
  <c r="AC180" i="4"/>
  <c r="Y181" i="4"/>
  <c r="Z181" i="4"/>
  <c r="AC181" i="4"/>
  <c r="Y182" i="4"/>
  <c r="Z182" i="4"/>
  <c r="AC182" i="4"/>
  <c r="Y183" i="4"/>
  <c r="Z183" i="4"/>
  <c r="AC183" i="4"/>
  <c r="Y184" i="4"/>
  <c r="Z184" i="4"/>
  <c r="AC184" i="4"/>
  <c r="Y185" i="4"/>
  <c r="Z185" i="4"/>
  <c r="AC185" i="4"/>
  <c r="Y186" i="4"/>
  <c r="Z186" i="4"/>
  <c r="AC186" i="4"/>
  <c r="Y187" i="4"/>
  <c r="Z187" i="4"/>
  <c r="AC187" i="4"/>
  <c r="Y188" i="4"/>
  <c r="Z188" i="4"/>
  <c r="AC188" i="4"/>
  <c r="Y189" i="4"/>
  <c r="Z189" i="4"/>
  <c r="AC189" i="4"/>
  <c r="Y190" i="4"/>
  <c r="Z190" i="4"/>
  <c r="AC190" i="4"/>
  <c r="Y191" i="4"/>
  <c r="Z191" i="4"/>
  <c r="AC191" i="4"/>
  <c r="Y192" i="4"/>
  <c r="Z192" i="4"/>
  <c r="AC192" i="4"/>
  <c r="Y193" i="4"/>
  <c r="Z193" i="4"/>
  <c r="AC193" i="4"/>
  <c r="Y194" i="4"/>
  <c r="Z194" i="4"/>
  <c r="AC194" i="4"/>
  <c r="Y195" i="4"/>
  <c r="Z195" i="4"/>
  <c r="AC195" i="4"/>
  <c r="Y196" i="4"/>
  <c r="Z196" i="4"/>
  <c r="AC196" i="4"/>
  <c r="Y197" i="4"/>
  <c r="Z197" i="4"/>
  <c r="AC197" i="4"/>
  <c r="Y198" i="4"/>
  <c r="Z198" i="4"/>
  <c r="AC198" i="4"/>
  <c r="Y199" i="4"/>
  <c r="Z199" i="4"/>
  <c r="AC199" i="4"/>
  <c r="Y200" i="4"/>
  <c r="Z200" i="4"/>
  <c r="AC200" i="4"/>
  <c r="Y201" i="4"/>
  <c r="Z201" i="4"/>
  <c r="AC201" i="4"/>
  <c r="Y202" i="4"/>
  <c r="Z202" i="4"/>
  <c r="AC202" i="4"/>
  <c r="Y203" i="4"/>
  <c r="Z203" i="4"/>
  <c r="AC203" i="4"/>
  <c r="Y204" i="4"/>
  <c r="Z204" i="4"/>
  <c r="AC204" i="4"/>
  <c r="Y205" i="4"/>
  <c r="Z205" i="4"/>
  <c r="AC205" i="4"/>
  <c r="Y206" i="4"/>
  <c r="Z206" i="4"/>
  <c r="AC206" i="4"/>
  <c r="Y207" i="4"/>
  <c r="Z207" i="4"/>
  <c r="AC207" i="4"/>
  <c r="Y208" i="4"/>
  <c r="Z208" i="4"/>
  <c r="AC208" i="4"/>
  <c r="Y209" i="4"/>
  <c r="Z209" i="4"/>
  <c r="AC209" i="4"/>
  <c r="Y210" i="4"/>
  <c r="Z210" i="4"/>
  <c r="AC210" i="4"/>
  <c r="Y211" i="4"/>
  <c r="Z211" i="4"/>
  <c r="AC211" i="4"/>
  <c r="Y212" i="4"/>
  <c r="Z212" i="4"/>
  <c r="AC212" i="4"/>
  <c r="Y213" i="4"/>
  <c r="Z213" i="4"/>
  <c r="AC213" i="4"/>
  <c r="Y214" i="4"/>
  <c r="Z214" i="4"/>
  <c r="AC214" i="4"/>
  <c r="Y215" i="4"/>
  <c r="Z215" i="4"/>
  <c r="AC215" i="4"/>
  <c r="Y216" i="4"/>
  <c r="Z216" i="4"/>
  <c r="AC216" i="4"/>
  <c r="Y217" i="4"/>
  <c r="Z217" i="4"/>
  <c r="AC217" i="4"/>
  <c r="Y218" i="4"/>
  <c r="Z218" i="4"/>
  <c r="AC218" i="4"/>
  <c r="Y219" i="4"/>
  <c r="Z219" i="4"/>
  <c r="AC219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S167" i="4"/>
  <c r="S16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151" i="4"/>
  <c r="S137" i="4"/>
  <c r="S138" i="4"/>
  <c r="S139" i="4"/>
  <c r="S140" i="4"/>
  <c r="S141" i="4"/>
  <c r="S142" i="4"/>
  <c r="S146" i="4"/>
  <c r="S147" i="4"/>
  <c r="S148" i="4"/>
  <c r="S149" i="4"/>
  <c r="S150" i="4"/>
  <c r="S12" i="3" l="1"/>
  <c r="S13" i="3"/>
  <c r="S14" i="3"/>
  <c r="S15" i="3"/>
  <c r="S16" i="3"/>
  <c r="S21" i="3"/>
  <c r="S22" i="3"/>
  <c r="S23" i="3"/>
  <c r="S24" i="3"/>
  <c r="S25" i="3"/>
  <c r="S26" i="3"/>
  <c r="S30" i="3"/>
  <c r="S31" i="3"/>
  <c r="S32" i="3"/>
  <c r="S33" i="3"/>
  <c r="S34" i="3"/>
  <c r="S35" i="3"/>
  <c r="S39" i="3"/>
  <c r="S40" i="3"/>
  <c r="S41" i="3"/>
  <c r="S42" i="3"/>
  <c r="S43" i="3"/>
  <c r="S44" i="3"/>
  <c r="S48" i="3"/>
  <c r="S49" i="3"/>
  <c r="S50" i="3"/>
  <c r="S51" i="3"/>
  <c r="S52" i="3"/>
  <c r="S53" i="3"/>
  <c r="S57" i="3"/>
  <c r="S58" i="3"/>
  <c r="S59" i="3"/>
  <c r="S60" i="3"/>
  <c r="S61" i="3"/>
  <c r="S62" i="3"/>
  <c r="S66" i="3"/>
  <c r="S67" i="3"/>
  <c r="S68" i="3"/>
  <c r="S69" i="3"/>
  <c r="S70" i="3"/>
  <c r="S71" i="3"/>
  <c r="S75" i="3"/>
  <c r="S76" i="3"/>
  <c r="S77" i="3"/>
  <c r="S78" i="3"/>
  <c r="S79" i="3"/>
  <c r="S80" i="3"/>
  <c r="S84" i="3"/>
  <c r="S85" i="3"/>
  <c r="S86" i="3"/>
  <c r="S87" i="3"/>
  <c r="S88" i="3"/>
  <c r="S89" i="3"/>
  <c r="S93" i="3"/>
  <c r="S94" i="3"/>
  <c r="S95" i="3"/>
  <c r="S96" i="3"/>
  <c r="S97" i="3"/>
  <c r="S98" i="3"/>
  <c r="S102" i="3"/>
  <c r="S103" i="3"/>
  <c r="S104" i="3"/>
  <c r="S105" i="3"/>
  <c r="S106" i="3"/>
  <c r="S107" i="3"/>
  <c r="S111" i="3"/>
  <c r="S112" i="3"/>
  <c r="S113" i="3"/>
  <c r="S114" i="3"/>
  <c r="S115" i="3"/>
  <c r="S116" i="3"/>
  <c r="S120" i="3"/>
  <c r="S121" i="3"/>
  <c r="S122" i="3"/>
  <c r="S123" i="3"/>
  <c r="S124" i="3"/>
  <c r="S125" i="3"/>
  <c r="S129" i="3"/>
  <c r="S130" i="3"/>
  <c r="S131" i="3"/>
  <c r="S132" i="3"/>
  <c r="S133" i="3"/>
  <c r="S134" i="3"/>
  <c r="S138" i="3"/>
  <c r="AG137" i="4" s="1"/>
  <c r="S139" i="3"/>
  <c r="AG138" i="4" s="1"/>
  <c r="S140" i="3"/>
  <c r="AG139" i="4" s="1"/>
  <c r="S141" i="3"/>
  <c r="AG140" i="4" s="1"/>
  <c r="S142" i="3"/>
  <c r="AG141" i="4" s="1"/>
  <c r="S143" i="3"/>
  <c r="AG142" i="4" s="1"/>
  <c r="S147" i="3"/>
  <c r="AG146" i="4" s="1"/>
  <c r="S148" i="3"/>
  <c r="AG147" i="4" s="1"/>
  <c r="S149" i="3"/>
  <c r="AG148" i="4" s="1"/>
  <c r="S150" i="3"/>
  <c r="AG149" i="4" s="1"/>
  <c r="S151" i="3"/>
  <c r="AG150" i="4" s="1"/>
  <c r="S152" i="3"/>
  <c r="AG151" i="4" s="1"/>
  <c r="S156" i="3"/>
  <c r="S157" i="3"/>
  <c r="S158" i="3"/>
  <c r="S159" i="3"/>
  <c r="S160" i="3"/>
  <c r="S161" i="3"/>
  <c r="S162" i="3"/>
  <c r="S163" i="3"/>
  <c r="S164" i="3"/>
  <c r="S165" i="3"/>
  <c r="S166" i="3"/>
  <c r="S167" i="3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S182" i="3"/>
  <c r="AG181" i="4" s="1"/>
  <c r="S183" i="3"/>
  <c r="AG182" i="4" s="1"/>
  <c r="S184" i="3"/>
  <c r="AG183" i="4" s="1"/>
  <c r="S185" i="3"/>
  <c r="AG184" i="4" s="1"/>
  <c r="S186" i="3"/>
  <c r="AG185" i="4" s="1"/>
  <c r="S187" i="3"/>
  <c r="AG186" i="4" s="1"/>
  <c r="S188" i="3"/>
  <c r="AG187" i="4" s="1"/>
  <c r="S189" i="3"/>
  <c r="AG188" i="4" s="1"/>
  <c r="S190" i="3"/>
  <c r="AG189" i="4" s="1"/>
  <c r="S191" i="3"/>
  <c r="AG190" i="4" s="1"/>
  <c r="S192" i="3"/>
  <c r="AG191" i="4" s="1"/>
  <c r="S193" i="3"/>
  <c r="AG192" i="4" s="1"/>
  <c r="S194" i="3"/>
  <c r="AG193" i="4" s="1"/>
  <c r="S195" i="3"/>
  <c r="AG194" i="4" s="1"/>
  <c r="S196" i="3"/>
  <c r="AG195" i="4" s="1"/>
  <c r="S197" i="3"/>
  <c r="AG196" i="4" s="1"/>
  <c r="S198" i="3"/>
  <c r="AG197" i="4" s="1"/>
  <c r="S199" i="3"/>
  <c r="AG198" i="4" s="1"/>
  <c r="S200" i="3"/>
  <c r="AG199" i="4" s="1"/>
  <c r="S201" i="3"/>
  <c r="AG200" i="4" s="1"/>
  <c r="S202" i="3"/>
  <c r="AG201" i="4" s="1"/>
  <c r="S203" i="3"/>
  <c r="AG202" i="4" s="1"/>
  <c r="S204" i="3"/>
  <c r="AG203" i="4" s="1"/>
  <c r="S205" i="3"/>
  <c r="AG204" i="4" s="1"/>
  <c r="S206" i="3"/>
  <c r="AG205" i="4" s="1"/>
  <c r="S207" i="3"/>
  <c r="AG206" i="4" s="1"/>
  <c r="S208" i="3"/>
  <c r="AG207" i="4" s="1"/>
  <c r="S209" i="3"/>
  <c r="AG208" i="4" s="1"/>
  <c r="S210" i="3"/>
  <c r="AG209" i="4" s="1"/>
  <c r="S211" i="3"/>
  <c r="AG210" i="4" s="1"/>
  <c r="S212" i="3"/>
  <c r="AG211" i="4" s="1"/>
  <c r="S213" i="3"/>
  <c r="AG212" i="4" s="1"/>
  <c r="S214" i="3"/>
  <c r="AG213" i="4" s="1"/>
  <c r="S215" i="3"/>
  <c r="AG214" i="4" s="1"/>
  <c r="S216" i="3"/>
  <c r="AG215" i="4" s="1"/>
  <c r="S217" i="3"/>
  <c r="AG216" i="4" s="1"/>
  <c r="S218" i="3"/>
  <c r="AG217" i="4" s="1"/>
  <c r="S219" i="3"/>
  <c r="AG218" i="4" s="1"/>
  <c r="S220" i="3"/>
  <c r="AG219" i="4" s="1"/>
  <c r="S11" i="3"/>
  <c r="AS5" i="3" l="1"/>
  <c r="AS6" i="3"/>
  <c r="AS7" i="3"/>
  <c r="AS8" i="3"/>
  <c r="AS9" i="3"/>
  <c r="AS10" i="3"/>
  <c r="AS11" i="3"/>
  <c r="AS12" i="3"/>
  <c r="AS13" i="3"/>
  <c r="AS14" i="3"/>
  <c r="AS15" i="3"/>
  <c r="AS16" i="3"/>
  <c r="AS20" i="3"/>
  <c r="AS21" i="3"/>
  <c r="AS22" i="3"/>
  <c r="AS23" i="3"/>
  <c r="AS24" i="3"/>
  <c r="AS25" i="3"/>
  <c r="AS26" i="3"/>
  <c r="AS30" i="3"/>
  <c r="AS31" i="3"/>
  <c r="AS32" i="3"/>
  <c r="AS33" i="3"/>
  <c r="AS34" i="3"/>
  <c r="AS35" i="3"/>
  <c r="AS39" i="3"/>
  <c r="AS40" i="3"/>
  <c r="AS41" i="3"/>
  <c r="AS42" i="3"/>
  <c r="AS43" i="3"/>
  <c r="AS44" i="3"/>
  <c r="AS48" i="3"/>
  <c r="AS49" i="3"/>
  <c r="AS50" i="3"/>
  <c r="AS51" i="3"/>
  <c r="AS52" i="3"/>
  <c r="AS53" i="3"/>
  <c r="AS57" i="3"/>
  <c r="AS58" i="3"/>
  <c r="AS59" i="3"/>
  <c r="AS60" i="3"/>
  <c r="AS61" i="3"/>
  <c r="AS62" i="3"/>
  <c r="AS66" i="3"/>
  <c r="AS67" i="3"/>
  <c r="AS68" i="3"/>
  <c r="AS69" i="3"/>
  <c r="AS70" i="3"/>
  <c r="AS71" i="3"/>
  <c r="AS75" i="3"/>
  <c r="AS76" i="3"/>
  <c r="AS77" i="3"/>
  <c r="AS78" i="3"/>
  <c r="AS79" i="3"/>
  <c r="AS80" i="3"/>
  <c r="AS84" i="3"/>
  <c r="AS85" i="3"/>
  <c r="AS86" i="3"/>
  <c r="AS87" i="3"/>
  <c r="AS88" i="3"/>
  <c r="AS89" i="3"/>
  <c r="AS93" i="3"/>
  <c r="AS94" i="3"/>
  <c r="AS95" i="3"/>
  <c r="AS96" i="3"/>
  <c r="AS97" i="3"/>
  <c r="AS98" i="3"/>
  <c r="AS102" i="3"/>
  <c r="AS103" i="3"/>
  <c r="AS104" i="3"/>
  <c r="AS105" i="3"/>
  <c r="AS106" i="3"/>
  <c r="AS107" i="3"/>
  <c r="AS111" i="3"/>
  <c r="AS112" i="3"/>
  <c r="AS113" i="3"/>
  <c r="AS114" i="3"/>
  <c r="AS115" i="3"/>
  <c r="AS116" i="3"/>
  <c r="AS120" i="3"/>
  <c r="AS121" i="3"/>
  <c r="AS122" i="3"/>
  <c r="AS123" i="3"/>
  <c r="AS124" i="3"/>
  <c r="AS125" i="3"/>
  <c r="AS129" i="3"/>
  <c r="AS130" i="3"/>
  <c r="AS131" i="3"/>
  <c r="AS132" i="3"/>
  <c r="AS133" i="3"/>
  <c r="AS134" i="3"/>
  <c r="AS138" i="3"/>
  <c r="AS139" i="3"/>
  <c r="AS140" i="3"/>
  <c r="AS141" i="3"/>
  <c r="AS142" i="3"/>
  <c r="AS143" i="3"/>
  <c r="AS147" i="3"/>
  <c r="AS148" i="3"/>
  <c r="AS149" i="3"/>
  <c r="AS150" i="3"/>
  <c r="AS151" i="3"/>
  <c r="AS152" i="3"/>
  <c r="AS156" i="3"/>
  <c r="AS157" i="3"/>
  <c r="AS158" i="3"/>
  <c r="AS159" i="3"/>
  <c r="AS160" i="3"/>
  <c r="AS161" i="3"/>
  <c r="AS162" i="3"/>
  <c r="AS163" i="3"/>
  <c r="AS164" i="3"/>
  <c r="AS165" i="3"/>
  <c r="AS166" i="3"/>
  <c r="AS167" i="3"/>
  <c r="AS168" i="3"/>
  <c r="AS169" i="3"/>
  <c r="AS170" i="3"/>
  <c r="AS171" i="3"/>
  <c r="AS172" i="3"/>
  <c r="AS173" i="3"/>
  <c r="AS174" i="3"/>
  <c r="AS175" i="3"/>
  <c r="AS176" i="3"/>
  <c r="AS177" i="3"/>
  <c r="AS178" i="3"/>
  <c r="AS179" i="3"/>
  <c r="AS180" i="3"/>
  <c r="AS181" i="3"/>
  <c r="AS182" i="3"/>
  <c r="AS183" i="3"/>
  <c r="AS184" i="3"/>
  <c r="AS185" i="3"/>
  <c r="AS186" i="3"/>
  <c r="AS187" i="3"/>
  <c r="AS188" i="3"/>
  <c r="AS189" i="3"/>
  <c r="AS190" i="3"/>
  <c r="AS191" i="3"/>
  <c r="AS192" i="3"/>
  <c r="AS193" i="3"/>
  <c r="AS194" i="3"/>
  <c r="AS195" i="3"/>
  <c r="AS196" i="3"/>
  <c r="AS197" i="3"/>
  <c r="AS198" i="3"/>
  <c r="AS199" i="3"/>
  <c r="AS200" i="3"/>
  <c r="AS201" i="3"/>
  <c r="AS202" i="3"/>
  <c r="AS203" i="3"/>
  <c r="AS204" i="3"/>
  <c r="AS205" i="3"/>
  <c r="AS206" i="3"/>
  <c r="AS207" i="3"/>
  <c r="AS208" i="3"/>
  <c r="AS209" i="3"/>
  <c r="AS210" i="3"/>
  <c r="AS211" i="3"/>
  <c r="AS212" i="3"/>
  <c r="AS213" i="3"/>
  <c r="AS214" i="3"/>
  <c r="AS215" i="3"/>
  <c r="AS216" i="3"/>
  <c r="AS217" i="3"/>
  <c r="AS218" i="3"/>
  <c r="AS219" i="3"/>
  <c r="AS220" i="3"/>
  <c r="AS3" i="3"/>
  <c r="AS4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20" i="3"/>
  <c r="AR21" i="3"/>
  <c r="AR22" i="3"/>
  <c r="AR23" i="3"/>
  <c r="AR24" i="3"/>
  <c r="AR25" i="3"/>
  <c r="AR26" i="3"/>
  <c r="AR30" i="3"/>
  <c r="AR31" i="3"/>
  <c r="AR32" i="3"/>
  <c r="AR33" i="3"/>
  <c r="AR34" i="3"/>
  <c r="AR35" i="3"/>
  <c r="AR39" i="3"/>
  <c r="AR40" i="3"/>
  <c r="AR41" i="3"/>
  <c r="AR42" i="3"/>
  <c r="AR43" i="3"/>
  <c r="AR44" i="3"/>
  <c r="AR48" i="3"/>
  <c r="AR49" i="3"/>
  <c r="AR50" i="3"/>
  <c r="AR51" i="3"/>
  <c r="AR52" i="3"/>
  <c r="AR53" i="3"/>
  <c r="AR57" i="3"/>
  <c r="AR58" i="3"/>
  <c r="AR59" i="3"/>
  <c r="AR60" i="3"/>
  <c r="AR61" i="3"/>
  <c r="AR62" i="3"/>
  <c r="AR66" i="3"/>
  <c r="AR67" i="3"/>
  <c r="AR68" i="3"/>
  <c r="AR69" i="3"/>
  <c r="AR70" i="3"/>
  <c r="AR71" i="3"/>
  <c r="AR75" i="3"/>
  <c r="AR76" i="3"/>
  <c r="AR77" i="3"/>
  <c r="AR78" i="3"/>
  <c r="AR79" i="3"/>
  <c r="AR80" i="3"/>
  <c r="AR84" i="3"/>
  <c r="AR85" i="3"/>
  <c r="AR86" i="3"/>
  <c r="AR87" i="3"/>
  <c r="AR88" i="3"/>
  <c r="AR89" i="3"/>
  <c r="AR93" i="3"/>
  <c r="AR94" i="3"/>
  <c r="AR95" i="3"/>
  <c r="AR96" i="3"/>
  <c r="AR97" i="3"/>
  <c r="AR98" i="3"/>
  <c r="AR102" i="3"/>
  <c r="AR103" i="3"/>
  <c r="AR104" i="3"/>
  <c r="AR105" i="3"/>
  <c r="AR106" i="3"/>
  <c r="AR107" i="3"/>
  <c r="AR111" i="3"/>
  <c r="AR112" i="3"/>
  <c r="AR113" i="3"/>
  <c r="AR114" i="3"/>
  <c r="AR115" i="3"/>
  <c r="AR116" i="3"/>
  <c r="AR120" i="3"/>
  <c r="AR121" i="3"/>
  <c r="AR122" i="3"/>
  <c r="AR123" i="3"/>
  <c r="AR124" i="3"/>
  <c r="AR125" i="3"/>
  <c r="AR129" i="3"/>
  <c r="AR130" i="3"/>
  <c r="AR131" i="3"/>
  <c r="AR132" i="3"/>
  <c r="AR133" i="3"/>
  <c r="AR134" i="3"/>
  <c r="AR138" i="3"/>
  <c r="AR139" i="3"/>
  <c r="AR140" i="3"/>
  <c r="AR141" i="3"/>
  <c r="AR142" i="3"/>
  <c r="AR143" i="3"/>
  <c r="AR147" i="3"/>
  <c r="AR148" i="3"/>
  <c r="AR149" i="3"/>
  <c r="AR150" i="3"/>
  <c r="AR151" i="3"/>
  <c r="AR152" i="3"/>
  <c r="AR156" i="3"/>
  <c r="AR157" i="3"/>
  <c r="AR158" i="3"/>
  <c r="AR159" i="3"/>
  <c r="AR160" i="3"/>
  <c r="AR161" i="3"/>
  <c r="AR162" i="3"/>
  <c r="AR163" i="3"/>
  <c r="AR164" i="3"/>
  <c r="AR165" i="3"/>
  <c r="AR166" i="3"/>
  <c r="AR167" i="3"/>
  <c r="AR168" i="3"/>
  <c r="AR169" i="3"/>
  <c r="AR170" i="3"/>
  <c r="AR171" i="3"/>
  <c r="AR172" i="3"/>
  <c r="AR173" i="3"/>
  <c r="AR174" i="3"/>
  <c r="AR175" i="3"/>
  <c r="AR176" i="3"/>
  <c r="AR177" i="3"/>
  <c r="AR178" i="3"/>
  <c r="AR179" i="3"/>
  <c r="AR180" i="3"/>
  <c r="AR181" i="3"/>
  <c r="AR182" i="3"/>
  <c r="AR183" i="3"/>
  <c r="AR184" i="3"/>
  <c r="AR185" i="3"/>
  <c r="AR186" i="3"/>
  <c r="AR187" i="3"/>
  <c r="AR188" i="3"/>
  <c r="AR189" i="3"/>
  <c r="AR190" i="3"/>
  <c r="AR191" i="3"/>
  <c r="AR192" i="3"/>
  <c r="AR193" i="3"/>
  <c r="AR194" i="3"/>
  <c r="AR195" i="3"/>
  <c r="AR196" i="3"/>
  <c r="AR197" i="3"/>
  <c r="AR198" i="3"/>
  <c r="AR199" i="3"/>
  <c r="AR200" i="3"/>
  <c r="AR201" i="3"/>
  <c r="AR202" i="3"/>
  <c r="AR203" i="3"/>
  <c r="AR204" i="3"/>
  <c r="AR205" i="3"/>
  <c r="AR206" i="3"/>
  <c r="AR207" i="3"/>
  <c r="AR208" i="3"/>
  <c r="AR209" i="3"/>
  <c r="AR210" i="3"/>
  <c r="AR211" i="3"/>
  <c r="AR212" i="3"/>
  <c r="AR213" i="3"/>
  <c r="AR214" i="3"/>
  <c r="AR215" i="3"/>
  <c r="AR216" i="3"/>
  <c r="AR217" i="3"/>
  <c r="AR218" i="3"/>
  <c r="AR219" i="3"/>
  <c r="AR220" i="3"/>
  <c r="AR3" i="3"/>
  <c r="AQ21" i="3" l="1"/>
  <c r="AQ22" i="3"/>
  <c r="AQ23" i="3"/>
  <c r="AQ24" i="3"/>
  <c r="AQ25" i="3"/>
  <c r="AQ26" i="3"/>
  <c r="AQ30" i="3"/>
  <c r="AQ84" i="3"/>
  <c r="AQ85" i="3"/>
  <c r="AQ86" i="3"/>
  <c r="AQ87" i="3"/>
  <c r="AQ88" i="3"/>
  <c r="AQ89" i="3"/>
  <c r="AQ93" i="3"/>
  <c r="AQ94" i="3"/>
  <c r="AQ95" i="3"/>
  <c r="AQ96" i="3"/>
  <c r="AQ97" i="3"/>
  <c r="AQ98" i="3"/>
  <c r="AQ102" i="3"/>
  <c r="AQ103" i="3"/>
  <c r="AQ104" i="3"/>
  <c r="AQ105" i="3"/>
  <c r="AQ106" i="3"/>
  <c r="AQ107" i="3"/>
  <c r="AQ111" i="3"/>
  <c r="AQ112" i="3"/>
  <c r="AQ113" i="3"/>
  <c r="AQ114" i="3"/>
  <c r="AQ115" i="3"/>
  <c r="AQ116" i="3"/>
  <c r="AQ120" i="3"/>
  <c r="AQ121" i="3"/>
  <c r="AQ122" i="3"/>
  <c r="AQ123" i="3"/>
  <c r="AQ124" i="3"/>
  <c r="AQ125" i="3"/>
  <c r="AQ129" i="3"/>
  <c r="AQ130" i="3"/>
  <c r="AQ131" i="3"/>
  <c r="AQ132" i="3"/>
  <c r="AQ133" i="3"/>
  <c r="AQ134" i="3"/>
  <c r="AQ138" i="3"/>
  <c r="AQ139" i="3"/>
  <c r="AQ140" i="3"/>
  <c r="AQ141" i="3"/>
  <c r="AQ142" i="3"/>
  <c r="AQ143" i="3"/>
  <c r="AQ147" i="3"/>
  <c r="AQ148" i="3"/>
  <c r="AQ149" i="3"/>
  <c r="AQ150" i="3"/>
  <c r="AQ151" i="3"/>
  <c r="AQ152" i="3"/>
  <c r="AQ182" i="3"/>
  <c r="AT182" i="3" s="1"/>
  <c r="AQ183" i="3"/>
  <c r="AT183" i="3" s="1"/>
  <c r="AQ184" i="3"/>
  <c r="AT184" i="3" s="1"/>
  <c r="AQ185" i="3"/>
  <c r="AT185" i="3" s="1"/>
  <c r="AQ186" i="3"/>
  <c r="AT186" i="3" s="1"/>
  <c r="AQ187" i="3"/>
  <c r="AT187" i="3" s="1"/>
  <c r="AQ188" i="3"/>
  <c r="AT188" i="3" s="1"/>
  <c r="AQ189" i="3"/>
  <c r="AT189" i="3" s="1"/>
  <c r="AQ190" i="3"/>
  <c r="AT190" i="3" s="1"/>
  <c r="AQ191" i="3"/>
  <c r="AT191" i="3" s="1"/>
  <c r="AQ192" i="3"/>
  <c r="AT192" i="3" s="1"/>
  <c r="AQ193" i="3"/>
  <c r="AT193" i="3" s="1"/>
  <c r="AQ194" i="3"/>
  <c r="AT194" i="3" s="1"/>
  <c r="AQ195" i="3"/>
  <c r="AT195" i="3" s="1"/>
  <c r="AQ196" i="3"/>
  <c r="AT196" i="3" s="1"/>
  <c r="AQ197" i="3"/>
  <c r="AT197" i="3" s="1"/>
  <c r="AQ198" i="3"/>
  <c r="AT198" i="3" s="1"/>
  <c r="AQ199" i="3"/>
  <c r="AT199" i="3" s="1"/>
  <c r="AQ200" i="3"/>
  <c r="AT200" i="3" s="1"/>
  <c r="AQ201" i="3"/>
  <c r="AT201" i="3" s="1"/>
  <c r="AQ202" i="3"/>
  <c r="AT202" i="3" s="1"/>
  <c r="AQ203" i="3"/>
  <c r="AT203" i="3" s="1"/>
  <c r="AQ204" i="3"/>
  <c r="AT204" i="3" s="1"/>
  <c r="AQ205" i="3"/>
  <c r="AT205" i="3" s="1"/>
  <c r="AQ206" i="3"/>
  <c r="AT206" i="3" s="1"/>
  <c r="AQ207" i="3"/>
  <c r="AT207" i="3" s="1"/>
  <c r="AQ208" i="3"/>
  <c r="AT208" i="3" s="1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20" i="3"/>
  <c r="M192" i="3" l="1"/>
  <c r="AA191" i="4" s="1"/>
  <c r="M193" i="3"/>
  <c r="AA192" i="4" s="1"/>
  <c r="M194" i="3"/>
  <c r="AA193" i="4" s="1"/>
  <c r="M195" i="3"/>
  <c r="AA194" i="4" s="1"/>
  <c r="M196" i="3"/>
  <c r="AA195" i="4" s="1"/>
  <c r="M197" i="3"/>
  <c r="AA196" i="4" s="1"/>
  <c r="M198" i="3"/>
  <c r="AA197" i="4" s="1"/>
  <c r="M199" i="3"/>
  <c r="AA198" i="4" s="1"/>
  <c r="M200" i="3"/>
  <c r="AA199" i="4" s="1"/>
  <c r="M201" i="3"/>
  <c r="AA200" i="4" s="1"/>
  <c r="M202" i="3"/>
  <c r="AA201" i="4" s="1"/>
  <c r="M203" i="3"/>
  <c r="AA202" i="4" s="1"/>
  <c r="M204" i="3"/>
  <c r="AA203" i="4" s="1"/>
  <c r="M205" i="3"/>
  <c r="AA204" i="4" s="1"/>
  <c r="M206" i="3"/>
  <c r="AA205" i="4" s="1"/>
  <c r="M207" i="3"/>
  <c r="AA206" i="4" s="1"/>
  <c r="M208" i="3"/>
  <c r="AA207" i="4" s="1"/>
  <c r="M209" i="3"/>
  <c r="AA208" i="4" s="1"/>
  <c r="M210" i="3"/>
  <c r="AA209" i="4" s="1"/>
  <c r="M211" i="3"/>
  <c r="AA210" i="4" s="1"/>
  <c r="M212" i="3"/>
  <c r="AA211" i="4" s="1"/>
  <c r="M213" i="3"/>
  <c r="AA212" i="4" s="1"/>
  <c r="M214" i="3"/>
  <c r="AA213" i="4" s="1"/>
  <c r="M215" i="3"/>
  <c r="AA214" i="4" s="1"/>
  <c r="M216" i="3"/>
  <c r="AA215" i="4" s="1"/>
  <c r="M217" i="3"/>
  <c r="AA216" i="4" s="1"/>
  <c r="M218" i="3"/>
  <c r="AA217" i="4" s="1"/>
  <c r="M219" i="3"/>
  <c r="AA218" i="4" s="1"/>
  <c r="M220" i="3"/>
  <c r="AA219" i="4" s="1"/>
  <c r="M188" i="3"/>
  <c r="AA187" i="4" s="1"/>
  <c r="M189" i="3"/>
  <c r="AA188" i="4" s="1"/>
  <c r="M190" i="3"/>
  <c r="AA189" i="4" s="1"/>
  <c r="M191" i="3"/>
  <c r="AA190" i="4" s="1"/>
  <c r="M5" i="3"/>
  <c r="M6" i="3"/>
  <c r="M7" i="3"/>
  <c r="M8" i="3"/>
  <c r="M9" i="3"/>
  <c r="M10" i="3"/>
  <c r="M11" i="3"/>
  <c r="M12" i="3"/>
  <c r="M13" i="3"/>
  <c r="M14" i="3"/>
  <c r="M15" i="3"/>
  <c r="M16" i="3"/>
  <c r="M20" i="3"/>
  <c r="M21" i="3"/>
  <c r="M22" i="3"/>
  <c r="M23" i="3"/>
  <c r="M24" i="3"/>
  <c r="M25" i="3"/>
  <c r="M26" i="3"/>
  <c r="M30" i="3"/>
  <c r="M31" i="3"/>
  <c r="M32" i="3"/>
  <c r="M33" i="3"/>
  <c r="M34" i="3"/>
  <c r="M35" i="3"/>
  <c r="M39" i="3"/>
  <c r="M40" i="3"/>
  <c r="M41" i="3"/>
  <c r="M42" i="3"/>
  <c r="M43" i="3"/>
  <c r="M44" i="3"/>
  <c r="M48" i="3"/>
  <c r="M49" i="3"/>
  <c r="M50" i="3"/>
  <c r="M51" i="3"/>
  <c r="M52" i="3"/>
  <c r="M53" i="3"/>
  <c r="M57" i="3"/>
  <c r="M58" i="3"/>
  <c r="M59" i="3"/>
  <c r="M60" i="3"/>
  <c r="M61" i="3"/>
  <c r="M62" i="3"/>
  <c r="M66" i="3"/>
  <c r="AA65" i="4" s="1"/>
  <c r="M67" i="3"/>
  <c r="AA66" i="4" s="1"/>
  <c r="M68" i="3"/>
  <c r="AA67" i="4" s="1"/>
  <c r="M69" i="3"/>
  <c r="AA68" i="4" s="1"/>
  <c r="M70" i="3"/>
  <c r="AA69" i="4" s="1"/>
  <c r="M71" i="3"/>
  <c r="AA70" i="4" s="1"/>
  <c r="M75" i="3"/>
  <c r="AA74" i="4" s="1"/>
  <c r="M76" i="3"/>
  <c r="AA75" i="4" s="1"/>
  <c r="M77" i="3"/>
  <c r="AA76" i="4" s="1"/>
  <c r="M78" i="3"/>
  <c r="AA77" i="4" s="1"/>
  <c r="M79" i="3"/>
  <c r="AA78" i="4" s="1"/>
  <c r="M80" i="3"/>
  <c r="AA79" i="4" s="1"/>
  <c r="M84" i="3"/>
  <c r="M85" i="3"/>
  <c r="M86" i="3"/>
  <c r="M87" i="3"/>
  <c r="M88" i="3"/>
  <c r="M89" i="3"/>
  <c r="M93" i="3"/>
  <c r="M94" i="3"/>
  <c r="M95" i="3"/>
  <c r="M96" i="3"/>
  <c r="M97" i="3"/>
  <c r="M98" i="3"/>
  <c r="M102" i="3"/>
  <c r="M103" i="3"/>
  <c r="M104" i="3"/>
  <c r="M105" i="3"/>
  <c r="M106" i="3"/>
  <c r="M107" i="3"/>
  <c r="M111" i="3"/>
  <c r="M112" i="3"/>
  <c r="M113" i="3"/>
  <c r="M114" i="3"/>
  <c r="M115" i="3"/>
  <c r="M116" i="3"/>
  <c r="M120" i="3"/>
  <c r="M121" i="3"/>
  <c r="M122" i="3"/>
  <c r="M123" i="3"/>
  <c r="M124" i="3"/>
  <c r="M125" i="3"/>
  <c r="M129" i="3"/>
  <c r="M130" i="3"/>
  <c r="M131" i="3"/>
  <c r="M132" i="3"/>
  <c r="M133" i="3"/>
  <c r="M134" i="3"/>
  <c r="M138" i="3"/>
  <c r="AA137" i="4" s="1"/>
  <c r="M139" i="3"/>
  <c r="AA138" i="4" s="1"/>
  <c r="M140" i="3"/>
  <c r="AA139" i="4" s="1"/>
  <c r="M141" i="3"/>
  <c r="AA140" i="4" s="1"/>
  <c r="M142" i="3"/>
  <c r="AA141" i="4" s="1"/>
  <c r="M143" i="3"/>
  <c r="AA142" i="4" s="1"/>
  <c r="M147" i="3"/>
  <c r="AA146" i="4" s="1"/>
  <c r="M148" i="3"/>
  <c r="AA147" i="4" s="1"/>
  <c r="M149" i="3"/>
  <c r="AA148" i="4" s="1"/>
  <c r="M150" i="3"/>
  <c r="AA149" i="4" s="1"/>
  <c r="M151" i="3"/>
  <c r="AA150" i="4" s="1"/>
  <c r="M152" i="3"/>
  <c r="AA151" i="4" s="1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AA167" i="4" s="1"/>
  <c r="M169" i="3"/>
  <c r="AA168" i="4" s="1"/>
  <c r="M170" i="3"/>
  <c r="AA169" i="4" s="1"/>
  <c r="M171" i="3"/>
  <c r="AA170" i="4" s="1"/>
  <c r="M172" i="3"/>
  <c r="AA171" i="4" s="1"/>
  <c r="M173" i="3"/>
  <c r="AA172" i="4" s="1"/>
  <c r="M174" i="3"/>
  <c r="AA173" i="4" s="1"/>
  <c r="M175" i="3"/>
  <c r="AA174" i="4" s="1"/>
  <c r="M176" i="3"/>
  <c r="AA175" i="4" s="1"/>
  <c r="M177" i="3"/>
  <c r="AA176" i="4" s="1"/>
  <c r="M178" i="3"/>
  <c r="AA177" i="4" s="1"/>
  <c r="M179" i="3"/>
  <c r="AA178" i="4" s="1"/>
  <c r="M180" i="3"/>
  <c r="AA179" i="4" s="1"/>
  <c r="M181" i="3"/>
  <c r="AA180" i="4" s="1"/>
  <c r="M182" i="3"/>
  <c r="AA181" i="4" s="1"/>
  <c r="M183" i="3"/>
  <c r="AA182" i="4" s="1"/>
  <c r="M184" i="3"/>
  <c r="AA183" i="4" s="1"/>
  <c r="M185" i="3"/>
  <c r="AA184" i="4" s="1"/>
  <c r="M186" i="3"/>
  <c r="AA185" i="4" s="1"/>
  <c r="M187" i="3"/>
  <c r="AA186" i="4" s="1"/>
  <c r="M3" i="3"/>
  <c r="M4" i="3"/>
  <c r="S65" i="4" l="1"/>
  <c r="S66" i="4"/>
  <c r="S67" i="4"/>
  <c r="S68" i="4"/>
  <c r="S69" i="4"/>
  <c r="S70" i="4"/>
  <c r="S74" i="4"/>
  <c r="S75" i="4"/>
  <c r="S76" i="4"/>
  <c r="S77" i="4"/>
  <c r="S78" i="4"/>
  <c r="S79" i="4"/>
  <c r="S170" i="4"/>
  <c r="S171" i="4"/>
  <c r="S172" i="4"/>
  <c r="S173" i="4"/>
  <c r="S174" i="4"/>
  <c r="S175" i="4"/>
  <c r="S176" i="4"/>
  <c r="S177" i="4"/>
  <c r="S178" i="4"/>
  <c r="S179" i="4"/>
  <c r="S180" i="4"/>
  <c r="E182" i="3"/>
  <c r="S181" i="4" s="1"/>
  <c r="E183" i="3"/>
  <c r="S182" i="4" s="1"/>
  <c r="E184" i="3"/>
  <c r="S183" i="4" s="1"/>
  <c r="E185" i="3"/>
  <c r="S184" i="4" s="1"/>
  <c r="E186" i="3"/>
  <c r="S185" i="4" s="1"/>
  <c r="E187" i="3"/>
  <c r="S186" i="4" s="1"/>
  <c r="E188" i="3"/>
  <c r="S187" i="4" s="1"/>
  <c r="S188" i="4"/>
  <c r="S189" i="4"/>
  <c r="S190" i="4"/>
  <c r="S191" i="4"/>
  <c r="S192" i="4"/>
  <c r="S193" i="4"/>
  <c r="S194" i="4"/>
  <c r="S195" i="4"/>
  <c r="S196" i="4"/>
  <c r="S197" i="4"/>
  <c r="S198" i="4"/>
  <c r="S3" i="4" l="1"/>
  <c r="T3" i="4"/>
  <c r="U3" i="4"/>
  <c r="V3" i="4"/>
  <c r="W3" i="4"/>
  <c r="X3" i="4"/>
  <c r="Y3" i="4"/>
  <c r="Z3" i="4"/>
  <c r="AA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S4" i="4"/>
  <c r="T4" i="4"/>
  <c r="U4" i="4"/>
  <c r="V4" i="4"/>
  <c r="W4" i="4"/>
  <c r="X4" i="4"/>
  <c r="Y4" i="4"/>
  <c r="Z4" i="4"/>
  <c r="AA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S5" i="4"/>
  <c r="T5" i="4"/>
  <c r="U5" i="4"/>
  <c r="V5" i="4"/>
  <c r="W5" i="4"/>
  <c r="X5" i="4"/>
  <c r="Y5" i="4"/>
  <c r="Z5" i="4"/>
  <c r="AA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S6" i="4"/>
  <c r="T6" i="4"/>
  <c r="U6" i="4"/>
  <c r="V6" i="4"/>
  <c r="W6" i="4"/>
  <c r="X6" i="4"/>
  <c r="Y6" i="4"/>
  <c r="Z6" i="4"/>
  <c r="AA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S7" i="4"/>
  <c r="T7" i="4"/>
  <c r="U7" i="4"/>
  <c r="V7" i="4"/>
  <c r="W7" i="4"/>
  <c r="X7" i="4"/>
  <c r="Y7" i="4"/>
  <c r="Z7" i="4"/>
  <c r="AA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S8" i="4"/>
  <c r="T8" i="4"/>
  <c r="U8" i="4"/>
  <c r="V8" i="4"/>
  <c r="W8" i="4"/>
  <c r="X8" i="4"/>
  <c r="Y8" i="4"/>
  <c r="Z8" i="4"/>
  <c r="AA8" i="4"/>
  <c r="AC8" i="4"/>
  <c r="AD8" i="4"/>
  <c r="AE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S9" i="4"/>
  <c r="T9" i="4"/>
  <c r="U9" i="4"/>
  <c r="V9" i="4"/>
  <c r="W9" i="4"/>
  <c r="X9" i="4"/>
  <c r="Y9" i="4"/>
  <c r="Z9" i="4"/>
  <c r="AA9" i="4"/>
  <c r="AC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U10" i="4"/>
  <c r="V10" i="4"/>
  <c r="W10" i="4"/>
  <c r="X10" i="4"/>
  <c r="Y10" i="4"/>
  <c r="Z10" i="4"/>
  <c r="AA10" i="4"/>
  <c r="AC10" i="4"/>
  <c r="AE10" i="4"/>
  <c r="AG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S11" i="4"/>
  <c r="U11" i="4"/>
  <c r="V11" i="4"/>
  <c r="W11" i="4"/>
  <c r="X11" i="4"/>
  <c r="Y11" i="4"/>
  <c r="Z11" i="4"/>
  <c r="AA11" i="4"/>
  <c r="AC11" i="4"/>
  <c r="AG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S12" i="4"/>
  <c r="U12" i="4"/>
  <c r="V12" i="4"/>
  <c r="W12" i="4"/>
  <c r="X12" i="4"/>
  <c r="Y12" i="4"/>
  <c r="Z12" i="4"/>
  <c r="AA12" i="4"/>
  <c r="AC12" i="4"/>
  <c r="AG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S13" i="4"/>
  <c r="U13" i="4"/>
  <c r="V13" i="4"/>
  <c r="W13" i="4"/>
  <c r="X13" i="4"/>
  <c r="Y13" i="4"/>
  <c r="Z13" i="4"/>
  <c r="AA13" i="4"/>
  <c r="AC13" i="4"/>
  <c r="AG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S14" i="4"/>
  <c r="U14" i="4"/>
  <c r="V14" i="4"/>
  <c r="W14" i="4"/>
  <c r="X14" i="4"/>
  <c r="Y14" i="4"/>
  <c r="Z14" i="4"/>
  <c r="AA14" i="4"/>
  <c r="AC14" i="4"/>
  <c r="AG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S15" i="4"/>
  <c r="U15" i="4"/>
  <c r="V15" i="4"/>
  <c r="W15" i="4"/>
  <c r="X15" i="4"/>
  <c r="Y15" i="4"/>
  <c r="Z15" i="4"/>
  <c r="AA15" i="4"/>
  <c r="AC15" i="4"/>
  <c r="AG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Z15" i="4"/>
  <c r="BA15" i="4"/>
  <c r="BB15" i="4"/>
  <c r="BC15" i="4"/>
  <c r="BD15" i="4"/>
  <c r="S19" i="4"/>
  <c r="U19" i="4"/>
  <c r="V19" i="4"/>
  <c r="W19" i="4"/>
  <c r="X19" i="4"/>
  <c r="Y19" i="4"/>
  <c r="Z19" i="4"/>
  <c r="AA19" i="4"/>
  <c r="AC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S20" i="4"/>
  <c r="U20" i="4"/>
  <c r="V20" i="4"/>
  <c r="W20" i="4"/>
  <c r="X20" i="4"/>
  <c r="Y20" i="4"/>
  <c r="Z20" i="4"/>
  <c r="AA20" i="4"/>
  <c r="AC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S21" i="4"/>
  <c r="U21" i="4"/>
  <c r="V21" i="4"/>
  <c r="W21" i="4"/>
  <c r="X21" i="4"/>
  <c r="Y21" i="4"/>
  <c r="Z21" i="4"/>
  <c r="AA21" i="4"/>
  <c r="AC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S22" i="4"/>
  <c r="U22" i="4"/>
  <c r="V22" i="4"/>
  <c r="W22" i="4"/>
  <c r="X22" i="4"/>
  <c r="Y22" i="4"/>
  <c r="Z22" i="4"/>
  <c r="AA22" i="4"/>
  <c r="AC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S23" i="4"/>
  <c r="U23" i="4"/>
  <c r="V23" i="4"/>
  <c r="W23" i="4"/>
  <c r="X23" i="4"/>
  <c r="Y23" i="4"/>
  <c r="Z23" i="4"/>
  <c r="AA23" i="4"/>
  <c r="AC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S24" i="4"/>
  <c r="U24" i="4"/>
  <c r="V24" i="4"/>
  <c r="W24" i="4"/>
  <c r="X24" i="4"/>
  <c r="Y24" i="4"/>
  <c r="Z24" i="4"/>
  <c r="AA24" i="4"/>
  <c r="AC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S25" i="4"/>
  <c r="U25" i="4"/>
  <c r="V25" i="4"/>
  <c r="W25" i="4"/>
  <c r="X25" i="4"/>
  <c r="Y25" i="4"/>
  <c r="Z25" i="4"/>
  <c r="AA25" i="4"/>
  <c r="AC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S29" i="4"/>
  <c r="U29" i="4"/>
  <c r="V29" i="4"/>
  <c r="W29" i="4"/>
  <c r="X29" i="4"/>
  <c r="Y29" i="4"/>
  <c r="Z29" i="4"/>
  <c r="AA29" i="4"/>
  <c r="AC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S30" i="4"/>
  <c r="U30" i="4"/>
  <c r="V30" i="4"/>
  <c r="W30" i="4"/>
  <c r="X30" i="4"/>
  <c r="Y30" i="4"/>
  <c r="Z30" i="4"/>
  <c r="AA30" i="4"/>
  <c r="AC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S31" i="4"/>
  <c r="U31" i="4"/>
  <c r="V31" i="4"/>
  <c r="W31" i="4"/>
  <c r="X31" i="4"/>
  <c r="Y31" i="4"/>
  <c r="Z31" i="4"/>
  <c r="AA31" i="4"/>
  <c r="AC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S32" i="4"/>
  <c r="U32" i="4"/>
  <c r="V32" i="4"/>
  <c r="W32" i="4"/>
  <c r="X32" i="4"/>
  <c r="Y32" i="4"/>
  <c r="Z32" i="4"/>
  <c r="AA32" i="4"/>
  <c r="AC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S33" i="4"/>
  <c r="U33" i="4"/>
  <c r="V33" i="4"/>
  <c r="W33" i="4"/>
  <c r="X33" i="4"/>
  <c r="Y33" i="4"/>
  <c r="Z33" i="4"/>
  <c r="AA33" i="4"/>
  <c r="AC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S34" i="4"/>
  <c r="U34" i="4"/>
  <c r="V34" i="4"/>
  <c r="W34" i="4"/>
  <c r="X34" i="4"/>
  <c r="Y34" i="4"/>
  <c r="Z34" i="4"/>
  <c r="AA34" i="4"/>
  <c r="AC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S38" i="4"/>
  <c r="U38" i="4"/>
  <c r="V38" i="4"/>
  <c r="W38" i="4"/>
  <c r="X38" i="4"/>
  <c r="Y38" i="4"/>
  <c r="Z38" i="4"/>
  <c r="AA38" i="4"/>
  <c r="AC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S39" i="4"/>
  <c r="U39" i="4"/>
  <c r="V39" i="4"/>
  <c r="W39" i="4"/>
  <c r="X39" i="4"/>
  <c r="Y39" i="4"/>
  <c r="Z39" i="4"/>
  <c r="AA39" i="4"/>
  <c r="AC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S40" i="4"/>
  <c r="U40" i="4"/>
  <c r="V40" i="4"/>
  <c r="W40" i="4"/>
  <c r="X40" i="4"/>
  <c r="Y40" i="4"/>
  <c r="Z40" i="4"/>
  <c r="AA40" i="4"/>
  <c r="AC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S41" i="4"/>
  <c r="U41" i="4"/>
  <c r="V41" i="4"/>
  <c r="W41" i="4"/>
  <c r="X41" i="4"/>
  <c r="Y41" i="4"/>
  <c r="Z41" i="4"/>
  <c r="AA41" i="4"/>
  <c r="AC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S42" i="4"/>
  <c r="U42" i="4"/>
  <c r="V42" i="4"/>
  <c r="W42" i="4"/>
  <c r="X42" i="4"/>
  <c r="Y42" i="4"/>
  <c r="Z42" i="4"/>
  <c r="AA42" i="4"/>
  <c r="AC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S43" i="4"/>
  <c r="U43" i="4"/>
  <c r="V43" i="4"/>
  <c r="W43" i="4"/>
  <c r="X43" i="4"/>
  <c r="Y43" i="4"/>
  <c r="Z43" i="4"/>
  <c r="AA43" i="4"/>
  <c r="AC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S47" i="4"/>
  <c r="U47" i="4"/>
  <c r="V47" i="4"/>
  <c r="W47" i="4"/>
  <c r="X47" i="4"/>
  <c r="Y47" i="4"/>
  <c r="Z47" i="4"/>
  <c r="AA47" i="4"/>
  <c r="AC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S48" i="4"/>
  <c r="U48" i="4"/>
  <c r="V48" i="4"/>
  <c r="W48" i="4"/>
  <c r="X48" i="4"/>
  <c r="Y48" i="4"/>
  <c r="Z48" i="4"/>
  <c r="AA48" i="4"/>
  <c r="AC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S49" i="4"/>
  <c r="U49" i="4"/>
  <c r="V49" i="4"/>
  <c r="W49" i="4"/>
  <c r="X49" i="4"/>
  <c r="Y49" i="4"/>
  <c r="Z49" i="4"/>
  <c r="AA49" i="4"/>
  <c r="AC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S50" i="4"/>
  <c r="U50" i="4"/>
  <c r="V50" i="4"/>
  <c r="W50" i="4"/>
  <c r="X50" i="4"/>
  <c r="Y50" i="4"/>
  <c r="Z50" i="4"/>
  <c r="AA50" i="4"/>
  <c r="AC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S51" i="4"/>
  <c r="U51" i="4"/>
  <c r="V51" i="4"/>
  <c r="W51" i="4"/>
  <c r="X51" i="4"/>
  <c r="Y51" i="4"/>
  <c r="Z51" i="4"/>
  <c r="AA51" i="4"/>
  <c r="AC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S52" i="4"/>
  <c r="U52" i="4"/>
  <c r="V52" i="4"/>
  <c r="W52" i="4"/>
  <c r="X52" i="4"/>
  <c r="Y52" i="4"/>
  <c r="Z52" i="4"/>
  <c r="AA52" i="4"/>
  <c r="AC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S56" i="4"/>
  <c r="U56" i="4"/>
  <c r="V56" i="4"/>
  <c r="W56" i="4"/>
  <c r="X56" i="4"/>
  <c r="Y56" i="4"/>
  <c r="Z56" i="4"/>
  <c r="AA56" i="4"/>
  <c r="AC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S57" i="4"/>
  <c r="U57" i="4"/>
  <c r="V57" i="4"/>
  <c r="W57" i="4"/>
  <c r="X57" i="4"/>
  <c r="Y57" i="4"/>
  <c r="Z57" i="4"/>
  <c r="AA57" i="4"/>
  <c r="AC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S58" i="4"/>
  <c r="U58" i="4"/>
  <c r="V58" i="4"/>
  <c r="W58" i="4"/>
  <c r="X58" i="4"/>
  <c r="Y58" i="4"/>
  <c r="Z58" i="4"/>
  <c r="AA58" i="4"/>
  <c r="AC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S59" i="4"/>
  <c r="U59" i="4"/>
  <c r="V59" i="4"/>
  <c r="W59" i="4"/>
  <c r="X59" i="4"/>
  <c r="Y59" i="4"/>
  <c r="Z59" i="4"/>
  <c r="AA59" i="4"/>
  <c r="AC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S60" i="4"/>
  <c r="U60" i="4"/>
  <c r="V60" i="4"/>
  <c r="W60" i="4"/>
  <c r="X60" i="4"/>
  <c r="Y60" i="4"/>
  <c r="Z60" i="4"/>
  <c r="AA60" i="4"/>
  <c r="AC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S61" i="4"/>
  <c r="U61" i="4"/>
  <c r="V61" i="4"/>
  <c r="W61" i="4"/>
  <c r="X61" i="4"/>
  <c r="Y61" i="4"/>
  <c r="Z61" i="4"/>
  <c r="AA61" i="4"/>
  <c r="AC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S83" i="4"/>
  <c r="U83" i="4"/>
  <c r="V83" i="4"/>
  <c r="W83" i="4"/>
  <c r="X83" i="4"/>
  <c r="Y83" i="4"/>
  <c r="Z83" i="4"/>
  <c r="AA83" i="4"/>
  <c r="AC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S84" i="4"/>
  <c r="U84" i="4"/>
  <c r="V84" i="4"/>
  <c r="W84" i="4"/>
  <c r="X84" i="4"/>
  <c r="Y84" i="4"/>
  <c r="Z84" i="4"/>
  <c r="AA84" i="4"/>
  <c r="AC84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S85" i="4"/>
  <c r="U85" i="4"/>
  <c r="V85" i="4"/>
  <c r="W85" i="4"/>
  <c r="X85" i="4"/>
  <c r="Y85" i="4"/>
  <c r="Z85" i="4"/>
  <c r="AA85" i="4"/>
  <c r="AC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S86" i="4"/>
  <c r="U86" i="4"/>
  <c r="V86" i="4"/>
  <c r="W86" i="4"/>
  <c r="X86" i="4"/>
  <c r="Y86" i="4"/>
  <c r="Z86" i="4"/>
  <c r="AA86" i="4"/>
  <c r="AC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S87" i="4"/>
  <c r="U87" i="4"/>
  <c r="V87" i="4"/>
  <c r="W87" i="4"/>
  <c r="X87" i="4"/>
  <c r="Y87" i="4"/>
  <c r="Z87" i="4"/>
  <c r="AA87" i="4"/>
  <c r="AC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Z87" i="4"/>
  <c r="BA87" i="4"/>
  <c r="BB87" i="4"/>
  <c r="BC87" i="4"/>
  <c r="BD87" i="4"/>
  <c r="S88" i="4"/>
  <c r="U88" i="4"/>
  <c r="V88" i="4"/>
  <c r="W88" i="4"/>
  <c r="X88" i="4"/>
  <c r="Y88" i="4"/>
  <c r="Z88" i="4"/>
  <c r="AA88" i="4"/>
  <c r="AC88" i="4"/>
  <c r="AG88" i="4"/>
  <c r="AH88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BA88" i="4"/>
  <c r="BB88" i="4"/>
  <c r="BC88" i="4"/>
  <c r="BD88" i="4"/>
  <c r="S92" i="4"/>
  <c r="U92" i="4"/>
  <c r="V92" i="4"/>
  <c r="W92" i="4"/>
  <c r="X92" i="4"/>
  <c r="Y92" i="4"/>
  <c r="Z92" i="4"/>
  <c r="AA92" i="4"/>
  <c r="AC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S93" i="4"/>
  <c r="U93" i="4"/>
  <c r="V93" i="4"/>
  <c r="W93" i="4"/>
  <c r="X93" i="4"/>
  <c r="Y93" i="4"/>
  <c r="Z93" i="4"/>
  <c r="AA93" i="4"/>
  <c r="AC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S94" i="4"/>
  <c r="U94" i="4"/>
  <c r="V94" i="4"/>
  <c r="W94" i="4"/>
  <c r="X94" i="4"/>
  <c r="Y94" i="4"/>
  <c r="Z94" i="4"/>
  <c r="AA94" i="4"/>
  <c r="AC94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S95" i="4"/>
  <c r="U95" i="4"/>
  <c r="V95" i="4"/>
  <c r="W95" i="4"/>
  <c r="X95" i="4"/>
  <c r="Y95" i="4"/>
  <c r="Z95" i="4"/>
  <c r="AA95" i="4"/>
  <c r="AC95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S96" i="4"/>
  <c r="U96" i="4"/>
  <c r="V96" i="4"/>
  <c r="W96" i="4"/>
  <c r="X96" i="4"/>
  <c r="Y96" i="4"/>
  <c r="Z96" i="4"/>
  <c r="AA96" i="4"/>
  <c r="AC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S97" i="4"/>
  <c r="U97" i="4"/>
  <c r="V97" i="4"/>
  <c r="W97" i="4"/>
  <c r="X97" i="4"/>
  <c r="Y97" i="4"/>
  <c r="Z97" i="4"/>
  <c r="AA97" i="4"/>
  <c r="AC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S101" i="4"/>
  <c r="U101" i="4"/>
  <c r="V101" i="4"/>
  <c r="W101" i="4"/>
  <c r="X101" i="4"/>
  <c r="Y101" i="4"/>
  <c r="Z101" i="4"/>
  <c r="AA101" i="4"/>
  <c r="AC101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S102" i="4"/>
  <c r="U102" i="4"/>
  <c r="V102" i="4"/>
  <c r="W102" i="4"/>
  <c r="X102" i="4"/>
  <c r="Y102" i="4"/>
  <c r="Z102" i="4"/>
  <c r="AA102" i="4"/>
  <c r="AC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S103" i="4"/>
  <c r="U103" i="4"/>
  <c r="V103" i="4"/>
  <c r="W103" i="4"/>
  <c r="X103" i="4"/>
  <c r="Y103" i="4"/>
  <c r="Z103" i="4"/>
  <c r="AA103" i="4"/>
  <c r="AC103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S104" i="4"/>
  <c r="U104" i="4"/>
  <c r="V104" i="4"/>
  <c r="W104" i="4"/>
  <c r="X104" i="4"/>
  <c r="Y104" i="4"/>
  <c r="Z104" i="4"/>
  <c r="AA104" i="4"/>
  <c r="AC104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S105" i="4"/>
  <c r="U105" i="4"/>
  <c r="V105" i="4"/>
  <c r="W105" i="4"/>
  <c r="X105" i="4"/>
  <c r="Y105" i="4"/>
  <c r="Z105" i="4"/>
  <c r="AA105" i="4"/>
  <c r="AC105" i="4"/>
  <c r="AG105" i="4"/>
  <c r="AH105" i="4"/>
  <c r="AI105" i="4"/>
  <c r="AJ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A105" i="4"/>
  <c r="BB105" i="4"/>
  <c r="BC105" i="4"/>
  <c r="BD105" i="4"/>
  <c r="S106" i="4"/>
  <c r="U106" i="4"/>
  <c r="V106" i="4"/>
  <c r="W106" i="4"/>
  <c r="X106" i="4"/>
  <c r="Y106" i="4"/>
  <c r="Z106" i="4"/>
  <c r="AA106" i="4"/>
  <c r="AC106" i="4"/>
  <c r="AG106" i="4"/>
  <c r="AH106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A106" i="4"/>
  <c r="BB106" i="4"/>
  <c r="BC106" i="4"/>
  <c r="BD106" i="4"/>
  <c r="S110" i="4"/>
  <c r="U110" i="4"/>
  <c r="V110" i="4"/>
  <c r="W110" i="4"/>
  <c r="X110" i="4"/>
  <c r="Y110" i="4"/>
  <c r="Z110" i="4"/>
  <c r="AA110" i="4"/>
  <c r="AC110" i="4"/>
  <c r="AG110" i="4"/>
  <c r="AH110" i="4"/>
  <c r="AI110" i="4"/>
  <c r="AJ110" i="4"/>
  <c r="AK110" i="4"/>
  <c r="AL110" i="4"/>
  <c r="AM110" i="4"/>
  <c r="AN110" i="4"/>
  <c r="AO110" i="4"/>
  <c r="AP110" i="4"/>
  <c r="AQ110" i="4"/>
  <c r="AR110" i="4"/>
  <c r="AS110" i="4"/>
  <c r="AT110" i="4"/>
  <c r="AU110" i="4"/>
  <c r="AV110" i="4"/>
  <c r="AW110" i="4"/>
  <c r="AX110" i="4"/>
  <c r="AY110" i="4"/>
  <c r="AZ110" i="4"/>
  <c r="BA110" i="4"/>
  <c r="BB110" i="4"/>
  <c r="BC110" i="4"/>
  <c r="BD110" i="4"/>
  <c r="S111" i="4"/>
  <c r="U111" i="4"/>
  <c r="V111" i="4"/>
  <c r="W111" i="4"/>
  <c r="X111" i="4"/>
  <c r="Y111" i="4"/>
  <c r="Z111" i="4"/>
  <c r="AA111" i="4"/>
  <c r="AC111" i="4"/>
  <c r="AG111" i="4"/>
  <c r="AH111" i="4"/>
  <c r="AI111" i="4"/>
  <c r="AJ111" i="4"/>
  <c r="AK111" i="4"/>
  <c r="AL111" i="4"/>
  <c r="AM111" i="4"/>
  <c r="AN111" i="4"/>
  <c r="AO111" i="4"/>
  <c r="AP111" i="4"/>
  <c r="AQ111" i="4"/>
  <c r="AR111" i="4"/>
  <c r="AS111" i="4"/>
  <c r="AT111" i="4"/>
  <c r="AU111" i="4"/>
  <c r="AV111" i="4"/>
  <c r="AW111" i="4"/>
  <c r="AX111" i="4"/>
  <c r="AY111" i="4"/>
  <c r="AZ111" i="4"/>
  <c r="BA111" i="4"/>
  <c r="BB111" i="4"/>
  <c r="BC111" i="4"/>
  <c r="BD111" i="4"/>
  <c r="S112" i="4"/>
  <c r="U112" i="4"/>
  <c r="V112" i="4"/>
  <c r="W112" i="4"/>
  <c r="X112" i="4"/>
  <c r="Y112" i="4"/>
  <c r="Z112" i="4"/>
  <c r="AA112" i="4"/>
  <c r="AC112" i="4"/>
  <c r="AG112" i="4"/>
  <c r="AH112" i="4"/>
  <c r="AI112" i="4"/>
  <c r="AJ112" i="4"/>
  <c r="AK112" i="4"/>
  <c r="AL112" i="4"/>
  <c r="AM112" i="4"/>
  <c r="AN112" i="4"/>
  <c r="AO112" i="4"/>
  <c r="AP112" i="4"/>
  <c r="AQ112" i="4"/>
  <c r="AR112" i="4"/>
  <c r="AS112" i="4"/>
  <c r="AT112" i="4"/>
  <c r="AU112" i="4"/>
  <c r="AV112" i="4"/>
  <c r="AW112" i="4"/>
  <c r="AX112" i="4"/>
  <c r="AY112" i="4"/>
  <c r="AZ112" i="4"/>
  <c r="BA112" i="4"/>
  <c r="BB112" i="4"/>
  <c r="BC112" i="4"/>
  <c r="BD112" i="4"/>
  <c r="S113" i="4"/>
  <c r="U113" i="4"/>
  <c r="V113" i="4"/>
  <c r="W113" i="4"/>
  <c r="X113" i="4"/>
  <c r="Y113" i="4"/>
  <c r="Z113" i="4"/>
  <c r="AA113" i="4"/>
  <c r="AC113" i="4"/>
  <c r="AG113" i="4"/>
  <c r="AH113" i="4"/>
  <c r="AI113" i="4"/>
  <c r="AJ113" i="4"/>
  <c r="AK113" i="4"/>
  <c r="AL113" i="4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S114" i="4"/>
  <c r="U114" i="4"/>
  <c r="V114" i="4"/>
  <c r="W114" i="4"/>
  <c r="X114" i="4"/>
  <c r="Y114" i="4"/>
  <c r="Z114" i="4"/>
  <c r="AA114" i="4"/>
  <c r="AC114" i="4"/>
  <c r="AG114" i="4"/>
  <c r="AH114" i="4"/>
  <c r="AI114" i="4"/>
  <c r="AJ114" i="4"/>
  <c r="AK114" i="4"/>
  <c r="AL114" i="4"/>
  <c r="AM114" i="4"/>
  <c r="AN114" i="4"/>
  <c r="AO114" i="4"/>
  <c r="AP114" i="4"/>
  <c r="AQ114" i="4"/>
  <c r="AR114" i="4"/>
  <c r="AS114" i="4"/>
  <c r="AT114" i="4"/>
  <c r="AU114" i="4"/>
  <c r="AV114" i="4"/>
  <c r="AW114" i="4"/>
  <c r="AX114" i="4"/>
  <c r="AY114" i="4"/>
  <c r="AZ114" i="4"/>
  <c r="BA114" i="4"/>
  <c r="BB114" i="4"/>
  <c r="BC114" i="4"/>
  <c r="BD114" i="4"/>
  <c r="S115" i="4"/>
  <c r="U115" i="4"/>
  <c r="V115" i="4"/>
  <c r="W115" i="4"/>
  <c r="X115" i="4"/>
  <c r="Y115" i="4"/>
  <c r="Z115" i="4"/>
  <c r="AA115" i="4"/>
  <c r="AC115" i="4"/>
  <c r="AG115" i="4"/>
  <c r="AH115" i="4"/>
  <c r="AI115" i="4"/>
  <c r="AJ115" i="4"/>
  <c r="AK115" i="4"/>
  <c r="AL115" i="4"/>
  <c r="AM115" i="4"/>
  <c r="AN115" i="4"/>
  <c r="AO115" i="4"/>
  <c r="AP115" i="4"/>
  <c r="AQ115" i="4"/>
  <c r="AR115" i="4"/>
  <c r="AS115" i="4"/>
  <c r="AT115" i="4"/>
  <c r="AU115" i="4"/>
  <c r="AV115" i="4"/>
  <c r="AW115" i="4"/>
  <c r="AX115" i="4"/>
  <c r="AY115" i="4"/>
  <c r="AZ115" i="4"/>
  <c r="BA115" i="4"/>
  <c r="BB115" i="4"/>
  <c r="BC115" i="4"/>
  <c r="BD115" i="4"/>
  <c r="S119" i="4"/>
  <c r="U119" i="4"/>
  <c r="V119" i="4"/>
  <c r="W119" i="4"/>
  <c r="X119" i="4"/>
  <c r="Y119" i="4"/>
  <c r="Z119" i="4"/>
  <c r="AA119" i="4"/>
  <c r="AC119" i="4"/>
  <c r="AG119" i="4"/>
  <c r="AH119" i="4"/>
  <c r="AI119" i="4"/>
  <c r="AJ119" i="4"/>
  <c r="AK119" i="4"/>
  <c r="AL119" i="4"/>
  <c r="AM119" i="4"/>
  <c r="AN119" i="4"/>
  <c r="AO119" i="4"/>
  <c r="AP119" i="4"/>
  <c r="AQ119" i="4"/>
  <c r="AR119" i="4"/>
  <c r="AS119" i="4"/>
  <c r="AT119" i="4"/>
  <c r="AU119" i="4"/>
  <c r="AV119" i="4"/>
  <c r="AW119" i="4"/>
  <c r="AX119" i="4"/>
  <c r="AY119" i="4"/>
  <c r="AZ119" i="4"/>
  <c r="BA119" i="4"/>
  <c r="BB119" i="4"/>
  <c r="BC119" i="4"/>
  <c r="BD119" i="4"/>
  <c r="S120" i="4"/>
  <c r="U120" i="4"/>
  <c r="V120" i="4"/>
  <c r="W120" i="4"/>
  <c r="X120" i="4"/>
  <c r="Y120" i="4"/>
  <c r="Z120" i="4"/>
  <c r="AA120" i="4"/>
  <c r="AC120" i="4"/>
  <c r="AG120" i="4"/>
  <c r="AH120" i="4"/>
  <c r="AI120" i="4"/>
  <c r="AJ120" i="4"/>
  <c r="AK120" i="4"/>
  <c r="AL120" i="4"/>
  <c r="AM120" i="4"/>
  <c r="AN120" i="4"/>
  <c r="AO120" i="4"/>
  <c r="AP120" i="4"/>
  <c r="AQ120" i="4"/>
  <c r="AR120" i="4"/>
  <c r="AS120" i="4"/>
  <c r="AT120" i="4"/>
  <c r="AU120" i="4"/>
  <c r="AV120" i="4"/>
  <c r="AW120" i="4"/>
  <c r="AX120" i="4"/>
  <c r="AY120" i="4"/>
  <c r="AZ120" i="4"/>
  <c r="BA120" i="4"/>
  <c r="BB120" i="4"/>
  <c r="BC120" i="4"/>
  <c r="BD120" i="4"/>
  <c r="S121" i="4"/>
  <c r="U121" i="4"/>
  <c r="V121" i="4"/>
  <c r="W121" i="4"/>
  <c r="X121" i="4"/>
  <c r="Y121" i="4"/>
  <c r="Z121" i="4"/>
  <c r="AA121" i="4"/>
  <c r="AC121" i="4"/>
  <c r="AG121" i="4"/>
  <c r="AH121" i="4"/>
  <c r="AI121" i="4"/>
  <c r="AJ121" i="4"/>
  <c r="AK121" i="4"/>
  <c r="AL121" i="4"/>
  <c r="AM121" i="4"/>
  <c r="AN121" i="4"/>
  <c r="AO121" i="4"/>
  <c r="AP121" i="4"/>
  <c r="AQ121" i="4"/>
  <c r="AR121" i="4"/>
  <c r="AS121" i="4"/>
  <c r="AT121" i="4"/>
  <c r="AU121" i="4"/>
  <c r="AV121" i="4"/>
  <c r="AW121" i="4"/>
  <c r="AX121" i="4"/>
  <c r="AY121" i="4"/>
  <c r="AZ121" i="4"/>
  <c r="BA121" i="4"/>
  <c r="BB121" i="4"/>
  <c r="BC121" i="4"/>
  <c r="BD121" i="4"/>
  <c r="S122" i="4"/>
  <c r="U122" i="4"/>
  <c r="V122" i="4"/>
  <c r="W122" i="4"/>
  <c r="X122" i="4"/>
  <c r="Y122" i="4"/>
  <c r="Z122" i="4"/>
  <c r="AA122" i="4"/>
  <c r="AC122" i="4"/>
  <c r="AG122" i="4"/>
  <c r="AH122" i="4"/>
  <c r="AI122" i="4"/>
  <c r="AJ122" i="4"/>
  <c r="AK122" i="4"/>
  <c r="AL122" i="4"/>
  <c r="AM122" i="4"/>
  <c r="AN122" i="4"/>
  <c r="AO122" i="4"/>
  <c r="AP122" i="4"/>
  <c r="AQ122" i="4"/>
  <c r="AR122" i="4"/>
  <c r="AS122" i="4"/>
  <c r="AT122" i="4"/>
  <c r="AU122" i="4"/>
  <c r="AV122" i="4"/>
  <c r="AW122" i="4"/>
  <c r="AX122" i="4"/>
  <c r="AY122" i="4"/>
  <c r="AZ122" i="4"/>
  <c r="BA122" i="4"/>
  <c r="BB122" i="4"/>
  <c r="BC122" i="4"/>
  <c r="BD122" i="4"/>
  <c r="S123" i="4"/>
  <c r="U123" i="4"/>
  <c r="V123" i="4"/>
  <c r="W123" i="4"/>
  <c r="X123" i="4"/>
  <c r="Y123" i="4"/>
  <c r="Z123" i="4"/>
  <c r="AA123" i="4"/>
  <c r="AC123" i="4"/>
  <c r="AG123" i="4"/>
  <c r="AH123" i="4"/>
  <c r="AI123" i="4"/>
  <c r="AJ123" i="4"/>
  <c r="AK123" i="4"/>
  <c r="AL123" i="4"/>
  <c r="AM123" i="4"/>
  <c r="AN123" i="4"/>
  <c r="AO123" i="4"/>
  <c r="AP123" i="4"/>
  <c r="AQ123" i="4"/>
  <c r="AR123" i="4"/>
  <c r="AS123" i="4"/>
  <c r="AT123" i="4"/>
  <c r="AU123" i="4"/>
  <c r="AV123" i="4"/>
  <c r="AW123" i="4"/>
  <c r="AX123" i="4"/>
  <c r="AY123" i="4"/>
  <c r="AZ123" i="4"/>
  <c r="BA123" i="4"/>
  <c r="BB123" i="4"/>
  <c r="BC123" i="4"/>
  <c r="BD123" i="4"/>
  <c r="S124" i="4"/>
  <c r="U124" i="4"/>
  <c r="V124" i="4"/>
  <c r="W124" i="4"/>
  <c r="X124" i="4"/>
  <c r="Y124" i="4"/>
  <c r="Z124" i="4"/>
  <c r="AA124" i="4"/>
  <c r="AC124" i="4"/>
  <c r="AG124" i="4"/>
  <c r="AH124" i="4"/>
  <c r="AI124" i="4"/>
  <c r="AJ124" i="4"/>
  <c r="AK124" i="4"/>
  <c r="AL124" i="4"/>
  <c r="AM124" i="4"/>
  <c r="AN124" i="4"/>
  <c r="AO124" i="4"/>
  <c r="AP124" i="4"/>
  <c r="AQ124" i="4"/>
  <c r="AR124" i="4"/>
  <c r="AS124" i="4"/>
  <c r="AT124" i="4"/>
  <c r="AU124" i="4"/>
  <c r="AV124" i="4"/>
  <c r="AW124" i="4"/>
  <c r="AX124" i="4"/>
  <c r="AY124" i="4"/>
  <c r="AZ124" i="4"/>
  <c r="BA124" i="4"/>
  <c r="BB124" i="4"/>
  <c r="BC124" i="4"/>
  <c r="BD124" i="4"/>
  <c r="S128" i="4"/>
  <c r="U128" i="4"/>
  <c r="V128" i="4"/>
  <c r="W128" i="4"/>
  <c r="X128" i="4"/>
  <c r="Y128" i="4"/>
  <c r="Z128" i="4"/>
  <c r="AA128" i="4"/>
  <c r="AC128" i="4"/>
  <c r="AG128" i="4"/>
  <c r="AH128" i="4"/>
  <c r="AI128" i="4"/>
  <c r="AJ128" i="4"/>
  <c r="AK128" i="4"/>
  <c r="AL128" i="4"/>
  <c r="AM128" i="4"/>
  <c r="AN128" i="4"/>
  <c r="AO128" i="4"/>
  <c r="AP128" i="4"/>
  <c r="AQ128" i="4"/>
  <c r="AR128" i="4"/>
  <c r="AS128" i="4"/>
  <c r="AT128" i="4"/>
  <c r="AU128" i="4"/>
  <c r="AV128" i="4"/>
  <c r="AW128" i="4"/>
  <c r="AX128" i="4"/>
  <c r="AY128" i="4"/>
  <c r="AZ128" i="4"/>
  <c r="BA128" i="4"/>
  <c r="BB128" i="4"/>
  <c r="BC128" i="4"/>
  <c r="BD128" i="4"/>
  <c r="S129" i="4"/>
  <c r="U129" i="4"/>
  <c r="V129" i="4"/>
  <c r="W129" i="4"/>
  <c r="X129" i="4"/>
  <c r="Y129" i="4"/>
  <c r="Z129" i="4"/>
  <c r="AA129" i="4"/>
  <c r="AC129" i="4"/>
  <c r="AG129" i="4"/>
  <c r="AH129" i="4"/>
  <c r="AI129" i="4"/>
  <c r="AJ129" i="4"/>
  <c r="AK129" i="4"/>
  <c r="AL129" i="4"/>
  <c r="AM129" i="4"/>
  <c r="AN129" i="4"/>
  <c r="AO129" i="4"/>
  <c r="AP129" i="4"/>
  <c r="AQ129" i="4"/>
  <c r="AR129" i="4"/>
  <c r="AS129" i="4"/>
  <c r="AT129" i="4"/>
  <c r="AU129" i="4"/>
  <c r="AV129" i="4"/>
  <c r="AW129" i="4"/>
  <c r="AX129" i="4"/>
  <c r="AY129" i="4"/>
  <c r="AZ129" i="4"/>
  <c r="BA129" i="4"/>
  <c r="BB129" i="4"/>
  <c r="BC129" i="4"/>
  <c r="BD129" i="4"/>
  <c r="S130" i="4"/>
  <c r="U130" i="4"/>
  <c r="V130" i="4"/>
  <c r="W130" i="4"/>
  <c r="X130" i="4"/>
  <c r="Y130" i="4"/>
  <c r="Z130" i="4"/>
  <c r="AA130" i="4"/>
  <c r="AC130" i="4"/>
  <c r="AG130" i="4"/>
  <c r="AH130" i="4"/>
  <c r="AI130" i="4"/>
  <c r="AJ130" i="4"/>
  <c r="AK130" i="4"/>
  <c r="AL130" i="4"/>
  <c r="AM130" i="4"/>
  <c r="AN130" i="4"/>
  <c r="AO130" i="4"/>
  <c r="AP130" i="4"/>
  <c r="AQ130" i="4"/>
  <c r="AR130" i="4"/>
  <c r="AS130" i="4"/>
  <c r="AT130" i="4"/>
  <c r="AU130" i="4"/>
  <c r="AV130" i="4"/>
  <c r="AW130" i="4"/>
  <c r="AX130" i="4"/>
  <c r="AY130" i="4"/>
  <c r="AZ130" i="4"/>
  <c r="BA130" i="4"/>
  <c r="BB130" i="4"/>
  <c r="BC130" i="4"/>
  <c r="BD130" i="4"/>
  <c r="S131" i="4"/>
  <c r="U131" i="4"/>
  <c r="V131" i="4"/>
  <c r="W131" i="4"/>
  <c r="X131" i="4"/>
  <c r="Y131" i="4"/>
  <c r="Z131" i="4"/>
  <c r="AA131" i="4"/>
  <c r="AC131" i="4"/>
  <c r="AG131" i="4"/>
  <c r="AH131" i="4"/>
  <c r="AI131" i="4"/>
  <c r="AJ131" i="4"/>
  <c r="AK131" i="4"/>
  <c r="AL131" i="4"/>
  <c r="AM131" i="4"/>
  <c r="AN131" i="4"/>
  <c r="AO131" i="4"/>
  <c r="AP131" i="4"/>
  <c r="AQ131" i="4"/>
  <c r="AR131" i="4"/>
  <c r="AS131" i="4"/>
  <c r="AT131" i="4"/>
  <c r="AU131" i="4"/>
  <c r="AV131" i="4"/>
  <c r="AW131" i="4"/>
  <c r="AX131" i="4"/>
  <c r="AY131" i="4"/>
  <c r="AZ131" i="4"/>
  <c r="BA131" i="4"/>
  <c r="BB131" i="4"/>
  <c r="BC131" i="4"/>
  <c r="BD131" i="4"/>
  <c r="S132" i="4"/>
  <c r="U132" i="4"/>
  <c r="V132" i="4"/>
  <c r="W132" i="4"/>
  <c r="X132" i="4"/>
  <c r="Y132" i="4"/>
  <c r="Z132" i="4"/>
  <c r="AA132" i="4"/>
  <c r="AC132" i="4"/>
  <c r="AG132" i="4"/>
  <c r="AH132" i="4"/>
  <c r="AI132" i="4"/>
  <c r="AJ132" i="4"/>
  <c r="AK132" i="4"/>
  <c r="AL132" i="4"/>
  <c r="AM132" i="4"/>
  <c r="AN132" i="4"/>
  <c r="AO132" i="4"/>
  <c r="AP132" i="4"/>
  <c r="AQ132" i="4"/>
  <c r="AR132" i="4"/>
  <c r="AS132" i="4"/>
  <c r="AT132" i="4"/>
  <c r="AU132" i="4"/>
  <c r="AV132" i="4"/>
  <c r="AW132" i="4"/>
  <c r="AX132" i="4"/>
  <c r="AY132" i="4"/>
  <c r="AZ132" i="4"/>
  <c r="BA132" i="4"/>
  <c r="BB132" i="4"/>
  <c r="BC132" i="4"/>
  <c r="BD132" i="4"/>
  <c r="S133" i="4"/>
  <c r="U133" i="4"/>
  <c r="V133" i="4"/>
  <c r="W133" i="4"/>
  <c r="X133" i="4"/>
  <c r="Y133" i="4"/>
  <c r="Z133" i="4"/>
  <c r="AA133" i="4"/>
  <c r="AC133" i="4"/>
  <c r="AG133" i="4"/>
  <c r="AH133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V133" i="4"/>
  <c r="AW133" i="4"/>
  <c r="AX133" i="4"/>
  <c r="AY133" i="4"/>
  <c r="AZ133" i="4"/>
  <c r="BA133" i="4"/>
  <c r="BB133" i="4"/>
  <c r="BC133" i="4"/>
  <c r="BD133" i="4"/>
  <c r="S155" i="4"/>
  <c r="U155" i="4"/>
  <c r="V155" i="4"/>
  <c r="W155" i="4"/>
  <c r="X155" i="4"/>
  <c r="Y155" i="4"/>
  <c r="Z155" i="4"/>
  <c r="AA155" i="4"/>
  <c r="AC155" i="4"/>
  <c r="AG155" i="4"/>
  <c r="AH155" i="4"/>
  <c r="AI155" i="4"/>
  <c r="AJ155" i="4"/>
  <c r="AK155" i="4"/>
  <c r="AL155" i="4"/>
  <c r="AM155" i="4"/>
  <c r="AN155" i="4"/>
  <c r="AO155" i="4"/>
  <c r="AP155" i="4"/>
  <c r="AQ155" i="4"/>
  <c r="AR155" i="4"/>
  <c r="AS155" i="4"/>
  <c r="AT155" i="4"/>
  <c r="AU155" i="4"/>
  <c r="AV155" i="4"/>
  <c r="AW155" i="4"/>
  <c r="AX155" i="4"/>
  <c r="AY155" i="4"/>
  <c r="AZ155" i="4"/>
  <c r="BA155" i="4"/>
  <c r="BB155" i="4"/>
  <c r="BC155" i="4"/>
  <c r="BD155" i="4"/>
  <c r="S156" i="4"/>
  <c r="U156" i="4"/>
  <c r="V156" i="4"/>
  <c r="W156" i="4"/>
  <c r="X156" i="4"/>
  <c r="Y156" i="4"/>
  <c r="Z156" i="4"/>
  <c r="AA156" i="4"/>
  <c r="AC156" i="4"/>
  <c r="AG156" i="4"/>
  <c r="AH156" i="4"/>
  <c r="AI156" i="4"/>
  <c r="AJ156" i="4"/>
  <c r="AK156" i="4"/>
  <c r="AL156" i="4"/>
  <c r="AM156" i="4"/>
  <c r="AN156" i="4"/>
  <c r="AO156" i="4"/>
  <c r="AP156" i="4"/>
  <c r="AQ156" i="4"/>
  <c r="AR156" i="4"/>
  <c r="AS156" i="4"/>
  <c r="AT156" i="4"/>
  <c r="AU156" i="4"/>
  <c r="AV156" i="4"/>
  <c r="AW156" i="4"/>
  <c r="AX156" i="4"/>
  <c r="AY156" i="4"/>
  <c r="AZ156" i="4"/>
  <c r="BA156" i="4"/>
  <c r="BB156" i="4"/>
  <c r="BC156" i="4"/>
  <c r="BD156" i="4"/>
  <c r="S157" i="4"/>
  <c r="U157" i="4"/>
  <c r="V157" i="4"/>
  <c r="W157" i="4"/>
  <c r="X157" i="4"/>
  <c r="Y157" i="4"/>
  <c r="Z157" i="4"/>
  <c r="AA157" i="4"/>
  <c r="AC157" i="4"/>
  <c r="AG157" i="4"/>
  <c r="AH157" i="4"/>
  <c r="AI157" i="4"/>
  <c r="AJ157" i="4"/>
  <c r="AK157" i="4"/>
  <c r="AL157" i="4"/>
  <c r="AM157" i="4"/>
  <c r="AN157" i="4"/>
  <c r="AO157" i="4"/>
  <c r="AP157" i="4"/>
  <c r="AQ157" i="4"/>
  <c r="AR157" i="4"/>
  <c r="AS157" i="4"/>
  <c r="AT157" i="4"/>
  <c r="AU157" i="4"/>
  <c r="AV157" i="4"/>
  <c r="AW157" i="4"/>
  <c r="AX157" i="4"/>
  <c r="AY157" i="4"/>
  <c r="AZ157" i="4"/>
  <c r="BA157" i="4"/>
  <c r="BB157" i="4"/>
  <c r="BC157" i="4"/>
  <c r="BD157" i="4"/>
  <c r="S158" i="4"/>
  <c r="U158" i="4"/>
  <c r="V158" i="4"/>
  <c r="W158" i="4"/>
  <c r="X158" i="4"/>
  <c r="Y158" i="4"/>
  <c r="Z158" i="4"/>
  <c r="AA158" i="4"/>
  <c r="AC158" i="4"/>
  <c r="AG158" i="4"/>
  <c r="AH158" i="4"/>
  <c r="AI158" i="4"/>
  <c r="AJ158" i="4"/>
  <c r="AK158" i="4"/>
  <c r="AL158" i="4"/>
  <c r="AM158" i="4"/>
  <c r="AN158" i="4"/>
  <c r="AO158" i="4"/>
  <c r="AP158" i="4"/>
  <c r="AQ158" i="4"/>
  <c r="AR158" i="4"/>
  <c r="AS158" i="4"/>
  <c r="AT158" i="4"/>
  <c r="AU158" i="4"/>
  <c r="AV158" i="4"/>
  <c r="AW158" i="4"/>
  <c r="AX158" i="4"/>
  <c r="AY158" i="4"/>
  <c r="AZ158" i="4"/>
  <c r="BA158" i="4"/>
  <c r="BB158" i="4"/>
  <c r="BC158" i="4"/>
  <c r="BD158" i="4"/>
  <c r="S159" i="4"/>
  <c r="U159" i="4"/>
  <c r="V159" i="4"/>
  <c r="W159" i="4"/>
  <c r="X159" i="4"/>
  <c r="Y159" i="4"/>
  <c r="Z159" i="4"/>
  <c r="AA159" i="4"/>
  <c r="AC159" i="4"/>
  <c r="AG159" i="4"/>
  <c r="AH159" i="4"/>
  <c r="AI159" i="4"/>
  <c r="AJ159" i="4"/>
  <c r="AK159" i="4"/>
  <c r="AL159" i="4"/>
  <c r="AM159" i="4"/>
  <c r="AN159" i="4"/>
  <c r="AO159" i="4"/>
  <c r="AP159" i="4"/>
  <c r="AQ159" i="4"/>
  <c r="AR159" i="4"/>
  <c r="AS159" i="4"/>
  <c r="AT159" i="4"/>
  <c r="AU159" i="4"/>
  <c r="AV159" i="4"/>
  <c r="AW159" i="4"/>
  <c r="AX159" i="4"/>
  <c r="AY159" i="4"/>
  <c r="AZ159" i="4"/>
  <c r="BA159" i="4"/>
  <c r="BB159" i="4"/>
  <c r="BC159" i="4"/>
  <c r="BD159" i="4"/>
  <c r="S160" i="4"/>
  <c r="U160" i="4"/>
  <c r="V160" i="4"/>
  <c r="W160" i="4"/>
  <c r="X160" i="4"/>
  <c r="Y160" i="4"/>
  <c r="Z160" i="4"/>
  <c r="AA160" i="4"/>
  <c r="AC160" i="4"/>
  <c r="AG160" i="4"/>
  <c r="AH160" i="4"/>
  <c r="AI160" i="4"/>
  <c r="AJ160" i="4"/>
  <c r="AK160" i="4"/>
  <c r="AL160" i="4"/>
  <c r="AM160" i="4"/>
  <c r="AN160" i="4"/>
  <c r="AO160" i="4"/>
  <c r="AP160" i="4"/>
  <c r="AQ160" i="4"/>
  <c r="AR160" i="4"/>
  <c r="AS160" i="4"/>
  <c r="AT160" i="4"/>
  <c r="AU160" i="4"/>
  <c r="AV160" i="4"/>
  <c r="AW160" i="4"/>
  <c r="AX160" i="4"/>
  <c r="AY160" i="4"/>
  <c r="AZ160" i="4"/>
  <c r="BA160" i="4"/>
  <c r="BB160" i="4"/>
  <c r="BC160" i="4"/>
  <c r="BD160" i="4"/>
  <c r="S161" i="4"/>
  <c r="U161" i="4"/>
  <c r="V161" i="4"/>
  <c r="W161" i="4"/>
  <c r="X161" i="4"/>
  <c r="Y161" i="4"/>
  <c r="Z161" i="4"/>
  <c r="AA161" i="4"/>
  <c r="AC161" i="4"/>
  <c r="AG161" i="4"/>
  <c r="AH161" i="4"/>
  <c r="AI161" i="4"/>
  <c r="AJ161" i="4"/>
  <c r="AK161" i="4"/>
  <c r="AL161" i="4"/>
  <c r="AM161" i="4"/>
  <c r="AN161" i="4"/>
  <c r="AO161" i="4"/>
  <c r="AP161" i="4"/>
  <c r="AQ161" i="4"/>
  <c r="AR161" i="4"/>
  <c r="AS161" i="4"/>
  <c r="AT161" i="4"/>
  <c r="AU161" i="4"/>
  <c r="AV161" i="4"/>
  <c r="AW161" i="4"/>
  <c r="AX161" i="4"/>
  <c r="AY161" i="4"/>
  <c r="AZ161" i="4"/>
  <c r="BA161" i="4"/>
  <c r="BB161" i="4"/>
  <c r="BC161" i="4"/>
  <c r="BD161" i="4"/>
  <c r="S162" i="4"/>
  <c r="U162" i="4"/>
  <c r="V162" i="4"/>
  <c r="W162" i="4"/>
  <c r="X162" i="4"/>
  <c r="Y162" i="4"/>
  <c r="Z162" i="4"/>
  <c r="AA162" i="4"/>
  <c r="AC162" i="4"/>
  <c r="AG162" i="4"/>
  <c r="AH162" i="4"/>
  <c r="AI162" i="4"/>
  <c r="AJ162" i="4"/>
  <c r="AK162" i="4"/>
  <c r="AL162" i="4"/>
  <c r="AM162" i="4"/>
  <c r="AN162" i="4"/>
  <c r="AO162" i="4"/>
  <c r="AP162" i="4"/>
  <c r="AQ162" i="4"/>
  <c r="AR162" i="4"/>
  <c r="AS162" i="4"/>
  <c r="AT162" i="4"/>
  <c r="AU162" i="4"/>
  <c r="AV162" i="4"/>
  <c r="AW162" i="4"/>
  <c r="AX162" i="4"/>
  <c r="AY162" i="4"/>
  <c r="AZ162" i="4"/>
  <c r="BA162" i="4"/>
  <c r="BB162" i="4"/>
  <c r="BC162" i="4"/>
  <c r="BD162" i="4"/>
  <c r="S163" i="4"/>
  <c r="U163" i="4"/>
  <c r="V163" i="4"/>
  <c r="W163" i="4"/>
  <c r="X163" i="4"/>
  <c r="Y163" i="4"/>
  <c r="Z163" i="4"/>
  <c r="AA163" i="4"/>
  <c r="AC163" i="4"/>
  <c r="AG163" i="4"/>
  <c r="AH163" i="4"/>
  <c r="AI163" i="4"/>
  <c r="AJ163" i="4"/>
  <c r="AK163" i="4"/>
  <c r="AL163" i="4"/>
  <c r="AM163" i="4"/>
  <c r="AN163" i="4"/>
  <c r="AO163" i="4"/>
  <c r="AP163" i="4"/>
  <c r="AQ163" i="4"/>
  <c r="AR163" i="4"/>
  <c r="AS163" i="4"/>
  <c r="AT163" i="4"/>
  <c r="AU163" i="4"/>
  <c r="AV163" i="4"/>
  <c r="AW163" i="4"/>
  <c r="AX163" i="4"/>
  <c r="AY163" i="4"/>
  <c r="AZ163" i="4"/>
  <c r="BA163" i="4"/>
  <c r="BB163" i="4"/>
  <c r="BC163" i="4"/>
  <c r="BD163" i="4"/>
  <c r="S164" i="4"/>
  <c r="U164" i="4"/>
  <c r="V164" i="4"/>
  <c r="W164" i="4"/>
  <c r="X164" i="4"/>
  <c r="Y164" i="4"/>
  <c r="Z164" i="4"/>
  <c r="AA164" i="4"/>
  <c r="AC164" i="4"/>
  <c r="AG164" i="4"/>
  <c r="AH164" i="4"/>
  <c r="AI164" i="4"/>
  <c r="AJ164" i="4"/>
  <c r="AK164" i="4"/>
  <c r="AL164" i="4"/>
  <c r="AM164" i="4"/>
  <c r="AN164" i="4"/>
  <c r="AO164" i="4"/>
  <c r="AP164" i="4"/>
  <c r="AQ164" i="4"/>
  <c r="AR164" i="4"/>
  <c r="AS164" i="4"/>
  <c r="AT164" i="4"/>
  <c r="AU164" i="4"/>
  <c r="AV164" i="4"/>
  <c r="AW164" i="4"/>
  <c r="AX164" i="4"/>
  <c r="AY164" i="4"/>
  <c r="AZ164" i="4"/>
  <c r="BA164" i="4"/>
  <c r="BB164" i="4"/>
  <c r="BC164" i="4"/>
  <c r="BD164" i="4"/>
  <c r="S165" i="4"/>
  <c r="U165" i="4"/>
  <c r="V165" i="4"/>
  <c r="W165" i="4"/>
  <c r="X165" i="4"/>
  <c r="Y165" i="4"/>
  <c r="Z165" i="4"/>
  <c r="AA165" i="4"/>
  <c r="AC165" i="4"/>
  <c r="AG165" i="4"/>
  <c r="AH165" i="4"/>
  <c r="AI165" i="4"/>
  <c r="AJ165" i="4"/>
  <c r="AK165" i="4"/>
  <c r="AL165" i="4"/>
  <c r="AM165" i="4"/>
  <c r="AN165" i="4"/>
  <c r="AO165" i="4"/>
  <c r="AP165" i="4"/>
  <c r="AQ165" i="4"/>
  <c r="AR165" i="4"/>
  <c r="AS165" i="4"/>
  <c r="AT165" i="4"/>
  <c r="AU165" i="4"/>
  <c r="AV165" i="4"/>
  <c r="AW165" i="4"/>
  <c r="AX165" i="4"/>
  <c r="AY165" i="4"/>
  <c r="AZ165" i="4"/>
  <c r="BA165" i="4"/>
  <c r="BB165" i="4"/>
  <c r="BC165" i="4"/>
  <c r="BD165" i="4"/>
  <c r="S166" i="4"/>
  <c r="U166" i="4"/>
  <c r="V166" i="4"/>
  <c r="W166" i="4"/>
  <c r="X166" i="4"/>
  <c r="Y166" i="4"/>
  <c r="Z166" i="4"/>
  <c r="AA166" i="4"/>
  <c r="AC166" i="4"/>
  <c r="AG166" i="4"/>
  <c r="AH166" i="4"/>
  <c r="AI166" i="4"/>
  <c r="AJ166" i="4"/>
  <c r="AK166" i="4"/>
  <c r="AL166" i="4"/>
  <c r="AM166" i="4"/>
  <c r="AN166" i="4"/>
  <c r="AO166" i="4"/>
  <c r="AP166" i="4"/>
  <c r="AQ166" i="4"/>
  <c r="AR166" i="4"/>
  <c r="AS166" i="4"/>
  <c r="AT166" i="4"/>
  <c r="AU166" i="4"/>
  <c r="AV166" i="4"/>
  <c r="AW166" i="4"/>
  <c r="AX166" i="4"/>
  <c r="AY166" i="4"/>
  <c r="AZ166" i="4"/>
  <c r="BA166" i="4"/>
  <c r="BB166" i="4"/>
  <c r="BC166" i="4"/>
  <c r="BD166" i="4"/>
  <c r="T2" i="4"/>
  <c r="U2" i="4"/>
  <c r="V2" i="4"/>
  <c r="W2" i="4"/>
  <c r="X2" i="4"/>
  <c r="Y2" i="4"/>
  <c r="Z2" i="4"/>
  <c r="AA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S2" i="4"/>
  <c r="AF34" i="4" l="1"/>
  <c r="AQ35" i="3"/>
  <c r="AQ34" i="3"/>
  <c r="AF33" i="4"/>
  <c r="AQ32" i="3"/>
  <c r="AF31" i="4"/>
  <c r="AQ33" i="3"/>
  <c r="AF32" i="4"/>
  <c r="AF30" i="4"/>
  <c r="AQ31" i="3"/>
  <c r="AQ169" i="3" l="1"/>
  <c r="AT169" i="3" s="1"/>
  <c r="AD168" i="4"/>
  <c r="AD179" i="4" l="1"/>
  <c r="AQ180" i="3"/>
  <c r="AT180" i="3" s="1"/>
  <c r="AD169" i="4"/>
  <c r="AQ170" i="3"/>
  <c r="AT170" i="3" s="1"/>
  <c r="AD176" i="4"/>
  <c r="AQ177" i="3"/>
  <c r="AT177" i="3" s="1"/>
  <c r="AD170" i="4"/>
  <c r="AQ171" i="3"/>
  <c r="AT171" i="3" s="1"/>
  <c r="AQ174" i="3"/>
  <c r="AT174" i="3" s="1"/>
  <c r="AD173" i="4"/>
  <c r="AQ181" i="3" l="1"/>
  <c r="AT181" i="3" s="1"/>
  <c r="AD180" i="4"/>
  <c r="AD177" i="4"/>
  <c r="AQ178" i="3"/>
  <c r="AT178" i="3" s="1"/>
  <c r="AD174" i="4"/>
  <c r="AQ175" i="3"/>
  <c r="AT175" i="3" s="1"/>
  <c r="AQ172" i="3"/>
  <c r="AT172" i="3" s="1"/>
  <c r="AD171" i="4"/>
  <c r="AQ179" i="3" l="1"/>
  <c r="AT179" i="3" s="1"/>
  <c r="AD178" i="4"/>
  <c r="AD175" i="4"/>
  <c r="AQ176" i="3"/>
  <c r="AT176" i="3" s="1"/>
  <c r="AQ173" i="3"/>
  <c r="AT173" i="3" s="1"/>
  <c r="AD172" i="4"/>
  <c r="J2" i="9" l="1"/>
  <c r="N2" i="9" l="1"/>
  <c r="L2" i="9"/>
  <c r="J3" i="9" l="1"/>
  <c r="N3" i="9" s="1"/>
  <c r="J4" i="9" l="1"/>
  <c r="N4" i="9" s="1"/>
  <c r="J5" i="9" l="1"/>
  <c r="N5" i="9" s="1"/>
  <c r="J6" i="9" l="1"/>
  <c r="N6" i="9" s="1"/>
  <c r="J7" i="9" l="1"/>
  <c r="N7" i="9" s="1"/>
  <c r="J8" i="9" l="1"/>
  <c r="N8" i="9" s="1"/>
  <c r="J9" i="9" l="1"/>
  <c r="N9" i="9" s="1"/>
  <c r="J10" i="9" l="1"/>
  <c r="N10" i="9" s="1"/>
  <c r="J11" i="9" l="1"/>
  <c r="N11" i="9" s="1"/>
  <c r="J12" i="9" l="1"/>
  <c r="J13" i="9" l="1"/>
  <c r="N13" i="9" s="1"/>
  <c r="L12" i="9"/>
  <c r="N12" i="9"/>
  <c r="J14" i="9" l="1"/>
  <c r="N14" i="9" s="1"/>
  <c r="J15" i="9" l="1"/>
  <c r="N15" i="9" s="1"/>
  <c r="J16" i="9" l="1"/>
  <c r="N16" i="9" s="1"/>
  <c r="J17" i="9" l="1"/>
  <c r="N17" i="9" s="1"/>
  <c r="J18" i="9" l="1"/>
  <c r="N18" i="9" s="1"/>
  <c r="J19" i="9" l="1"/>
  <c r="N19" i="9" s="1"/>
  <c r="J20" i="9" l="1"/>
  <c r="N20" i="9" s="1"/>
  <c r="J21" i="9" l="1"/>
  <c r="N21" i="9" s="1"/>
  <c r="J22" i="9" l="1"/>
  <c r="N22" i="9" s="1"/>
  <c r="J23" i="9" l="1"/>
  <c r="N23" i="9" s="1"/>
  <c r="J24" i="9" l="1"/>
  <c r="N24" i="9" s="1"/>
  <c r="J25" i="9" l="1"/>
  <c r="N25" i="9" s="1"/>
  <c r="J26" i="9" l="1"/>
  <c r="N26" i="9" s="1"/>
  <c r="J27" i="9" l="1"/>
  <c r="N27" i="9" s="1"/>
  <c r="J28" i="9" l="1"/>
  <c r="N28" i="9" s="1"/>
  <c r="J29" i="9" l="1"/>
  <c r="N29" i="9" s="1"/>
  <c r="J30" i="9" l="1"/>
  <c r="N30" i="9" s="1"/>
  <c r="J31" i="9" l="1"/>
  <c r="N31" i="9" s="1"/>
  <c r="J32" i="9" l="1"/>
  <c r="N32" i="9" s="1"/>
  <c r="J33" i="9" l="1"/>
  <c r="N33" i="9" s="1"/>
  <c r="J34" i="9" l="1"/>
  <c r="N34" i="9" s="1"/>
  <c r="J35" i="9" l="1"/>
  <c r="N35" i="9" s="1"/>
  <c r="J36" i="9" l="1"/>
  <c r="N36" i="9" s="1"/>
  <c r="J37" i="9" l="1"/>
  <c r="N37" i="9" s="1"/>
  <c r="J38" i="9" l="1"/>
  <c r="N38" i="9" s="1"/>
  <c r="J39" i="9" l="1"/>
  <c r="N39" i="9" s="1"/>
  <c r="J40" i="9" l="1"/>
  <c r="N40" i="9" s="1"/>
  <c r="J41" i="9" l="1"/>
  <c r="N41" i="9" s="1"/>
  <c r="J42" i="9" l="1"/>
  <c r="N42" i="9" s="1"/>
  <c r="J43" i="9" l="1"/>
  <c r="N43" i="9" s="1"/>
  <c r="J44" i="9" l="1"/>
  <c r="N44" i="9" s="1"/>
  <c r="J45" i="9" l="1"/>
  <c r="N45" i="9" s="1"/>
  <c r="J46" i="9" l="1"/>
  <c r="N46" i="9" s="1"/>
  <c r="J47" i="9" l="1"/>
  <c r="N47" i="9" s="1"/>
  <c r="J48" i="9" l="1"/>
  <c r="N48" i="9" s="1"/>
  <c r="J49" i="9" l="1"/>
  <c r="N49" i="9" s="1"/>
  <c r="J50" i="9" l="1"/>
  <c r="N50" i="9" s="1"/>
  <c r="J51" i="9" l="1"/>
  <c r="N51" i="9" s="1"/>
  <c r="J52" i="9" l="1"/>
  <c r="N52" i="9" s="1"/>
  <c r="J53" i="9" l="1"/>
  <c r="N53" i="9" s="1"/>
  <c r="J54" i="9" l="1"/>
  <c r="N54" i="9" s="1"/>
  <c r="J55" i="9" l="1"/>
  <c r="N55" i="9" s="1"/>
  <c r="J56" i="9" l="1"/>
  <c r="N56" i="9" s="1"/>
  <c r="J57" i="9" l="1"/>
  <c r="N57" i="9" s="1"/>
  <c r="J58" i="9" l="1"/>
  <c r="N58" i="9" s="1"/>
  <c r="J59" i="9" l="1"/>
  <c r="N59" i="9" s="1"/>
  <c r="J60" i="9" l="1"/>
  <c r="N60" i="9" s="1"/>
  <c r="J61" i="9" l="1"/>
  <c r="N61" i="9" s="1"/>
  <c r="J62" i="9" l="1"/>
  <c r="N62" i="9" s="1"/>
  <c r="J63" i="9" l="1"/>
  <c r="N63" i="9" s="1"/>
  <c r="J64" i="9" l="1"/>
  <c r="N64" i="9" s="1"/>
  <c r="J65" i="9" l="1"/>
  <c r="N65" i="9" s="1"/>
  <c r="J66" i="9" l="1"/>
  <c r="N66" i="9" s="1"/>
  <c r="J67" i="9" l="1"/>
  <c r="N67" i="9" s="1"/>
  <c r="J68" i="9" l="1"/>
  <c r="N68" i="9" s="1"/>
  <c r="J69" i="9" l="1"/>
  <c r="N69" i="9" s="1"/>
  <c r="J70" i="9" l="1"/>
  <c r="N70" i="9" s="1"/>
  <c r="J71" i="9" l="1"/>
  <c r="N71" i="9" s="1"/>
  <c r="J72" i="9" l="1"/>
  <c r="N72" i="9" s="1"/>
  <c r="J73" i="9" l="1"/>
  <c r="N73" i="9" s="1"/>
  <c r="J74" i="9" l="1"/>
  <c r="N74" i="9" s="1"/>
  <c r="J75" i="9" l="1"/>
  <c r="N75" i="9" s="1"/>
  <c r="J76" i="9" l="1"/>
  <c r="N76" i="9" s="1"/>
  <c r="J77" i="9" l="1"/>
  <c r="N77" i="9" s="1"/>
  <c r="J78" i="9" l="1"/>
  <c r="N78" i="9" s="1"/>
  <c r="J79" i="9" l="1"/>
  <c r="N79" i="9" s="1"/>
  <c r="J80" i="9" l="1"/>
  <c r="N80" i="9" s="1"/>
  <c r="J81" i="9" l="1"/>
  <c r="L81" i="9" l="1"/>
  <c r="N81" i="9"/>
  <c r="AE167" i="4" l="1"/>
  <c r="AG56" i="4" l="1"/>
  <c r="AG47" i="4"/>
  <c r="AG38" i="4"/>
  <c r="AG65" i="4" l="1"/>
  <c r="AG39" i="4"/>
  <c r="AG48" i="4"/>
  <c r="AG57" i="4"/>
  <c r="AG74" i="4"/>
  <c r="AG75" i="4" l="1"/>
  <c r="AG49" i="4"/>
  <c r="AG40" i="4"/>
  <c r="AG66" i="4"/>
  <c r="AG58" i="4"/>
  <c r="AG67" i="4" l="1"/>
  <c r="AG50" i="4"/>
  <c r="AG41" i="4"/>
  <c r="AG59" i="4"/>
  <c r="AG76" i="4"/>
  <c r="AG60" i="4" l="1"/>
  <c r="AG77" i="4"/>
  <c r="AG51" i="4"/>
  <c r="AG68" i="4"/>
  <c r="AG42" i="4"/>
  <c r="AG78" i="4" l="1"/>
  <c r="AG52" i="4"/>
  <c r="AG61" i="4"/>
  <c r="AG69" i="4"/>
  <c r="AG43" i="4"/>
  <c r="AG70" i="4" l="1"/>
  <c r="AG53" i="4"/>
  <c r="AG62" i="4"/>
  <c r="AG79" i="4"/>
  <c r="AG44" i="4"/>
  <c r="AG80" i="4" l="1"/>
  <c r="AG45" i="4"/>
  <c r="AG71" i="4"/>
  <c r="AG54" i="4"/>
  <c r="AG63" i="4"/>
  <c r="AG64" i="4" l="1"/>
  <c r="AG81" i="4"/>
  <c r="AG55" i="4"/>
  <c r="AG46" i="4"/>
  <c r="AG72" i="4"/>
  <c r="AG82" i="4" l="1"/>
  <c r="AG73" i="4"/>
  <c r="AE218" i="4" l="1"/>
  <c r="AE217" i="4"/>
  <c r="AE216" i="4"/>
  <c r="AE208" i="4"/>
  <c r="AE156" i="4"/>
  <c r="AE219" i="4"/>
  <c r="AE155" i="4"/>
  <c r="AE215" i="4"/>
  <c r="AE209" i="4" l="1"/>
  <c r="AE160" i="4" l="1"/>
  <c r="AE158" i="4"/>
  <c r="AE159" i="4"/>
  <c r="AE161" i="4"/>
  <c r="AE212" i="4"/>
  <c r="AE164" i="4"/>
  <c r="AE211" i="4"/>
  <c r="AE166" i="4"/>
  <c r="AE210" i="4"/>
  <c r="AE213" i="4"/>
  <c r="AE163" i="4"/>
  <c r="AE157" i="4"/>
  <c r="AE162" i="4"/>
  <c r="AE165" i="4"/>
  <c r="F176" i="3" l="1"/>
  <c r="T175" i="4" s="1"/>
  <c r="F174" i="3"/>
  <c r="T173" i="4" s="1"/>
  <c r="F179" i="3"/>
  <c r="T178" i="4" s="1"/>
  <c r="F180" i="3"/>
  <c r="T179" i="4" s="1"/>
  <c r="F175" i="3"/>
  <c r="T174" i="4" s="1"/>
  <c r="F178" i="3"/>
  <c r="T177" i="4" s="1"/>
  <c r="F177" i="3"/>
  <c r="T176" i="4" s="1"/>
  <c r="F181" i="3"/>
  <c r="T180" i="4" s="1"/>
  <c r="F223" i="3"/>
  <c r="T222" i="4" s="1"/>
  <c r="F17" i="3"/>
  <c r="F95" i="3"/>
  <c r="T94" i="4" s="1"/>
  <c r="F125" i="3"/>
  <c r="T124" i="4" s="1"/>
  <c r="F221" i="3"/>
  <c r="T220" i="4" s="1"/>
  <c r="F197" i="3"/>
  <c r="T196" i="4" s="1"/>
  <c r="F163" i="3"/>
  <c r="T162" i="4" s="1"/>
  <c r="F47" i="3"/>
  <c r="F42" i="3"/>
  <c r="T41" i="4" s="1"/>
  <c r="F85" i="3"/>
  <c r="T84" i="4" s="1"/>
  <c r="F33" i="3"/>
  <c r="T32" i="4" s="1"/>
  <c r="F184" i="3"/>
  <c r="T183" i="4" s="1"/>
  <c r="F144" i="3"/>
  <c r="T143" i="4" s="1"/>
  <c r="F153" i="3"/>
  <c r="T152" i="4" s="1"/>
  <c r="F19" i="3"/>
  <c r="F154" i="3"/>
  <c r="T153" i="4" s="1"/>
  <c r="F194" i="3"/>
  <c r="T193" i="4" s="1"/>
  <c r="F45" i="3"/>
  <c r="F113" i="3"/>
  <c r="T112" i="4" s="1"/>
  <c r="F158" i="3"/>
  <c r="T157" i="4" s="1"/>
  <c r="F214" i="3"/>
  <c r="T213" i="4" s="1"/>
  <c r="F61" i="3"/>
  <c r="F96" i="3"/>
  <c r="T95" i="4" s="1"/>
  <c r="F70" i="3"/>
  <c r="F169" i="3"/>
  <c r="T168" i="4" s="1"/>
  <c r="F23" i="3"/>
  <c r="F128" i="3"/>
  <c r="T127" i="4" s="1"/>
  <c r="F80" i="3"/>
  <c r="T79" i="4" s="1"/>
  <c r="F187" i="3"/>
  <c r="T186" i="4" s="1"/>
  <c r="F205" i="3"/>
  <c r="T204" i="4" s="1"/>
  <c r="F157" i="3"/>
  <c r="T156" i="4" s="1"/>
  <c r="F46" i="3"/>
  <c r="T45" i="4" s="1"/>
  <c r="F78" i="3"/>
  <c r="T77" i="4" s="1"/>
  <c r="F136" i="3"/>
  <c r="T135" i="4" s="1"/>
  <c r="F67" i="3"/>
  <c r="F115" i="3"/>
  <c r="T114" i="4" s="1"/>
  <c r="F73" i="3"/>
  <c r="F27" i="3"/>
  <c r="F97" i="3"/>
  <c r="T96" i="4" s="1"/>
  <c r="F142" i="3"/>
  <c r="T141" i="4" s="1"/>
  <c r="F114" i="3"/>
  <c r="T113" i="4" s="1"/>
  <c r="F31" i="3"/>
  <c r="F215" i="3"/>
  <c r="T214" i="4" s="1"/>
  <c r="F112" i="3"/>
  <c r="T111" i="4" s="1"/>
  <c r="F201" i="3"/>
  <c r="T200" i="4" s="1"/>
  <c r="F25" i="3"/>
  <c r="F63" i="3"/>
  <c r="F81" i="3"/>
  <c r="T80" i="4" s="1"/>
  <c r="F108" i="3"/>
  <c r="T107" i="4" s="1"/>
  <c r="F51" i="3"/>
  <c r="T50" i="4" s="1"/>
  <c r="F65" i="3"/>
  <c r="F164" i="3"/>
  <c r="T163" i="4" s="1"/>
  <c r="F106" i="3"/>
  <c r="T105" i="4" s="1"/>
  <c r="F138" i="3"/>
  <c r="T137" i="4" s="1"/>
  <c r="F190" i="3"/>
  <c r="T189" i="4" s="1"/>
  <c r="F77" i="3"/>
  <c r="T76" i="4" s="1"/>
  <c r="F99" i="3"/>
  <c r="T98" i="4" s="1"/>
  <c r="F15" i="3"/>
  <c r="F41" i="3"/>
  <c r="F32" i="3"/>
  <c r="F56" i="3"/>
  <c r="F22" i="3"/>
  <c r="F39" i="3"/>
  <c r="F79" i="3"/>
  <c r="T78" i="4" s="1"/>
  <c r="F71" i="3"/>
  <c r="F18" i="3"/>
  <c r="T17" i="4" s="1"/>
  <c r="F127" i="3"/>
  <c r="T126" i="4" s="1"/>
  <c r="F75" i="3"/>
  <c r="F105" i="3"/>
  <c r="T104" i="4" s="1"/>
  <c r="F118" i="3"/>
  <c r="T117" i="4" s="1"/>
  <c r="F170" i="3"/>
  <c r="T169" i="4" s="1"/>
  <c r="F116" i="3"/>
  <c r="T115" i="4" s="1"/>
  <c r="F111" i="3"/>
  <c r="T110" i="4" s="1"/>
  <c r="F195" i="3"/>
  <c r="T194" i="4" s="1"/>
  <c r="F86" i="3"/>
  <c r="T85" i="4" s="1"/>
  <c r="F26" i="3"/>
  <c r="T25" i="4" s="1"/>
  <c r="F55" i="3"/>
  <c r="T54" i="4" s="1"/>
  <c r="F172" i="3"/>
  <c r="T171" i="4" s="1"/>
  <c r="F148" i="3"/>
  <c r="T147" i="4" s="1"/>
  <c r="F83" i="3"/>
  <c r="T82" i="4" s="1"/>
  <c r="F64" i="3"/>
  <c r="F199" i="3"/>
  <c r="T198" i="4" s="1"/>
  <c r="F165" i="3"/>
  <c r="T164" i="4" s="1"/>
  <c r="F200" i="3"/>
  <c r="T199" i="4" s="1"/>
  <c r="F212" i="3"/>
  <c r="T211" i="4" s="1"/>
  <c r="F54" i="3"/>
  <c r="F207" i="3"/>
  <c r="T206" i="4" s="1"/>
  <c r="F146" i="3"/>
  <c r="T145" i="4" s="1"/>
  <c r="F124" i="3"/>
  <c r="T123" i="4" s="1"/>
  <c r="F40" i="3"/>
  <c r="F216" i="3"/>
  <c r="T215" i="4" s="1"/>
  <c r="F101" i="3"/>
  <c r="T100" i="4" s="1"/>
  <c r="F123" i="3"/>
  <c r="T122" i="4" s="1"/>
  <c r="F104" i="3"/>
  <c r="T103" i="4" s="1"/>
  <c r="F58" i="3"/>
  <c r="F16" i="3"/>
  <c r="T15" i="4" s="1"/>
  <c r="F126" i="3"/>
  <c r="T125" i="4" s="1"/>
  <c r="F59" i="3"/>
  <c r="F145" i="3"/>
  <c r="T144" i="4" s="1"/>
  <c r="F49" i="3"/>
  <c r="F209" i="3"/>
  <c r="T208" i="4" s="1"/>
  <c r="F133" i="3"/>
  <c r="T132" i="4" s="1"/>
  <c r="F210" i="3"/>
  <c r="T209" i="4" s="1"/>
  <c r="F131" i="3"/>
  <c r="T130" i="4" s="1"/>
  <c r="F37" i="3"/>
  <c r="T36" i="4" s="1"/>
  <c r="F53" i="3"/>
  <c r="T52" i="4" s="1"/>
  <c r="F196" i="3"/>
  <c r="T195" i="4" s="1"/>
  <c r="F186" i="3"/>
  <c r="T185" i="4" s="1"/>
  <c r="F203" i="3"/>
  <c r="T202" i="4" s="1"/>
  <c r="F132" i="3"/>
  <c r="T131" i="4" s="1"/>
  <c r="F134" i="3"/>
  <c r="T133" i="4" s="1"/>
  <c r="F50" i="3"/>
  <c r="F43" i="3"/>
  <c r="F109" i="3"/>
  <c r="T108" i="4" s="1"/>
  <c r="F219" i="3"/>
  <c r="T218" i="4" s="1"/>
  <c r="F168" i="3"/>
  <c r="T167" i="4" s="1"/>
  <c r="F30" i="3"/>
  <c r="F151" i="3"/>
  <c r="T150" i="4" s="1"/>
  <c r="F87" i="3"/>
  <c r="T86" i="4" s="1"/>
  <c r="F150" i="3"/>
  <c r="T149" i="4" s="1"/>
  <c r="F84" i="3"/>
  <c r="F69" i="3"/>
  <c r="F92" i="3"/>
  <c r="T91" i="4" s="1"/>
  <c r="F89" i="3"/>
  <c r="T88" i="4" s="1"/>
  <c r="F191" i="3"/>
  <c r="T190" i="4" s="1"/>
  <c r="F188" i="3"/>
  <c r="T187" i="4" s="1"/>
  <c r="F160" i="3"/>
  <c r="T159" i="4" s="1"/>
  <c r="F159" i="3"/>
  <c r="T158" i="4" s="1"/>
  <c r="F222" i="3"/>
  <c r="T221" i="4" s="1"/>
  <c r="F166" i="3"/>
  <c r="T165" i="4" s="1"/>
  <c r="F120" i="3"/>
  <c r="T119" i="4" s="1"/>
  <c r="F28" i="3"/>
  <c r="T27" i="4" s="1"/>
  <c r="F110" i="3"/>
  <c r="T109" i="4" s="1"/>
  <c r="F183" i="3"/>
  <c r="T182" i="4" s="1"/>
  <c r="F140" i="3"/>
  <c r="T139" i="4" s="1"/>
  <c r="F149" i="3"/>
  <c r="T148" i="4" s="1"/>
  <c r="F141" i="3"/>
  <c r="T140" i="4" s="1"/>
  <c r="F20" i="3"/>
  <c r="F213" i="3"/>
  <c r="T212" i="4" s="1"/>
  <c r="F36" i="3"/>
  <c r="F21" i="3"/>
  <c r="F57" i="3"/>
  <c r="F66" i="3"/>
  <c r="F135" i="3"/>
  <c r="T134" i="4" s="1"/>
  <c r="F137" i="3"/>
  <c r="T136" i="4" s="1"/>
  <c r="F220" i="3"/>
  <c r="T219" i="4" s="1"/>
  <c r="F29" i="3"/>
  <c r="F82" i="3"/>
  <c r="T81" i="4" s="1"/>
  <c r="F14" i="3"/>
  <c r="T13" i="4" s="1"/>
  <c r="F52" i="3"/>
  <c r="F193" i="3"/>
  <c r="T192" i="4" s="1"/>
  <c r="F185" i="3"/>
  <c r="T184" i="4" s="1"/>
  <c r="F107" i="3"/>
  <c r="T106" i="4" s="1"/>
  <c r="F173" i="3"/>
  <c r="T172" i="4" s="1"/>
  <c r="F204" i="3"/>
  <c r="T203" i="4" s="1"/>
  <c r="F139" i="3"/>
  <c r="T138" i="4" s="1"/>
  <c r="F24" i="3"/>
  <c r="T23" i="4" s="1"/>
  <c r="F100" i="3"/>
  <c r="T99" i="4" s="1"/>
  <c r="F13" i="3"/>
  <c r="F171" i="3"/>
  <c r="T170" i="4" s="1"/>
  <c r="F130" i="3"/>
  <c r="T129" i="4" s="1"/>
  <c r="F72" i="3"/>
  <c r="F217" i="3"/>
  <c r="T216" i="4" s="1"/>
  <c r="F94" i="3"/>
  <c r="T93" i="4" s="1"/>
  <c r="F103" i="3"/>
  <c r="T102" i="4" s="1"/>
  <c r="F155" i="3"/>
  <c r="T154" i="4" s="1"/>
  <c r="F98" i="3"/>
  <c r="T97" i="4" s="1"/>
  <c r="F60" i="3"/>
  <c r="F102" i="3"/>
  <c r="T101" i="4" s="1"/>
  <c r="F156" i="3"/>
  <c r="T155" i="4" s="1"/>
  <c r="F206" i="3"/>
  <c r="T205" i="4" s="1"/>
  <c r="F162" i="3"/>
  <c r="T161" i="4" s="1"/>
  <c r="F34" i="3"/>
  <c r="F202" i="3"/>
  <c r="T201" i="4" s="1"/>
  <c r="F119" i="3"/>
  <c r="T118" i="4" s="1"/>
  <c r="F143" i="3"/>
  <c r="T142" i="4" s="1"/>
  <c r="F192" i="3"/>
  <c r="T191" i="4" s="1"/>
  <c r="F117" i="3"/>
  <c r="T116" i="4" s="1"/>
  <c r="F147" i="3"/>
  <c r="T146" i="4" s="1"/>
  <c r="F167" i="3"/>
  <c r="T166" i="4" s="1"/>
  <c r="F152" i="3"/>
  <c r="T151" i="4" s="1"/>
  <c r="F198" i="3"/>
  <c r="T197" i="4" s="1"/>
  <c r="F35" i="3"/>
  <c r="T34" i="4" s="1"/>
  <c r="F121" i="3"/>
  <c r="T120" i="4" s="1"/>
  <c r="F38" i="3"/>
  <c r="F62" i="3"/>
  <c r="F93" i="3"/>
  <c r="T92" i="4" s="1"/>
  <c r="F182" i="3"/>
  <c r="T181" i="4" s="1"/>
  <c r="F218" i="3"/>
  <c r="T217" i="4" s="1"/>
  <c r="F44" i="3"/>
  <c r="T43" i="4" s="1"/>
  <c r="F208" i="3"/>
  <c r="T207" i="4" s="1"/>
  <c r="F48" i="3"/>
  <c r="F189" i="3"/>
  <c r="T188" i="4" s="1"/>
  <c r="F90" i="3"/>
  <c r="T89" i="4" s="1"/>
  <c r="F211" i="3"/>
  <c r="T210" i="4" s="1"/>
  <c r="F122" i="3"/>
  <c r="T121" i="4" s="1"/>
  <c r="F12" i="3"/>
  <c r="F68" i="3"/>
  <c r="F91" i="3"/>
  <c r="T90" i="4" s="1"/>
  <c r="F88" i="3"/>
  <c r="T87" i="4" s="1"/>
  <c r="F129" i="3"/>
  <c r="T128" i="4" s="1"/>
  <c r="F76" i="3"/>
  <c r="T75" i="4" s="1"/>
  <c r="F161" i="3"/>
  <c r="T160" i="4" s="1"/>
  <c r="F11" i="3"/>
  <c r="F74" i="3"/>
  <c r="T62" i="4" l="1"/>
  <c r="T33" i="4"/>
  <c r="T20" i="4"/>
  <c r="T47" i="4"/>
  <c r="T59" i="4"/>
  <c r="T49" i="4"/>
  <c r="T69" i="4"/>
  <c r="T46" i="4"/>
  <c r="T12" i="4"/>
  <c r="T18" i="4"/>
  <c r="T67" i="4"/>
  <c r="T51" i="4"/>
  <c r="T56" i="4"/>
  <c r="T53" i="4"/>
  <c r="T21" i="4"/>
  <c r="T24" i="4"/>
  <c r="T26" i="4"/>
  <c r="T60" i="4"/>
  <c r="T65" i="4"/>
  <c r="T57" i="4"/>
  <c r="T38" i="4"/>
  <c r="T55" i="4"/>
  <c r="T35" i="4"/>
  <c r="T48" i="4"/>
  <c r="T74" i="4"/>
  <c r="T31" i="4"/>
  <c r="T73" i="4"/>
  <c r="T10" i="4"/>
  <c r="T28" i="4"/>
  <c r="T40" i="4"/>
  <c r="T64" i="4"/>
  <c r="T66" i="4"/>
  <c r="T11" i="4"/>
  <c r="T29" i="4"/>
  <c r="T72" i="4"/>
  <c r="T61" i="4"/>
  <c r="T71" i="4"/>
  <c r="T19" i="4"/>
  <c r="T68" i="4"/>
  <c r="T58" i="4"/>
  <c r="T39" i="4"/>
  <c r="T14" i="4"/>
  <c r="T30" i="4"/>
  <c r="T22" i="4"/>
  <c r="T44" i="4"/>
  <c r="T16" i="4"/>
  <c r="T37" i="4"/>
  <c r="T83" i="4"/>
  <c r="T42" i="4"/>
  <c r="T63" i="4"/>
  <c r="T70" i="4"/>
  <c r="P168" i="3" l="1"/>
  <c r="AD167" i="4" l="1"/>
  <c r="AQ168" i="3"/>
  <c r="AT168" i="3" s="1"/>
  <c r="AT95" i="3" l="1"/>
  <c r="AT150" i="3"/>
  <c r="AT101" i="3"/>
  <c r="AT98" i="3"/>
  <c r="AT103" i="3"/>
  <c r="AT146" i="3"/>
  <c r="AT117" i="3"/>
  <c r="AT126" i="3"/>
  <c r="AT132" i="3"/>
  <c r="AT90" i="3"/>
  <c r="AT148" i="3"/>
  <c r="AT105" i="3"/>
  <c r="AT138" i="3"/>
  <c r="AT84" i="3"/>
  <c r="AT135" i="3"/>
  <c r="AT142" i="3"/>
  <c r="AT109" i="3"/>
  <c r="AT96" i="3"/>
  <c r="AT112" i="3"/>
  <c r="AT99" i="3"/>
  <c r="AT97" i="3"/>
  <c r="AT144" i="3"/>
  <c r="AT113" i="3"/>
  <c r="AT149" i="3"/>
  <c r="AT85" i="3"/>
  <c r="AT131" i="3"/>
  <c r="AT145" i="3"/>
  <c r="AT136" i="3"/>
  <c r="AT147" i="3"/>
  <c r="AT115" i="3"/>
  <c r="AT107" i="3"/>
  <c r="AT106" i="3"/>
  <c r="AT94" i="3"/>
  <c r="AT120" i="3"/>
  <c r="AT114" i="3"/>
  <c r="AT141" i="3"/>
  <c r="AT116" i="3"/>
  <c r="AT104" i="3"/>
  <c r="AT124" i="3"/>
  <c r="AT127" i="3"/>
  <c r="AT108" i="3"/>
  <c r="AT91" i="3"/>
  <c r="AT129" i="3"/>
  <c r="AT100" i="3"/>
  <c r="AT102" i="3"/>
  <c r="AT92" i="3"/>
  <c r="AT123" i="3"/>
  <c r="AT88" i="3"/>
  <c r="AT110" i="3"/>
  <c r="AT139" i="3"/>
  <c r="AT89" i="3"/>
  <c r="AT86" i="3"/>
  <c r="AT118" i="3"/>
  <c r="AT134" i="3"/>
  <c r="AT121" i="3"/>
  <c r="AT130" i="3"/>
  <c r="AT140" i="3"/>
  <c r="AT93" i="3"/>
  <c r="AT87" i="3"/>
  <c r="AT143" i="3"/>
  <c r="AT133" i="3"/>
  <c r="AT122" i="3"/>
  <c r="AT128" i="3"/>
  <c r="AT125" i="3"/>
  <c r="AT137" i="3"/>
  <c r="AT119" i="3"/>
  <c r="AT111" i="3"/>
  <c r="AT11" i="3" l="1"/>
  <c r="AT16" i="3"/>
  <c r="AT13" i="3"/>
  <c r="AT17" i="3"/>
  <c r="AT12" i="3"/>
  <c r="AT15" i="3"/>
  <c r="AT14" i="3"/>
  <c r="AT26" i="3" l="1"/>
  <c r="AT18" i="3"/>
  <c r="AT19" i="3"/>
  <c r="AT22" i="3" l="1"/>
  <c r="AT27" i="3"/>
  <c r="R48" i="3"/>
  <c r="AT28" i="3"/>
  <c r="AT25" i="3"/>
  <c r="AT23" i="3"/>
  <c r="AT36" i="3"/>
  <c r="AT24" i="3"/>
  <c r="AT21" i="3"/>
  <c r="AT44" i="3"/>
  <c r="AT57" i="3" l="1"/>
  <c r="AT66" i="3"/>
  <c r="AT52" i="3"/>
  <c r="R39" i="3"/>
  <c r="AT43" i="3"/>
  <c r="AT81" i="3"/>
  <c r="AT50" i="3"/>
  <c r="AT34" i="3"/>
  <c r="AT61" i="3"/>
  <c r="R57" i="3"/>
  <c r="AT41" i="3"/>
  <c r="R75" i="3"/>
  <c r="AT37" i="3"/>
  <c r="AT82" i="3"/>
  <c r="AT64" i="3"/>
  <c r="AT80" i="3"/>
  <c r="AT70" i="3"/>
  <c r="AT56" i="3"/>
  <c r="AT54" i="3"/>
  <c r="AT74" i="3"/>
  <c r="AT31" i="3"/>
  <c r="AT38" i="3"/>
  <c r="R66" i="3"/>
  <c r="AT33" i="3"/>
  <c r="AT72" i="3"/>
  <c r="AT63" i="3"/>
  <c r="AT40" i="3"/>
  <c r="AT46" i="3"/>
  <c r="AT51" i="3"/>
  <c r="AT48" i="3"/>
  <c r="AT42" i="3"/>
  <c r="AT67" i="3"/>
  <c r="AT78" i="3"/>
  <c r="AT76" i="3"/>
  <c r="AT75" i="3"/>
  <c r="AT59" i="3"/>
  <c r="AT47" i="3"/>
  <c r="AT45" i="3"/>
  <c r="AT83" i="3"/>
  <c r="AT68" i="3"/>
  <c r="AT32" i="3"/>
  <c r="AT65" i="3"/>
  <c r="AT35" i="3"/>
  <c r="AT60" i="3"/>
  <c r="AT69" i="3"/>
  <c r="AF47" i="4"/>
  <c r="R49" i="3"/>
  <c r="AQ48" i="3"/>
  <c r="AT79" i="3"/>
  <c r="AT53" i="3"/>
  <c r="AT39" i="3"/>
  <c r="AT62" i="3"/>
  <c r="AT58" i="3"/>
  <c r="AT29" i="3"/>
  <c r="AT49" i="3"/>
  <c r="AT30" i="3"/>
  <c r="AT77" i="3"/>
  <c r="AT55" i="3"/>
  <c r="AT71" i="3"/>
  <c r="AT73" i="3"/>
  <c r="AQ57" i="3" l="1"/>
  <c r="R58" i="3"/>
  <c r="AF56" i="4"/>
  <c r="AQ75" i="3"/>
  <c r="AF74" i="4"/>
  <c r="R76" i="3"/>
  <c r="AF38" i="4"/>
  <c r="AQ39" i="3"/>
  <c r="R40" i="3"/>
  <c r="AF48" i="4"/>
  <c r="R50" i="3"/>
  <c r="AQ49" i="3"/>
  <c r="AQ66" i="3"/>
  <c r="R67" i="3"/>
  <c r="AF65" i="4"/>
  <c r="R41" i="3" l="1"/>
  <c r="AQ40" i="3"/>
  <c r="AF39" i="4"/>
  <c r="R51" i="3"/>
  <c r="AF49" i="4"/>
  <c r="AQ50" i="3"/>
  <c r="R68" i="3"/>
  <c r="AF66" i="4"/>
  <c r="AQ67" i="3"/>
  <c r="AQ76" i="3"/>
  <c r="AF75" i="4"/>
  <c r="R77" i="3"/>
  <c r="R59" i="3"/>
  <c r="AF57" i="4"/>
  <c r="AQ58" i="3"/>
  <c r="AQ68" i="3" l="1"/>
  <c r="AF67" i="4"/>
  <c r="R69" i="3"/>
  <c r="AQ77" i="3"/>
  <c r="R78" i="3"/>
  <c r="AF76" i="4"/>
  <c r="AQ51" i="3"/>
  <c r="AF50" i="4"/>
  <c r="R52" i="3"/>
  <c r="R60" i="3"/>
  <c r="AQ59" i="3"/>
  <c r="AF58" i="4"/>
  <c r="R42" i="3"/>
  <c r="AF40" i="4"/>
  <c r="AQ41" i="3"/>
  <c r="AF59" i="4" l="1"/>
  <c r="R61" i="3"/>
  <c r="AQ60" i="3"/>
  <c r="AQ69" i="3"/>
  <c r="AF68" i="4"/>
  <c r="R70" i="3"/>
  <c r="R43" i="3"/>
  <c r="AQ42" i="3"/>
  <c r="AF41" i="4"/>
  <c r="AF51" i="4"/>
  <c r="R53" i="3"/>
  <c r="AQ52" i="3"/>
  <c r="R79" i="3"/>
  <c r="AF77" i="4"/>
  <c r="AQ78" i="3"/>
  <c r="AF69" i="4" l="1"/>
  <c r="R71" i="3"/>
  <c r="AQ70" i="3"/>
  <c r="AF52" i="4"/>
  <c r="R54" i="3"/>
  <c r="AQ53" i="3"/>
  <c r="AQ43" i="3"/>
  <c r="AF42" i="4"/>
  <c r="R44" i="3"/>
  <c r="AQ61" i="3"/>
  <c r="AF60" i="4"/>
  <c r="R62" i="3"/>
  <c r="AQ79" i="3"/>
  <c r="AF78" i="4"/>
  <c r="R80" i="3"/>
  <c r="AQ71" i="3" l="1"/>
  <c r="AF70" i="4"/>
  <c r="R72" i="3"/>
  <c r="AF61" i="4"/>
  <c r="AQ62" i="3"/>
  <c r="R63" i="3"/>
  <c r="AQ80" i="3"/>
  <c r="R81" i="3"/>
  <c r="AF79" i="4"/>
  <c r="AF43" i="4"/>
  <c r="AQ44" i="3"/>
  <c r="R45" i="3"/>
  <c r="R55" i="3"/>
  <c r="AQ54" i="3"/>
  <c r="AF53" i="4"/>
  <c r="AF62" i="4" l="1"/>
  <c r="AQ63" i="3"/>
  <c r="R64" i="3"/>
  <c r="AF44" i="4"/>
  <c r="AQ45" i="3"/>
  <c r="R46" i="3"/>
  <c r="R82" i="3"/>
  <c r="AF80" i="4"/>
  <c r="AQ81" i="3"/>
  <c r="AQ72" i="3"/>
  <c r="AF71" i="4"/>
  <c r="R73" i="3"/>
  <c r="AF54" i="4"/>
  <c r="R56" i="3"/>
  <c r="AQ55" i="3"/>
  <c r="AF63" i="4" l="1"/>
  <c r="R65" i="3"/>
  <c r="AQ64" i="3"/>
  <c r="AQ46" i="3"/>
  <c r="AF45" i="4"/>
  <c r="R47" i="3"/>
  <c r="AF72" i="4"/>
  <c r="R74" i="3"/>
  <c r="AQ73" i="3"/>
  <c r="AQ82" i="3"/>
  <c r="R83" i="3"/>
  <c r="AF81" i="4"/>
  <c r="AQ56" i="3"/>
  <c r="AF55" i="4"/>
  <c r="AF46" i="4" l="1"/>
  <c r="AQ47" i="3"/>
  <c r="AQ74" i="3"/>
  <c r="AF73" i="4"/>
  <c r="AF82" i="4"/>
  <c r="AQ83" i="3"/>
  <c r="AQ65" i="3"/>
  <c r="AF64" i="4"/>
  <c r="P156" i="3" l="1"/>
  <c r="P157" i="3"/>
  <c r="P209" i="3"/>
  <c r="P215" i="3"/>
  <c r="P219" i="3"/>
  <c r="P217" i="3"/>
  <c r="P216" i="3"/>
  <c r="P220" i="3"/>
  <c r="P218" i="3"/>
  <c r="AQ209" i="3" l="1"/>
  <c r="AT209" i="3" s="1"/>
  <c r="AD208" i="4"/>
  <c r="AQ219" i="3"/>
  <c r="AT219" i="3" s="1"/>
  <c r="AD218" i="4"/>
  <c r="AQ157" i="3"/>
  <c r="AT157" i="3" s="1"/>
  <c r="AD156" i="4"/>
  <c r="AQ218" i="3"/>
  <c r="AT218" i="3" s="1"/>
  <c r="AD217" i="4"/>
  <c r="AQ215" i="3"/>
  <c r="AT215" i="3" s="1"/>
  <c r="AD214" i="4"/>
  <c r="AD155" i="4"/>
  <c r="AQ156" i="3"/>
  <c r="AT156" i="3" s="1"/>
  <c r="AD216" i="4"/>
  <c r="AQ217" i="3"/>
  <c r="AT217" i="3" s="1"/>
  <c r="AQ220" i="3"/>
  <c r="AT220" i="3" s="1"/>
  <c r="AD219" i="4"/>
  <c r="AQ216" i="3"/>
  <c r="AT216" i="3" s="1"/>
  <c r="AD215" i="4"/>
  <c r="P210" i="3" l="1"/>
  <c r="AD209" i="4" l="1"/>
  <c r="AQ210" i="3"/>
  <c r="AT210" i="3" s="1"/>
  <c r="P160" i="3"/>
  <c r="P159" i="3"/>
  <c r="P158" i="3"/>
  <c r="P161" i="3"/>
  <c r="P214" i="3"/>
  <c r="P212" i="3"/>
  <c r="P211" i="3"/>
  <c r="P213" i="3"/>
  <c r="P167" i="3"/>
  <c r="P164" i="3"/>
  <c r="P162" i="3"/>
  <c r="P166" i="3"/>
  <c r="P163" i="3"/>
  <c r="P165" i="3"/>
  <c r="AQ162" i="3" l="1"/>
  <c r="AT162" i="3" s="1"/>
  <c r="AD161" i="4"/>
  <c r="AD162" i="4"/>
  <c r="AQ163" i="3"/>
  <c r="AT163" i="3" s="1"/>
  <c r="AD165" i="4"/>
  <c r="AQ166" i="3"/>
  <c r="AT166" i="3" s="1"/>
  <c r="AQ213" i="3"/>
  <c r="AT213" i="3" s="1"/>
  <c r="AD212" i="4"/>
  <c r="AD158" i="4"/>
  <c r="AQ159" i="3"/>
  <c r="AT159" i="3" s="1"/>
  <c r="AD159" i="4"/>
  <c r="AQ160" i="3"/>
  <c r="AT160" i="3" s="1"/>
  <c r="AQ164" i="3"/>
  <c r="AT164" i="3" s="1"/>
  <c r="AD163" i="4"/>
  <c r="AQ212" i="3"/>
  <c r="AT212" i="3" s="1"/>
  <c r="AD211" i="4"/>
  <c r="AD160" i="4"/>
  <c r="AQ161" i="3"/>
  <c r="AT161" i="3" s="1"/>
  <c r="AQ211" i="3"/>
  <c r="AT211" i="3" s="1"/>
  <c r="AD210" i="4"/>
  <c r="AQ165" i="3"/>
  <c r="AT165" i="3" s="1"/>
  <c r="AD164" i="4"/>
  <c r="AQ167" i="3"/>
  <c r="AT167" i="3" s="1"/>
  <c r="AD166" i="4"/>
  <c r="AD213" i="4"/>
  <c r="AQ214" i="3"/>
  <c r="AT214" i="3" s="1"/>
  <c r="AD157" i="4"/>
  <c r="AQ158" i="3"/>
  <c r="AT158" i="3" s="1"/>
  <c r="AT154" i="3" l="1"/>
  <c r="AT151" i="3"/>
  <c r="AT155" i="3"/>
  <c r="AT152" i="3"/>
  <c r="AT153" i="3"/>
  <c r="H7" i="8" l="1"/>
  <c r="H4" i="8" l="1"/>
  <c r="K2" i="8" s="1"/>
  <c r="K4" i="8" s="1"/>
  <c r="M2" i="8" l="1"/>
  <c r="B3" i="8"/>
  <c r="B63" i="8"/>
  <c r="B68" i="8"/>
  <c r="B72" i="8"/>
  <c r="B33" i="8"/>
  <c r="B32" i="8"/>
  <c r="B36" i="8"/>
  <c r="B62" i="8"/>
  <c r="B42" i="8"/>
  <c r="B18" i="8"/>
  <c r="B30" i="8"/>
  <c r="B13" i="8"/>
  <c r="B59" i="8"/>
  <c r="L2" i="8" s="1"/>
  <c r="N2" i="8" s="1"/>
  <c r="B19" i="8"/>
  <c r="B17" i="8"/>
  <c r="B26" i="8"/>
  <c r="B39" i="8"/>
  <c r="B60" i="8"/>
  <c r="B66" i="8"/>
  <c r="B48" i="8"/>
  <c r="B55" i="8"/>
  <c r="B47" i="8"/>
  <c r="B16" i="8"/>
  <c r="B37" i="8"/>
  <c r="B9" i="8"/>
  <c r="B7" i="8"/>
  <c r="B51" i="8"/>
  <c r="B20" i="8"/>
  <c r="B70" i="8"/>
  <c r="B58" i="8"/>
  <c r="K5" i="8"/>
  <c r="B35" i="8"/>
  <c r="B73" i="8"/>
  <c r="B27" i="8"/>
  <c r="B44" i="8"/>
  <c r="B12" i="8"/>
  <c r="B23" i="8"/>
  <c r="B5" i="8"/>
  <c r="B24" i="8"/>
  <c r="B29" i="8"/>
  <c r="B2" i="8"/>
  <c r="B56" i="8"/>
  <c r="B61" i="8"/>
  <c r="B40" i="8"/>
  <c r="B10" i="8"/>
  <c r="B11" i="8"/>
  <c r="B41" i="8"/>
  <c r="B57" i="8"/>
  <c r="B52" i="8"/>
  <c r="B4" i="8"/>
  <c r="B8" i="8"/>
  <c r="B15" i="8"/>
  <c r="B45" i="8"/>
  <c r="B31" i="8"/>
  <c r="B43" i="8"/>
  <c r="B54" i="8"/>
  <c r="B69" i="8"/>
  <c r="B64" i="8"/>
  <c r="B28" i="8"/>
  <c r="B34" i="8"/>
  <c r="B38" i="8"/>
  <c r="B46" i="8"/>
  <c r="B67" i="8"/>
  <c r="B22" i="8"/>
  <c r="B49" i="8"/>
  <c r="B50" i="8"/>
  <c r="B74" i="8"/>
  <c r="B21" i="8"/>
  <c r="B6" i="8"/>
  <c r="B71" i="8"/>
  <c r="B14" i="8"/>
  <c r="B53" i="8"/>
  <c r="B25" i="8"/>
  <c r="B65" i="8"/>
</calcChain>
</file>

<file path=xl/comments1.xml><?xml version="1.0" encoding="utf-8"?>
<comments xmlns="http://schemas.openxmlformats.org/spreadsheetml/2006/main">
  <authors>
    <author>Windows User</author>
    <author>Javy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江湖路：使用的为关卡头像
其他副本：缩略图
</t>
        </r>
      </text>
    </comment>
    <comment ref="AB1" authorId="1" shapeId="0">
      <text>
        <r>
          <rPr>
            <b/>
            <sz val="9"/>
            <color indexed="81"/>
            <rFont val="宋体"/>
            <family val="3"/>
            <charset val="134"/>
          </rPr>
          <t>Javy:
有多个解锁条件时</t>
        </r>
        <r>
          <rPr>
            <sz val="9"/>
            <color indexed="81"/>
            <rFont val="宋体"/>
            <family val="3"/>
            <charset val="134"/>
          </rPr>
          <t xml:space="preserve">
填1表示条件组合为“与”关系
填0表示条件组合为“或”关系</t>
        </r>
      </text>
    </comment>
  </commentList>
</comments>
</file>

<file path=xl/comments2.xml><?xml version="1.0" encoding="utf-8"?>
<comments xmlns="http://schemas.openxmlformats.org/spreadsheetml/2006/main">
  <authors>
    <author>Javy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1普通
2精英(小BOSS)
3普通BOSS
4白银BOSS(世界BOSS)
5战斗npc（头顶无血条，没有头像）
6副本npc（头顶无血条，没有头像）</t>
        </r>
      </text>
    </comment>
  </commentList>
</comments>
</file>

<file path=xl/comments3.xml><?xml version="1.0" encoding="utf-8"?>
<comments xmlns="http://schemas.openxmlformats.org/spreadsheetml/2006/main">
  <authors>
    <author>Javy</author>
  </authors>
  <commentLis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精英本、竞技场、挑战BOSS不能填0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Javy:
有多个解锁条件时</t>
        </r>
        <r>
          <rPr>
            <sz val="9"/>
            <color indexed="81"/>
            <rFont val="宋体"/>
            <family val="3"/>
            <charset val="134"/>
          </rPr>
          <t xml:space="preserve">
填1表示条件组合为“与”关系
填0表示条件组合为“或”关系</t>
        </r>
      </text>
    </comment>
  </commentList>
</comments>
</file>

<file path=xl/sharedStrings.xml><?xml version="1.0" encoding="utf-8"?>
<sst xmlns="http://schemas.openxmlformats.org/spreadsheetml/2006/main" count="1197" uniqueCount="702">
  <si>
    <t>101.png</t>
  </si>
  <si>
    <t>白虎堂的秘密基地所在地</t>
  </si>
  <si>
    <t>玄武堂的秘密基地所在地</t>
  </si>
  <si>
    <t>朱雀堂的秘密基地所在地</t>
  </si>
  <si>
    <t>102.png</t>
  </si>
  <si>
    <t>103.png</t>
  </si>
  <si>
    <t>104.png</t>
  </si>
  <si>
    <t>英雄之路2</t>
  </si>
  <si>
    <t>HeroIcon.png</t>
  </si>
  <si>
    <t>英雄之路3</t>
  </si>
  <si>
    <t>英雄之路4</t>
  </si>
  <si>
    <t>英雄之路5</t>
  </si>
  <si>
    <t>英雄之路6</t>
  </si>
  <si>
    <t>英雄之路7</t>
  </si>
  <si>
    <t>英雄之路8</t>
  </si>
  <si>
    <t>英雄之路9</t>
  </si>
  <si>
    <t>英雄之路10</t>
  </si>
  <si>
    <t>英雄之路11</t>
  </si>
  <si>
    <t>英雄之路12</t>
  </si>
  <si>
    <t>英雄之路13</t>
  </si>
  <si>
    <t>英雄之路14</t>
  </si>
  <si>
    <t>英雄之路15</t>
  </si>
  <si>
    <t>英雄之路16</t>
  </si>
  <si>
    <t>英雄之路17</t>
  </si>
  <si>
    <t>英雄之路18</t>
  </si>
  <si>
    <t>英雄之路19</t>
  </si>
  <si>
    <t>英雄之路20</t>
  </si>
  <si>
    <t>地图id</t>
  </si>
  <si>
    <t>地图类型</t>
  </si>
  <si>
    <t>章节</t>
  </si>
  <si>
    <t>地图名字</t>
  </si>
  <si>
    <t>关卡说明</t>
  </si>
  <si>
    <t>体力消耗</t>
  </si>
  <si>
    <t>开始条件最少人数</t>
  </si>
  <si>
    <t>开始条件最多人数</t>
  </si>
  <si>
    <t>每日开启次数上限</t>
  </si>
  <si>
    <t>副本冷却时间</t>
  </si>
  <si>
    <t>Iconid</t>
  </si>
  <si>
    <t>推荐战斗力</t>
  </si>
  <si>
    <t>每日副本重置时间</t>
  </si>
  <si>
    <t>副本时长</t>
  </si>
  <si>
    <t>地图资源路径</t>
  </si>
  <si>
    <t>解锁条件数</t>
  </si>
  <si>
    <t>解锁条件1类型</t>
  </si>
  <si>
    <t>解锁条件1参数</t>
  </si>
  <si>
    <t>解锁条件2类型</t>
  </si>
  <si>
    <t>解锁条件2参数</t>
  </si>
  <si>
    <t>出生坐标x</t>
  </si>
  <si>
    <t>出生坐标y</t>
  </si>
  <si>
    <t>出生坐标右x</t>
  </si>
  <si>
    <t>出生坐标右y</t>
  </si>
  <si>
    <t>掉落</t>
  </si>
  <si>
    <t>BOSS</t>
  </si>
  <si>
    <t>怪物列表数目</t>
  </si>
  <si>
    <t>怪物列表1ID</t>
  </si>
  <si>
    <t>怪物列表2ID</t>
  </si>
  <si>
    <t>怪物列表3ID</t>
  </si>
  <si>
    <t>怪物列表4ID</t>
  </si>
  <si>
    <t>怪物列表5ID</t>
  </si>
  <si>
    <t>怪物列表6ID</t>
  </si>
  <si>
    <t>怪物列表7ID</t>
  </si>
  <si>
    <t>怪物列表8ID</t>
  </si>
  <si>
    <t>怪物列表9ID</t>
  </si>
  <si>
    <t>怪物列表10ID</t>
  </si>
  <si>
    <t>副本AI</t>
  </si>
  <si>
    <t>时间限制</t>
  </si>
  <si>
    <t>地图传送门坐标X</t>
  </si>
  <si>
    <t>地图传送门坐标Y</t>
  </si>
  <si>
    <t>副本传送门坐标X</t>
  </si>
  <si>
    <t>副本传送门坐标Y</t>
  </si>
  <si>
    <t>怪物组数量</t>
  </si>
  <si>
    <t>怪物组1</t>
  </si>
  <si>
    <t>怪物组2</t>
  </si>
  <si>
    <t>怪物组3</t>
  </si>
  <si>
    <t>怪物组4</t>
  </si>
  <si>
    <t>怪物组5</t>
  </si>
  <si>
    <t>怪物组6</t>
  </si>
  <si>
    <t>怪物组7</t>
  </si>
  <si>
    <t>怪物组8</t>
  </si>
  <si>
    <t>怪物组9</t>
  </si>
  <si>
    <t>怪物组10</t>
  </si>
  <si>
    <t>背景音乐</t>
  </si>
  <si>
    <t>油尖旺</t>
  </si>
  <si>
    <t>日月潭</t>
  </si>
  <si>
    <t>富士山</t>
  </si>
  <si>
    <t>台北</t>
  </si>
  <si>
    <t>獠牙所在的交易地点</t>
  </si>
  <si>
    <t>突围的目的地</t>
  </si>
  <si>
    <t>精英司徒浩南</t>
  </si>
  <si>
    <t>精英暗魔</t>
  </si>
  <si>
    <t>精英血狂</t>
  </si>
  <si>
    <t>精英獠牙</t>
  </si>
  <si>
    <t>精英太乙</t>
  </si>
  <si>
    <t>精英佐维</t>
  </si>
  <si>
    <t>精英杀手首领</t>
  </si>
  <si>
    <t>精英靓坤</t>
  </si>
  <si>
    <t>精英乌鸦</t>
  </si>
  <si>
    <t>精英山鸡</t>
  </si>
  <si>
    <t>打豆豆</t>
  </si>
  <si>
    <t>英雄之路1</t>
  </si>
  <si>
    <t>1101.png</t>
  </si>
  <si>
    <t>1102.png</t>
  </si>
  <si>
    <t>1103.png</t>
  </si>
  <si>
    <t>1104.png</t>
  </si>
  <si>
    <t>1105.png</t>
  </si>
  <si>
    <t>1106.png</t>
  </si>
  <si>
    <t>地图类型</t>
    <phoneticPr fontId="1" type="noConversion"/>
  </si>
  <si>
    <t>主城</t>
    <phoneticPr fontId="1" type="noConversion"/>
  </si>
  <si>
    <t>常规副本</t>
    <phoneticPr fontId="1" type="noConversion"/>
  </si>
  <si>
    <t>精英副本</t>
    <phoneticPr fontId="1" type="noConversion"/>
  </si>
  <si>
    <t>活动副本</t>
    <phoneticPr fontId="1" type="noConversion"/>
  </si>
  <si>
    <t>竞技场</t>
    <phoneticPr fontId="1" type="noConversion"/>
  </si>
  <si>
    <t>世界BOSS</t>
    <phoneticPr fontId="1" type="noConversion"/>
  </si>
  <si>
    <t>远征</t>
    <phoneticPr fontId="1" type="noConversion"/>
  </si>
  <si>
    <t>主城号（1位）+地图类型（1位）+章节（2位）+序号（1位）+关卡节数（1位）</t>
    <phoneticPr fontId="1" type="noConversion"/>
  </si>
  <si>
    <t>解锁条件</t>
    <phoneticPr fontId="1" type="noConversion"/>
  </si>
  <si>
    <t>无条件解锁</t>
    <phoneticPr fontId="1" type="noConversion"/>
  </si>
  <si>
    <t>角色等级解锁</t>
  </si>
  <si>
    <t>vip等级解锁</t>
  </si>
  <si>
    <t>前置副本解锁</t>
  </si>
  <si>
    <t>前置任务解锁</t>
  </si>
  <si>
    <t>FB1-1</t>
  </si>
  <si>
    <t>FB1-2</t>
  </si>
  <si>
    <t>FB1-3</t>
  </si>
  <si>
    <t>FB1-4</t>
  </si>
  <si>
    <t>FB1-5</t>
  </si>
  <si>
    <t>FB1-6</t>
  </si>
  <si>
    <t>FB2-1</t>
  </si>
  <si>
    <t>FB2-2</t>
  </si>
  <si>
    <t>FB2-3</t>
  </si>
  <si>
    <t>FB2-4</t>
  </si>
  <si>
    <t>FB2-5</t>
  </si>
  <si>
    <t>FB2-6</t>
  </si>
  <si>
    <t>FB3-1</t>
  </si>
  <si>
    <t>FB3-2</t>
  </si>
  <si>
    <t>FB3-3</t>
  </si>
  <si>
    <t>FB3-4</t>
  </si>
  <si>
    <t>FB3-5</t>
  </si>
  <si>
    <t>FB3-6</t>
  </si>
  <si>
    <t>FB4-1</t>
  </si>
  <si>
    <t>FB4-2</t>
  </si>
  <si>
    <t>FB4-3</t>
  </si>
  <si>
    <t>FB4-4</t>
  </si>
  <si>
    <t>FB4-5</t>
  </si>
  <si>
    <t>FB4-6</t>
  </si>
  <si>
    <t>FB5-1</t>
  </si>
  <si>
    <t>FB5-2</t>
  </si>
  <si>
    <t>FB5-3</t>
  </si>
  <si>
    <t>FB5-4</t>
  </si>
  <si>
    <t>FB5-5</t>
  </si>
  <si>
    <t>FB5-6</t>
  </si>
  <si>
    <t>FB6-1</t>
  </si>
  <si>
    <t>FB6-2</t>
  </si>
  <si>
    <t>FB6-3</t>
  </si>
  <si>
    <t>FB6-4</t>
  </si>
  <si>
    <t>FB6-5</t>
  </si>
  <si>
    <t>FB6-6</t>
  </si>
  <si>
    <t>FB7-1</t>
  </si>
  <si>
    <t>FB7-2</t>
  </si>
  <si>
    <t>FB7-3</t>
  </si>
  <si>
    <t>FB7-4</t>
  </si>
  <si>
    <t>FB7-5</t>
  </si>
  <si>
    <t>FB7-6</t>
  </si>
  <si>
    <t>FB8-1</t>
  </si>
  <si>
    <t>FB8-2</t>
  </si>
  <si>
    <t>FB8-3</t>
  </si>
  <si>
    <t>FB8-4</t>
  </si>
  <si>
    <t>FB8-5</t>
  </si>
  <si>
    <t>FB8-6</t>
  </si>
  <si>
    <t>JYFB1-1</t>
  </si>
  <si>
    <t>JYFB1-2</t>
  </si>
  <si>
    <t>JYFB1-3</t>
  </si>
  <si>
    <t>JYFB1-4</t>
  </si>
  <si>
    <t>JYFB1-5</t>
  </si>
  <si>
    <t>JYFB1-6</t>
  </si>
  <si>
    <t>JYFB2-1</t>
  </si>
  <si>
    <t>JYFB2-2</t>
  </si>
  <si>
    <t>JYFB2-3</t>
  </si>
  <si>
    <t>JYFB2-4</t>
  </si>
  <si>
    <t>JYFB2-5</t>
  </si>
  <si>
    <t>JYFB2-6</t>
  </si>
  <si>
    <t>JYFB3-1</t>
  </si>
  <si>
    <t>JYFB3-2</t>
  </si>
  <si>
    <t>JYFB3-3</t>
  </si>
  <si>
    <t>JYFB3-4</t>
  </si>
  <si>
    <t>JYFB3-5</t>
  </si>
  <si>
    <t>JYFB3-6</t>
  </si>
  <si>
    <t>JYFB4-1</t>
  </si>
  <si>
    <t>JYFB4-2</t>
  </si>
  <si>
    <t>JYFB4-3</t>
  </si>
  <si>
    <t>JYFB4-4</t>
  </si>
  <si>
    <t>JYFB4-5</t>
  </si>
  <si>
    <t>JYFB4-6</t>
  </si>
  <si>
    <t>JYFB5-1</t>
  </si>
  <si>
    <t>JYFB5-2</t>
  </si>
  <si>
    <t>JYFB5-3</t>
  </si>
  <si>
    <t>JYFB5-4</t>
  </si>
  <si>
    <t>JYFB5-5</t>
  </si>
  <si>
    <t>JYFB5-6</t>
  </si>
  <si>
    <t>JYFB6-1</t>
  </si>
  <si>
    <t>JYFB6-2</t>
  </si>
  <si>
    <t>JYFB6-3</t>
  </si>
  <si>
    <t>JYFB6-4</t>
  </si>
  <si>
    <t>JYFB6-5</t>
  </si>
  <si>
    <t>JYFB7-1</t>
  </si>
  <si>
    <t>JYFB7-2</t>
  </si>
  <si>
    <t>JYFB7-3</t>
  </si>
  <si>
    <t>JYFB7-4</t>
  </si>
  <si>
    <t>JYFB7-5</t>
  </si>
  <si>
    <t>JYFB7-6</t>
  </si>
  <si>
    <t>JYFB8-1</t>
  </si>
  <si>
    <t>JYFB8-2</t>
  </si>
  <si>
    <t>JYFB8-3</t>
  </si>
  <si>
    <t>JYFB8-4</t>
  </si>
  <si>
    <t>JYFB8-5</t>
  </si>
  <si>
    <t>JYFB8-6</t>
  </si>
  <si>
    <t>JBFB1-1</t>
  </si>
  <si>
    <t>JBFB1-2</t>
  </si>
  <si>
    <t>JBFB1-3</t>
  </si>
  <si>
    <t>JBFB1-4</t>
  </si>
  <si>
    <t>JBFB1-5</t>
  </si>
  <si>
    <t>JBFB1-6</t>
  </si>
  <si>
    <t>CLFB1-1</t>
  </si>
  <si>
    <t>CLFB1-2</t>
  </si>
  <si>
    <t>CLFB1-3</t>
  </si>
  <si>
    <t>CLFB1-4</t>
  </si>
  <si>
    <t>CLFB1-5</t>
  </si>
  <si>
    <t>CLFB1-6</t>
  </si>
  <si>
    <t>BOSS-1</t>
  </si>
  <si>
    <t>BOSS-2</t>
  </si>
  <si>
    <t>BOSS-3</t>
  </si>
  <si>
    <t>BOSS-4</t>
  </si>
  <si>
    <t>BOSS-5</t>
  </si>
  <si>
    <t>BOSS-7</t>
  </si>
  <si>
    <t>BOSS-8</t>
  </si>
  <si>
    <t>BOSS-9</t>
  </si>
  <si>
    <t>TTT1</t>
  </si>
  <si>
    <t>YZBOSS</t>
  </si>
  <si>
    <t>BRZ1-1</t>
  </si>
  <si>
    <t>HSZD1-1</t>
  </si>
  <si>
    <t>TT1-1</t>
  </si>
  <si>
    <t>YXJM1-1</t>
  </si>
  <si>
    <t>XJ1-1</t>
  </si>
  <si>
    <t>city1</t>
  </si>
  <si>
    <t>city2</t>
  </si>
  <si>
    <t>city3</t>
  </si>
  <si>
    <t>city4</t>
  </si>
  <si>
    <t>city5</t>
  </si>
  <si>
    <t>city6</t>
  </si>
  <si>
    <t>city0</t>
  </si>
  <si>
    <t>jinku</t>
  </si>
  <si>
    <t>arena</t>
  </si>
  <si>
    <t>YXJM</t>
  </si>
  <si>
    <t>关卡类型</t>
  </si>
  <si>
    <t>关卡难度系数</t>
  </si>
  <si>
    <t>BOSS类型</t>
  </si>
  <si>
    <t>BOSS系数</t>
  </si>
  <si>
    <t>ID</t>
  </si>
  <si>
    <t>章节ID</t>
  </si>
  <si>
    <t>奖励ID</t>
  </si>
  <si>
    <t>道具ID</t>
  </si>
  <si>
    <t>道具数量</t>
  </si>
  <si>
    <t>解锁等级</t>
    <phoneticPr fontId="1" type="noConversion"/>
  </si>
  <si>
    <t>解锁任务</t>
    <phoneticPr fontId="1" type="noConversion"/>
  </si>
  <si>
    <t>副本解锁</t>
    <phoneticPr fontId="1" type="noConversion"/>
  </si>
  <si>
    <t>BOSS-10</t>
  </si>
  <si>
    <t>BOSS-11</t>
  </si>
  <si>
    <t>BOSS-12</t>
  </si>
  <si>
    <t>BOSS-13</t>
  </si>
  <si>
    <t>BOSS-14</t>
  </si>
  <si>
    <t>奖励金币</t>
    <phoneticPr fontId="1" type="noConversion"/>
  </si>
  <si>
    <t>奖励钻石</t>
    <phoneticPr fontId="1" type="noConversion"/>
  </si>
  <si>
    <t>道具名称</t>
    <phoneticPr fontId="1" type="noConversion"/>
  </si>
  <si>
    <t>只奖励一种东西</t>
    <phoneticPr fontId="1" type="noConversion"/>
  </si>
  <si>
    <t>推荐等级</t>
    <phoneticPr fontId="1" type="noConversion"/>
  </si>
  <si>
    <t>被巴闭霸占的娱乐街</t>
    <phoneticPr fontId="1" type="noConversion"/>
  </si>
  <si>
    <t>西贡头目大傻的领地</t>
    <phoneticPr fontId="1" type="noConversion"/>
  </si>
  <si>
    <t>丧彪藏身之地。</t>
    <phoneticPr fontId="1" type="noConversion"/>
  </si>
  <si>
    <t>劫持B哥家人的劫匪所在地点。</t>
    <phoneticPr fontId="1" type="noConversion"/>
  </si>
  <si>
    <t>灯红酒绿之地，伏击张议员的地点。</t>
    <phoneticPr fontId="1" type="noConversion"/>
  </si>
  <si>
    <t>蒋生与雷功的会谈之地</t>
    <phoneticPr fontId="1" type="noConversion"/>
  </si>
  <si>
    <t>与大飞的约战之地</t>
    <phoneticPr fontId="1" type="noConversion"/>
  </si>
  <si>
    <t>雷功别墅所在之地</t>
    <phoneticPr fontId="1" type="noConversion"/>
  </si>
  <si>
    <t>丁瑶赌场所在之地</t>
    <phoneticPr fontId="1" type="noConversion"/>
  </si>
  <si>
    <t>骆驼的寿宴举办地</t>
    <phoneticPr fontId="1" type="noConversion"/>
  </si>
  <si>
    <t>笑面虎的酒吧所在地</t>
    <phoneticPr fontId="1" type="noConversion"/>
  </si>
  <si>
    <t>蒋生与旧友八指叔的会面地点</t>
    <phoneticPr fontId="1" type="noConversion"/>
  </si>
  <si>
    <t>掩护浩南撤退的地点</t>
    <phoneticPr fontId="1" type="noConversion"/>
  </si>
  <si>
    <t>小结巴被关押的场所</t>
    <phoneticPr fontId="1" type="noConversion"/>
  </si>
  <si>
    <t>乌鸦与笑面虎的出没地</t>
    <phoneticPr fontId="1" type="noConversion"/>
  </si>
  <si>
    <t>生番手下闹事的地点</t>
    <phoneticPr fontId="1" type="noConversion"/>
  </si>
  <si>
    <t>被混混袭击的教会所在地</t>
    <phoneticPr fontId="1" type="noConversion"/>
  </si>
  <si>
    <t>生番所在的地盘</t>
    <phoneticPr fontId="1" type="noConversion"/>
  </si>
  <si>
    <t>大天二养伤的地点</t>
    <phoneticPr fontId="1" type="noConversion"/>
  </si>
  <si>
    <t>选举大会的举办地</t>
    <phoneticPr fontId="1" type="noConversion"/>
  </si>
  <si>
    <t>浩南经营的酒吧所在地</t>
    <phoneticPr fontId="1" type="noConversion"/>
  </si>
  <si>
    <t>会谈现场所在地</t>
    <phoneticPr fontId="1" type="noConversion"/>
  </si>
  <si>
    <t>东星地痞活动的场所</t>
    <phoneticPr fontId="1" type="noConversion"/>
  </si>
  <si>
    <t>长毛潜逃后藏匿的地点</t>
    <phoneticPr fontId="1" type="noConversion"/>
  </si>
  <si>
    <t>与东星拳赛的第一会场</t>
    <phoneticPr fontId="1" type="noConversion"/>
  </si>
  <si>
    <t>与东星拳赛的第二会场</t>
    <phoneticPr fontId="1" type="noConversion"/>
  </si>
  <si>
    <t>铜锣湾</t>
    <phoneticPr fontId="1" type="noConversion"/>
  </si>
  <si>
    <t>维多利亚港</t>
    <phoneticPr fontId="1" type="noConversion"/>
  </si>
  <si>
    <t>澳门</t>
    <phoneticPr fontId="1" type="noConversion"/>
  </si>
  <si>
    <t>东京</t>
    <phoneticPr fontId="1" type="noConversion"/>
  </si>
  <si>
    <t>难度1（金币）</t>
    <phoneticPr fontId="1" type="noConversion"/>
  </si>
  <si>
    <t>难度2（金币）</t>
    <phoneticPr fontId="1" type="noConversion"/>
  </si>
  <si>
    <t>难度3（金币）</t>
    <phoneticPr fontId="1" type="noConversion"/>
  </si>
  <si>
    <t>难度4（金币）</t>
    <phoneticPr fontId="1" type="noConversion"/>
  </si>
  <si>
    <t>难度5（金币）</t>
    <phoneticPr fontId="1" type="noConversion"/>
  </si>
  <si>
    <t>难度6（金币）</t>
    <phoneticPr fontId="1" type="noConversion"/>
  </si>
  <si>
    <t>难度1(材料）</t>
    <phoneticPr fontId="1" type="noConversion"/>
  </si>
  <si>
    <t>难度2(材料）</t>
    <phoneticPr fontId="1" type="noConversion"/>
  </si>
  <si>
    <t>难度3(材料）</t>
    <phoneticPr fontId="1" type="noConversion"/>
  </si>
  <si>
    <t>难度4(材料）</t>
    <phoneticPr fontId="1" type="noConversion"/>
  </si>
  <si>
    <t>难度5(材料）</t>
    <phoneticPr fontId="1" type="noConversion"/>
  </si>
  <si>
    <t>难度6(材料）</t>
    <phoneticPr fontId="1" type="noConversion"/>
  </si>
  <si>
    <t>挑战Boss-比利</t>
    <phoneticPr fontId="1" type="noConversion"/>
  </si>
  <si>
    <t>挑战Boss-靓坤</t>
    <phoneticPr fontId="1" type="noConversion"/>
  </si>
  <si>
    <t>挑战Boss-肥仔</t>
    <phoneticPr fontId="1" type="noConversion"/>
  </si>
  <si>
    <t>挑战Boss-赌王</t>
    <phoneticPr fontId="1" type="noConversion"/>
  </si>
  <si>
    <t>挑战Boss-山下忠秀</t>
    <phoneticPr fontId="1" type="noConversion"/>
  </si>
  <si>
    <t>组队1</t>
    <phoneticPr fontId="1" type="noConversion"/>
  </si>
  <si>
    <t>组队2</t>
    <phoneticPr fontId="1" type="noConversion"/>
  </si>
  <si>
    <t>组队3</t>
    <phoneticPr fontId="1" type="noConversion"/>
  </si>
  <si>
    <t>竞技场1</t>
    <phoneticPr fontId="1" type="noConversion"/>
  </si>
  <si>
    <t>竞技场2</t>
    <phoneticPr fontId="1" type="noConversion"/>
  </si>
  <si>
    <t>竞技场3</t>
    <phoneticPr fontId="1" type="noConversion"/>
  </si>
  <si>
    <t>难度1（命运石）</t>
    <phoneticPr fontId="1" type="noConversion"/>
  </si>
  <si>
    <t>难度2（命运石）</t>
    <phoneticPr fontId="1" type="noConversion"/>
  </si>
  <si>
    <t>难度3（命运石）</t>
    <phoneticPr fontId="1" type="noConversion"/>
  </si>
  <si>
    <t>难度4（命运石）</t>
    <phoneticPr fontId="1" type="noConversion"/>
  </si>
  <si>
    <t>难度5（命运石）</t>
    <phoneticPr fontId="1" type="noConversion"/>
  </si>
  <si>
    <t>难度6（命运石）</t>
    <phoneticPr fontId="1" type="noConversion"/>
  </si>
  <si>
    <t>难度1（马仔经验）</t>
    <phoneticPr fontId="1" type="noConversion"/>
  </si>
  <si>
    <t>难度2（马仔经验）</t>
    <phoneticPr fontId="1" type="noConversion"/>
  </si>
  <si>
    <t>难度3（马仔经验）</t>
    <phoneticPr fontId="1" type="noConversion"/>
  </si>
  <si>
    <t>难度4（马仔经验）</t>
    <phoneticPr fontId="1" type="noConversion"/>
  </si>
  <si>
    <t>难度5（马仔经验）</t>
    <phoneticPr fontId="1" type="noConversion"/>
  </si>
  <si>
    <t>难度6（马仔经验）</t>
    <phoneticPr fontId="1" type="noConversion"/>
  </si>
  <si>
    <t>新手关卡</t>
    <phoneticPr fontId="1" type="noConversion"/>
  </si>
  <si>
    <t>地图ID</t>
    <phoneticPr fontId="1" type="noConversion"/>
  </si>
  <si>
    <t>奖励金币（每分钟）</t>
    <phoneticPr fontId="1" type="noConversion"/>
  </si>
  <si>
    <t>西贡打大傻</t>
    <phoneticPr fontId="1" type="noConversion"/>
  </si>
  <si>
    <t>浴室砍巴闭</t>
    <phoneticPr fontId="1" type="noConversion"/>
  </si>
  <si>
    <t>戏逗小结巴</t>
    <phoneticPr fontId="1" type="noConversion"/>
  </si>
  <si>
    <t>合力毙靓坤</t>
    <phoneticPr fontId="1" type="noConversion"/>
  </si>
  <si>
    <t>协助山鸡</t>
    <phoneticPr fontId="1" type="noConversion"/>
  </si>
  <si>
    <t>伏击张议员</t>
    <phoneticPr fontId="1" type="noConversion"/>
  </si>
  <si>
    <t>蒋生遇雷功</t>
    <phoneticPr fontId="1" type="noConversion"/>
  </si>
  <si>
    <t>赌场除丁瑶</t>
    <phoneticPr fontId="1" type="noConversion"/>
  </si>
  <si>
    <t>东星鸿门宴</t>
    <phoneticPr fontId="1" type="noConversion"/>
  </si>
  <si>
    <t>怒打笑面虎</t>
    <phoneticPr fontId="1" type="noConversion"/>
  </si>
  <si>
    <t>蒋生遇袭</t>
    <phoneticPr fontId="1" type="noConversion"/>
  </si>
  <si>
    <t>双虎覆灭</t>
    <phoneticPr fontId="1" type="noConversion"/>
  </si>
  <si>
    <t>屯门之争</t>
    <phoneticPr fontId="1" type="noConversion"/>
  </si>
  <si>
    <t>一决雌雄</t>
    <phoneticPr fontId="1" type="noConversion"/>
  </si>
  <si>
    <t>驱除袭击者</t>
    <phoneticPr fontId="1" type="noConversion"/>
  </si>
  <si>
    <t>教会解围</t>
    <phoneticPr fontId="1" type="noConversion"/>
  </si>
  <si>
    <t>双雄之争</t>
    <phoneticPr fontId="1" type="noConversion"/>
  </si>
  <si>
    <t>守卫赌船</t>
    <phoneticPr fontId="1" type="noConversion"/>
  </si>
  <si>
    <t>正面冲突</t>
    <phoneticPr fontId="1" type="noConversion"/>
  </si>
  <si>
    <t>龙争虎斗</t>
    <phoneticPr fontId="1" type="noConversion"/>
  </si>
  <si>
    <t>纠缠不休</t>
    <phoneticPr fontId="1" type="noConversion"/>
  </si>
  <si>
    <t>试炼之战</t>
    <phoneticPr fontId="1" type="noConversion"/>
  </si>
  <si>
    <t>反守为攻</t>
    <phoneticPr fontId="1" type="noConversion"/>
  </si>
  <si>
    <t>突破重围</t>
    <phoneticPr fontId="1" type="noConversion"/>
  </si>
  <si>
    <t>力克强敌</t>
    <phoneticPr fontId="1" type="noConversion"/>
  </si>
  <si>
    <t>勇闯玄武堂</t>
    <phoneticPr fontId="1" type="noConversion"/>
  </si>
  <si>
    <t>突袭白虎堂</t>
    <phoneticPr fontId="1" type="noConversion"/>
  </si>
  <si>
    <t>激战朱雀堂</t>
    <phoneticPr fontId="1" type="noConversion"/>
  </si>
  <si>
    <t>恶战青龙堂</t>
    <phoneticPr fontId="1" type="noConversion"/>
  </si>
  <si>
    <t>挑战佐维</t>
    <phoneticPr fontId="1" type="noConversion"/>
  </si>
  <si>
    <t>决战东京</t>
    <phoneticPr fontId="1" type="noConversion"/>
  </si>
  <si>
    <t>再战靓坤</t>
    <phoneticPr fontId="1" type="noConversion"/>
  </si>
  <si>
    <t>噩梦再临</t>
    <phoneticPr fontId="1" type="noConversion"/>
  </si>
  <si>
    <t>婚礼遭袭</t>
    <phoneticPr fontId="1" type="noConversion"/>
  </si>
  <si>
    <t>约战山鸡</t>
    <phoneticPr fontId="1" type="noConversion"/>
  </si>
  <si>
    <t>揭穿雷复轰</t>
    <phoneticPr fontId="1" type="noConversion"/>
  </si>
  <si>
    <t>追债</t>
    <phoneticPr fontId="1" type="noConversion"/>
  </si>
  <si>
    <t>追债地图</t>
    <phoneticPr fontId="1" type="noConversion"/>
  </si>
  <si>
    <t>101.png</t>
    <phoneticPr fontId="1" type="noConversion"/>
  </si>
  <si>
    <t>ZhuiZhai</t>
    <phoneticPr fontId="1" type="noConversion"/>
  </si>
  <si>
    <t>偷车贼盘踞之地</t>
    <phoneticPr fontId="1" type="noConversion"/>
  </si>
  <si>
    <t>靓坤现身之地。</t>
    <phoneticPr fontId="1" type="noConversion"/>
  </si>
  <si>
    <t>指导基础操作的教学关</t>
    <phoneticPr fontId="1" type="noConversion"/>
  </si>
  <si>
    <t>繁华的商业中心，同时也是强者云集之地</t>
    <phoneticPr fontId="1" type="noConversion"/>
  </si>
  <si>
    <t>袭击者可能潜伏的地点</t>
    <phoneticPr fontId="1" type="noConversion"/>
  </si>
  <si>
    <t>由鬼冢镇守的第一重试炼地</t>
    <phoneticPr fontId="1" type="noConversion"/>
  </si>
  <si>
    <t>由暗魔镇守的第二重试炼地</t>
    <phoneticPr fontId="1" type="noConversion"/>
  </si>
  <si>
    <t>“剑痴”血狂的隐居地</t>
    <phoneticPr fontId="1" type="noConversion"/>
  </si>
  <si>
    <t>太乙的秘密据点</t>
    <phoneticPr fontId="1" type="noConversion"/>
  </si>
  <si>
    <t>青龙堂的秘密基地所在地</t>
    <phoneticPr fontId="1" type="noConversion"/>
  </si>
  <si>
    <t>佐维发出邀请的秘密地点</t>
    <phoneticPr fontId="1" type="noConversion"/>
  </si>
  <si>
    <t>杀手首领潜藏的据点</t>
    <phoneticPr fontId="1" type="noConversion"/>
  </si>
  <si>
    <t>由靓坤把守的毒龙据点</t>
    <phoneticPr fontId="1" type="noConversion"/>
  </si>
  <si>
    <t>由乌鸦把守的毒龙据点</t>
    <phoneticPr fontId="1" type="noConversion"/>
  </si>
  <si>
    <t>由司徒浩南把守的毒龙据点</t>
    <phoneticPr fontId="1" type="noConversion"/>
  </si>
  <si>
    <t>地中海与其手下来袭来之地</t>
    <phoneticPr fontId="1" type="noConversion"/>
  </si>
  <si>
    <t>与山鸡约战之地</t>
    <phoneticPr fontId="1" type="noConversion"/>
  </si>
  <si>
    <t>雷功可能出现的秘密地点</t>
    <phoneticPr fontId="1" type="noConversion"/>
  </si>
  <si>
    <t>大量金币</t>
    <phoneticPr fontId="1" type="noConversion"/>
  </si>
  <si>
    <t>大量金币</t>
    <phoneticPr fontId="1" type="noConversion"/>
  </si>
  <si>
    <t>可获得大量装备材料</t>
    <phoneticPr fontId="1" type="noConversion"/>
  </si>
  <si>
    <t>强者云集的战斗天堂</t>
    <phoneticPr fontId="1" type="noConversion"/>
  </si>
  <si>
    <t>强者云集的战斗天堂</t>
    <phoneticPr fontId="1" type="noConversion"/>
  </si>
  <si>
    <t>测试用副本</t>
    <phoneticPr fontId="1" type="noConversion"/>
  </si>
  <si>
    <t>大量命运石</t>
    <phoneticPr fontId="1" type="noConversion"/>
  </si>
  <si>
    <t>大量命运石</t>
    <phoneticPr fontId="1" type="noConversion"/>
  </si>
  <si>
    <t>可获得大量马仔经验药水</t>
    <phoneticPr fontId="1" type="noConversion"/>
  </si>
  <si>
    <t>百人斩！</t>
  </si>
  <si>
    <t>百人斩！</t>
    <phoneticPr fontId="1" type="noConversion"/>
  </si>
  <si>
    <t>护送小结巴！</t>
  </si>
  <si>
    <t>护送小结巴！</t>
    <phoneticPr fontId="1" type="noConversion"/>
  </si>
  <si>
    <t>逃亡！</t>
  </si>
  <si>
    <t>英雄救美！</t>
  </si>
  <si>
    <t>地下擂台！</t>
  </si>
  <si>
    <t>陷阱！</t>
  </si>
  <si>
    <t>平均每天获取</t>
    <phoneticPr fontId="1" type="noConversion"/>
  </si>
  <si>
    <t>提成</t>
    <phoneticPr fontId="1" type="noConversion"/>
  </si>
  <si>
    <t>占领提成</t>
    <phoneticPr fontId="1" type="noConversion"/>
  </si>
  <si>
    <t>每天提成次数</t>
    <phoneticPr fontId="1" type="noConversion"/>
  </si>
  <si>
    <t>每天提成</t>
    <phoneticPr fontId="1" type="noConversion"/>
  </si>
  <si>
    <t>占领</t>
    <phoneticPr fontId="1" type="noConversion"/>
  </si>
  <si>
    <t>每天占领获取</t>
    <phoneticPr fontId="1" type="noConversion"/>
  </si>
  <si>
    <t>每天占领时间</t>
    <phoneticPr fontId="1" type="noConversion"/>
  </si>
  <si>
    <t>每分奖励金币</t>
    <phoneticPr fontId="1" type="noConversion"/>
  </si>
  <si>
    <t>30分钟奖励</t>
    <phoneticPr fontId="1" type="noConversion"/>
  </si>
  <si>
    <t>24小时</t>
    <phoneticPr fontId="1" type="noConversion"/>
  </si>
  <si>
    <t>最大</t>
    <phoneticPr fontId="1" type="noConversion"/>
  </si>
  <si>
    <t>24小时最大</t>
    <phoneticPr fontId="1" type="noConversion"/>
  </si>
  <si>
    <t>bairenzhan</t>
  </si>
  <si>
    <t>金币副本2</t>
  </si>
  <si>
    <t>金币副本3</t>
  </si>
  <si>
    <t>金币副本4</t>
  </si>
  <si>
    <t>金币副本5</t>
  </si>
  <si>
    <t>金币副本6</t>
  </si>
  <si>
    <t>材料副本2</t>
  </si>
  <si>
    <t>材料副本3</t>
  </si>
  <si>
    <t>材料副本4</t>
  </si>
  <si>
    <t>材料副本5</t>
  </si>
  <si>
    <t>材料副本6</t>
  </si>
  <si>
    <t>命运副本2</t>
  </si>
  <si>
    <t>命运副本3</t>
  </si>
  <si>
    <t>命运副本4</t>
  </si>
  <si>
    <t>命运副本5</t>
  </si>
  <si>
    <t>命运副本6</t>
  </si>
  <si>
    <t>经验副本2</t>
  </si>
  <si>
    <t>经验副本3</t>
  </si>
  <si>
    <t>经验副本4</t>
  </si>
  <si>
    <t>经验副本5</t>
  </si>
  <si>
    <t>经验副本6</t>
  </si>
  <si>
    <t>练功房</t>
    <phoneticPr fontId="1" type="noConversion"/>
  </si>
  <si>
    <t>练功房</t>
    <phoneticPr fontId="1" type="noConversion"/>
  </si>
  <si>
    <t>LGF</t>
    <phoneticPr fontId="1" type="noConversion"/>
  </si>
  <si>
    <t>liangongfang</t>
    <phoneticPr fontId="1" type="noConversion"/>
  </si>
  <si>
    <t>狂龙出海</t>
    <phoneticPr fontId="1" type="noConversion"/>
  </si>
  <si>
    <t>恶虎下山</t>
    <phoneticPr fontId="1" type="noConversion"/>
  </si>
  <si>
    <t>兵临城下</t>
    <phoneticPr fontId="1" type="noConversion"/>
  </si>
  <si>
    <t>死性不改</t>
    <phoneticPr fontId="1" type="noConversion"/>
  </si>
  <si>
    <t>阴魂不散</t>
    <phoneticPr fontId="1" type="noConversion"/>
  </si>
  <si>
    <t>意外强敌</t>
    <phoneticPr fontId="1" type="noConversion"/>
  </si>
  <si>
    <t>复仇之战</t>
    <phoneticPr fontId="1" type="noConversion"/>
  </si>
  <si>
    <t>劲敌出现</t>
    <phoneticPr fontId="1" type="noConversion"/>
  </si>
  <si>
    <t>练功房</t>
    <phoneticPr fontId="1" type="noConversion"/>
  </si>
  <si>
    <t>决战太乙</t>
    <phoneticPr fontId="1" type="noConversion"/>
  </si>
  <si>
    <t>正面交锋</t>
    <phoneticPr fontId="1" type="noConversion"/>
  </si>
  <si>
    <t>愈战愈勇</t>
    <phoneticPr fontId="1" type="noConversion"/>
  </si>
  <si>
    <t>FB6-7</t>
    <phoneticPr fontId="1" type="noConversion"/>
  </si>
  <si>
    <t>FB6-8</t>
    <phoneticPr fontId="1" type="noConversion"/>
  </si>
  <si>
    <t>FB6-9</t>
    <phoneticPr fontId="1" type="noConversion"/>
  </si>
  <si>
    <t>FB7-7</t>
    <phoneticPr fontId="1" type="noConversion"/>
  </si>
  <si>
    <t>FB7-8</t>
    <phoneticPr fontId="1" type="noConversion"/>
  </si>
  <si>
    <t>FB7-9</t>
    <phoneticPr fontId="1" type="noConversion"/>
  </si>
  <si>
    <t>FB8-7</t>
    <phoneticPr fontId="1" type="noConversion"/>
  </si>
  <si>
    <t>FB8-8</t>
    <phoneticPr fontId="1" type="noConversion"/>
  </si>
  <si>
    <t>FB8-9</t>
    <phoneticPr fontId="1" type="noConversion"/>
  </si>
  <si>
    <t>MYFB1-2</t>
    <phoneticPr fontId="1" type="noConversion"/>
  </si>
  <si>
    <t>MYFB1-3</t>
    <phoneticPr fontId="1" type="noConversion"/>
  </si>
  <si>
    <t>MYFB1-4</t>
    <phoneticPr fontId="1" type="noConversion"/>
  </si>
  <si>
    <t>MYFB1-5</t>
    <phoneticPr fontId="1" type="noConversion"/>
  </si>
  <si>
    <t>MYFB1-6</t>
    <phoneticPr fontId="1" type="noConversion"/>
  </si>
  <si>
    <t>MZFB2-2</t>
    <phoneticPr fontId="1" type="noConversion"/>
  </si>
  <si>
    <t>MZFB2-3</t>
    <phoneticPr fontId="1" type="noConversion"/>
  </si>
  <si>
    <t>MZFB2-4</t>
    <phoneticPr fontId="1" type="noConversion"/>
  </si>
  <si>
    <t>MZFB2-5</t>
    <phoneticPr fontId="1" type="noConversion"/>
  </si>
  <si>
    <t>MZFB2-6</t>
    <phoneticPr fontId="1" type="noConversion"/>
  </si>
  <si>
    <t>MZFB2-1</t>
    <phoneticPr fontId="1" type="noConversion"/>
  </si>
  <si>
    <t>MZFB1-1</t>
    <phoneticPr fontId="1" type="noConversion"/>
  </si>
  <si>
    <t>MZFB1-2</t>
  </si>
  <si>
    <t>MZFB1-3</t>
  </si>
  <si>
    <t>MZFB1-4</t>
  </si>
  <si>
    <t>MZFB1-5</t>
  </si>
  <si>
    <t>MZFB1-6</t>
  </si>
  <si>
    <t>MYFB1-1</t>
    <phoneticPr fontId="1" type="noConversion"/>
  </si>
  <si>
    <t>MYFB1-1</t>
    <phoneticPr fontId="1" type="noConversion"/>
  </si>
  <si>
    <t>MYFB1-2</t>
  </si>
  <si>
    <t>MYFB1-3</t>
  </si>
  <si>
    <t>MYFB1-4</t>
  </si>
  <si>
    <t>MYFB1-5</t>
  </si>
  <si>
    <t>MYFB1-6</t>
  </si>
  <si>
    <t>普通关卡</t>
  </si>
  <si>
    <t>精英关卡</t>
  </si>
  <si>
    <t>活动副本</t>
  </si>
  <si>
    <t>竞技场</t>
  </si>
  <si>
    <t>英雄之路</t>
  </si>
  <si>
    <t>练功房</t>
  </si>
  <si>
    <t>怪物等级</t>
    <phoneticPr fontId="1" type="noConversion"/>
  </si>
  <si>
    <t>怪物类型</t>
    <phoneticPr fontId="1" type="noConversion"/>
  </si>
  <si>
    <t>一条代表血量</t>
    <phoneticPr fontId="1" type="noConversion"/>
  </si>
  <si>
    <t>怪物血量</t>
    <phoneticPr fontId="1" type="noConversion"/>
  </si>
  <si>
    <t>JYFB7-7</t>
    <phoneticPr fontId="1" type="noConversion"/>
  </si>
  <si>
    <t>JYFB7-8</t>
    <phoneticPr fontId="1" type="noConversion"/>
  </si>
  <si>
    <t>JYFB7-9</t>
    <phoneticPr fontId="1" type="noConversion"/>
  </si>
  <si>
    <t>JYFB6-6</t>
    <phoneticPr fontId="1" type="noConversion"/>
  </si>
  <si>
    <t>JYFB6-7</t>
    <phoneticPr fontId="1" type="noConversion"/>
  </si>
  <si>
    <t>JYFB6-8</t>
    <phoneticPr fontId="1" type="noConversion"/>
  </si>
  <si>
    <t>JYFB6-9</t>
    <phoneticPr fontId="1" type="noConversion"/>
  </si>
  <si>
    <t>JYFB8-7</t>
    <phoneticPr fontId="1" type="noConversion"/>
  </si>
  <si>
    <t>JYFB8-8</t>
    <phoneticPr fontId="1" type="noConversion"/>
  </si>
  <si>
    <t>JYFB8-9</t>
    <phoneticPr fontId="1" type="noConversion"/>
  </si>
  <si>
    <t>FB6-7</t>
    <phoneticPr fontId="1" type="noConversion"/>
  </si>
  <si>
    <t>FB6-8</t>
    <phoneticPr fontId="1" type="noConversion"/>
  </si>
  <si>
    <t>FB6-9</t>
    <phoneticPr fontId="1" type="noConversion"/>
  </si>
  <si>
    <t>FB7-7</t>
    <phoneticPr fontId="1" type="noConversion"/>
  </si>
  <si>
    <t>FB7-8</t>
    <phoneticPr fontId="1" type="noConversion"/>
  </si>
  <si>
    <t>FB7-9</t>
    <phoneticPr fontId="1" type="noConversion"/>
  </si>
  <si>
    <t>FB8-7</t>
    <phoneticPr fontId="1" type="noConversion"/>
  </si>
  <si>
    <t>FB8-8</t>
    <phoneticPr fontId="1" type="noConversion"/>
  </si>
  <si>
    <t>FB8-9</t>
    <phoneticPr fontId="1" type="noConversion"/>
  </si>
  <si>
    <t>挑战Boss-雷复轰</t>
    <phoneticPr fontId="1" type="noConversion"/>
  </si>
  <si>
    <t>挑战Boss-乌鸦</t>
    <phoneticPr fontId="1" type="noConversion"/>
  </si>
  <si>
    <t>FB1_2.png</t>
  </si>
  <si>
    <t>FB1_4.png</t>
    <phoneticPr fontId="1" type="noConversion"/>
  </si>
  <si>
    <t>FB1_6.png</t>
  </si>
  <si>
    <t>FB4_1.png</t>
  </si>
  <si>
    <t>FB5_1.png</t>
  </si>
  <si>
    <t>FB6_4.png</t>
  </si>
  <si>
    <t>FB3_6.png</t>
  </si>
  <si>
    <t>Bairenzhan.png</t>
    <phoneticPr fontId="1" type="noConversion"/>
  </si>
  <si>
    <t>Jinbi.png</t>
    <phoneticPr fontId="1" type="noConversion"/>
  </si>
  <si>
    <t>挑战：靓坤！</t>
  </si>
  <si>
    <t>挑战：乌鸦！</t>
  </si>
  <si>
    <t>挑战：司徒浩南！</t>
  </si>
  <si>
    <t>挑战：赌王！</t>
  </si>
  <si>
    <t>挑战：雷复轰！</t>
  </si>
  <si>
    <t>挑战：杀手首领！</t>
  </si>
  <si>
    <t>city7</t>
    <phoneticPr fontId="1" type="noConversion"/>
  </si>
  <si>
    <t>city8</t>
    <phoneticPr fontId="1" type="noConversion"/>
  </si>
  <si>
    <t>精英巴闭</t>
  </si>
  <si>
    <t>精英大傻保镖</t>
  </si>
  <si>
    <t>精英偷车贼</t>
  </si>
  <si>
    <t>精英议员保镖</t>
  </si>
  <si>
    <t>精英张议员</t>
  </si>
  <si>
    <t>精英枪手</t>
  </si>
  <si>
    <t>精英大飞手下</t>
  </si>
  <si>
    <t>精英丁瑶护卫</t>
  </si>
  <si>
    <t>精英乌鸦手下</t>
  </si>
  <si>
    <t>精英笑面虎</t>
  </si>
  <si>
    <t>精英东星杀手</t>
  </si>
  <si>
    <t>精英袭击者</t>
  </si>
  <si>
    <t>精英生番手下</t>
  </si>
  <si>
    <t>精英混混头目</t>
  </si>
  <si>
    <t>精英生番</t>
  </si>
  <si>
    <t>精英耀阳</t>
  </si>
  <si>
    <t>精英司徒手下</t>
  </si>
  <si>
    <t>精英破坏分子</t>
  </si>
  <si>
    <t>精英地痞头目</t>
  </si>
  <si>
    <t>精英长毛</t>
  </si>
  <si>
    <t>精英阿勇</t>
  </si>
  <si>
    <t>精英鬼冢</t>
  </si>
  <si>
    <t>精英陈浩南</t>
  </si>
  <si>
    <t>精英毒牙</t>
  </si>
  <si>
    <t>精英织田</t>
  </si>
  <si>
    <t>精英太乙部下</t>
  </si>
  <si>
    <t>精英白虎堂</t>
  </si>
  <si>
    <t>精英玄武堂</t>
  </si>
  <si>
    <t>精英朱雀堂</t>
  </si>
  <si>
    <t>精英青龙堂</t>
  </si>
  <si>
    <t>精英傲虎</t>
  </si>
  <si>
    <t>精英狂龙</t>
  </si>
  <si>
    <t>精英山崎</t>
  </si>
  <si>
    <t>精英复仇靓坤</t>
  </si>
  <si>
    <t>精英复仇乌鸦</t>
  </si>
  <si>
    <t>精英复仇司徒</t>
  </si>
  <si>
    <t>精英赌王</t>
  </si>
  <si>
    <t>精英地中海</t>
  </si>
  <si>
    <t>精英雷复轰</t>
  </si>
  <si>
    <t>金币副本1</t>
    <phoneticPr fontId="1" type="noConversion"/>
  </si>
  <si>
    <t>材料副本1</t>
    <phoneticPr fontId="1" type="noConversion"/>
  </si>
  <si>
    <t>命运副本1</t>
    <phoneticPr fontId="1" type="noConversion"/>
  </si>
  <si>
    <t>经验副本1</t>
    <phoneticPr fontId="1" type="noConversion"/>
  </si>
  <si>
    <t>遭遇埋伏</t>
    <phoneticPr fontId="1" type="noConversion"/>
  </si>
  <si>
    <t>秘密任务</t>
    <phoneticPr fontId="1" type="noConversion"/>
  </si>
  <si>
    <t>逃出生天</t>
    <phoneticPr fontId="1" type="noConversion"/>
  </si>
  <si>
    <t>B哥遇害</t>
    <phoneticPr fontId="1" type="noConversion"/>
  </si>
  <si>
    <t>同仇敌忾</t>
    <phoneticPr fontId="1" type="noConversion"/>
  </si>
  <si>
    <t>争夺扛把子</t>
    <phoneticPr fontId="1" type="noConversion"/>
  </si>
  <si>
    <t>约战大飞</t>
    <phoneticPr fontId="1" type="noConversion"/>
  </si>
  <si>
    <t>缓和契机</t>
    <phoneticPr fontId="1" type="noConversion"/>
  </si>
  <si>
    <t>落入陷阱</t>
    <phoneticPr fontId="1" type="noConversion"/>
  </si>
  <si>
    <t>突出重围</t>
    <phoneticPr fontId="1" type="noConversion"/>
  </si>
  <si>
    <t>遭遇诬陷</t>
    <phoneticPr fontId="1" type="noConversion"/>
  </si>
  <si>
    <t>掩护浩南</t>
    <phoneticPr fontId="1" type="noConversion"/>
  </si>
  <si>
    <t>获取弹药</t>
    <phoneticPr fontId="1" type="noConversion"/>
  </si>
  <si>
    <t>小结巴之死</t>
    <phoneticPr fontId="1" type="noConversion"/>
  </si>
  <si>
    <t>复仇之路</t>
    <phoneticPr fontId="1" type="noConversion"/>
  </si>
  <si>
    <t>地盘纷争</t>
    <phoneticPr fontId="1" type="noConversion"/>
  </si>
  <si>
    <t>营救大天二</t>
    <phoneticPr fontId="1" type="noConversion"/>
  </si>
  <si>
    <t>调虎离山</t>
    <phoneticPr fontId="1" type="noConversion"/>
  </si>
  <si>
    <t>痛失战友</t>
    <phoneticPr fontId="1" type="noConversion"/>
  </si>
  <si>
    <t>追击真凶</t>
    <phoneticPr fontId="1" type="noConversion"/>
  </si>
  <si>
    <t>冲突升级</t>
    <phoneticPr fontId="1" type="noConversion"/>
  </si>
  <si>
    <t>缉拿长毛</t>
    <phoneticPr fontId="1" type="noConversion"/>
  </si>
  <si>
    <t>备战拳赛</t>
    <phoneticPr fontId="1" type="noConversion"/>
  </si>
  <si>
    <t>金牌打手</t>
    <phoneticPr fontId="1" type="noConversion"/>
  </si>
  <si>
    <t>螳臂当车</t>
    <phoneticPr fontId="1" type="noConversion"/>
  </si>
  <si>
    <t>FB1-7</t>
  </si>
  <si>
    <t>FB1-8</t>
  </si>
  <si>
    <t>FB1-9</t>
  </si>
  <si>
    <t>FB2-7</t>
  </si>
  <si>
    <t>FB2-8</t>
  </si>
  <si>
    <t>FB2-9</t>
  </si>
  <si>
    <t>FB3-7</t>
  </si>
  <si>
    <t>FB3-8</t>
  </si>
  <si>
    <t>FB3-9</t>
  </si>
  <si>
    <t>FB4-7</t>
  </si>
  <si>
    <t>FB4-8</t>
  </si>
  <si>
    <t>FB4-9</t>
  </si>
  <si>
    <t>FB5-7</t>
  </si>
  <si>
    <t>FB5-8</t>
  </si>
  <si>
    <t>FB5-9</t>
  </si>
  <si>
    <t>JYFB1-7</t>
  </si>
  <si>
    <t>JYFB1-8</t>
  </si>
  <si>
    <t>JYFB1-9</t>
  </si>
  <si>
    <t>JYFB2-7</t>
  </si>
  <si>
    <t>JYFB2-8</t>
  </si>
  <si>
    <t>JYFB2-9</t>
  </si>
  <si>
    <t>JYFB3-7</t>
  </si>
  <si>
    <t>JYFB3-8</t>
  </si>
  <si>
    <t>JYFB3-9</t>
  </si>
  <si>
    <t>JYFB4-7</t>
  </si>
  <si>
    <t>JYFB4-8</t>
  </si>
  <si>
    <t>JYFB4-9</t>
  </si>
  <si>
    <t>JYFB5-7</t>
  </si>
  <si>
    <t>JYFB5-8</t>
  </si>
  <si>
    <t>JYFB5-9</t>
  </si>
  <si>
    <t>精英丧彪手下</t>
    <phoneticPr fontId="1" type="noConversion"/>
  </si>
  <si>
    <t>精英丧彪</t>
    <phoneticPr fontId="1" type="noConversion"/>
  </si>
  <si>
    <t>精英拦截者</t>
    <phoneticPr fontId="1" type="noConversion"/>
  </si>
  <si>
    <t>精英靓坤手下</t>
    <phoneticPr fontId="1" type="noConversion"/>
  </si>
  <si>
    <t>精英阿强</t>
    <phoneticPr fontId="1" type="noConversion"/>
  </si>
  <si>
    <t>精英大飞弟子</t>
    <phoneticPr fontId="1" type="noConversion"/>
  </si>
  <si>
    <t>精英追踪者</t>
    <phoneticPr fontId="1" type="noConversion"/>
  </si>
  <si>
    <t>精英雷公保镖</t>
    <phoneticPr fontId="1" type="noConversion"/>
  </si>
  <si>
    <t>精英赌场警卫</t>
    <phoneticPr fontId="1" type="noConversion"/>
  </si>
  <si>
    <t>精英赏金猎手</t>
    <phoneticPr fontId="1" type="noConversion"/>
  </si>
  <si>
    <t>精英追杀者</t>
    <phoneticPr fontId="1" type="noConversion"/>
  </si>
  <si>
    <t>精英弹药守卫</t>
    <phoneticPr fontId="1" type="noConversion"/>
  </si>
  <si>
    <t>精英人质看守</t>
    <phoneticPr fontId="1" type="noConversion"/>
  </si>
  <si>
    <t>精英乌鸦心腹</t>
    <phoneticPr fontId="1" type="noConversion"/>
  </si>
  <si>
    <t>精英黑星</t>
    <phoneticPr fontId="1" type="noConversion"/>
  </si>
  <si>
    <t>精英生番</t>
    <phoneticPr fontId="1" type="noConversion"/>
  </si>
  <si>
    <t>精英毒贩头目</t>
    <phoneticPr fontId="1" type="noConversion"/>
  </si>
  <si>
    <t>精英耀阳手下</t>
    <phoneticPr fontId="1" type="noConversion"/>
  </si>
  <si>
    <t>精英东星拳师</t>
    <phoneticPr fontId="1" type="noConversion"/>
  </si>
  <si>
    <t>精英外籍打手</t>
    <phoneticPr fontId="1" type="noConversion"/>
  </si>
  <si>
    <t>精英大头仔</t>
    <phoneticPr fontId="1" type="noConversion"/>
  </si>
  <si>
    <t>精英非法裁判</t>
    <phoneticPr fontId="1" type="noConversion"/>
  </si>
  <si>
    <t>XS_FB01</t>
    <phoneticPr fontId="1" type="noConversion"/>
  </si>
  <si>
    <t>组队副本</t>
    <phoneticPr fontId="1" type="noConversion"/>
  </si>
  <si>
    <t>组队副本</t>
    <phoneticPr fontId="1" type="noConversion"/>
  </si>
  <si>
    <t>挑战Boss-宫本一</t>
    <phoneticPr fontId="1" type="noConversion"/>
  </si>
  <si>
    <t>挑战Boss-笑面虎</t>
    <phoneticPr fontId="1" type="noConversion"/>
  </si>
  <si>
    <t>挑战Boss-陈浩南</t>
    <phoneticPr fontId="1" type="noConversion"/>
  </si>
  <si>
    <t>挑战Boss-山鸡</t>
    <phoneticPr fontId="1" type="noConversion"/>
  </si>
  <si>
    <t>挑战Boss-大天二</t>
    <phoneticPr fontId="1" type="noConversion"/>
  </si>
  <si>
    <t>拥有马仔</t>
    <phoneticPr fontId="1" type="noConversion"/>
  </si>
  <si>
    <t>BOSS-6</t>
    <phoneticPr fontId="1" type="noConversion"/>
  </si>
  <si>
    <t>组合条件</t>
    <phoneticPr fontId="1" type="noConversion"/>
  </si>
  <si>
    <t>组合条件</t>
  </si>
  <si>
    <t>组合条件</t>
    <phoneticPr fontId="1" type="noConversion"/>
  </si>
  <si>
    <t>and</t>
    <phoneticPr fontId="1" type="noConversion"/>
  </si>
  <si>
    <t>or</t>
    <phoneticPr fontId="1" type="noConversion"/>
  </si>
  <si>
    <t>挑战Boss-巴闭</t>
    <phoneticPr fontId="1" type="noConversion"/>
  </si>
  <si>
    <t>可获得马仔碎片(亚芝)</t>
    <phoneticPr fontId="1" type="noConversion"/>
  </si>
  <si>
    <t>可获得马仔碎片(比利)</t>
    <phoneticPr fontId="1" type="noConversion"/>
  </si>
  <si>
    <t>可获得马仔碎片(靓坤)</t>
    <phoneticPr fontId="1" type="noConversion"/>
  </si>
  <si>
    <t>较高几率获得灵魂石(雷复轰)</t>
    <phoneticPr fontId="1" type="noConversion"/>
  </si>
  <si>
    <t>较高几率获得灵魂石(肥仔)</t>
    <phoneticPr fontId="1" type="noConversion"/>
  </si>
  <si>
    <t>较高几率获得灵魂石(巴闭)</t>
    <phoneticPr fontId="1" type="noConversion"/>
  </si>
  <si>
    <t>可获得灵魂石(赌王)</t>
    <phoneticPr fontId="1" type="noConversion"/>
  </si>
  <si>
    <t>可获得灵魂石(乌鸦)</t>
    <phoneticPr fontId="1" type="noConversion"/>
  </si>
  <si>
    <t>可获得灵魂石(山下忠秀)</t>
    <phoneticPr fontId="1" type="noConversion"/>
  </si>
  <si>
    <t>较高几率获得灵魂石(宫本一)</t>
    <phoneticPr fontId="1" type="noConversion"/>
  </si>
  <si>
    <t>较高几率获得灵魂石(笑面虎)</t>
    <phoneticPr fontId="1" type="noConversion"/>
  </si>
  <si>
    <t>较高几率获得灵魂石(陈浩南)</t>
    <phoneticPr fontId="1" type="noConversion"/>
  </si>
  <si>
    <t>可获得灵魂石(山鸡)</t>
    <phoneticPr fontId="1" type="noConversion"/>
  </si>
  <si>
    <t>可获得灵魂石(大天二)</t>
    <phoneticPr fontId="1" type="noConversion"/>
  </si>
  <si>
    <t>挑战Boss-制服太妹</t>
    <phoneticPr fontId="1" type="noConversion"/>
  </si>
  <si>
    <t>参考</t>
    <phoneticPr fontId="1" type="noConversion"/>
  </si>
  <si>
    <t>组队副本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</si>
</sst>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宋体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2" xfId="0" applyFont="1" applyBorder="1" applyAlignment="1"/>
    <xf numFmtId="0" fontId="0" fillId="3" borderId="3" xfId="0" applyFill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0" fillId="3" borderId="4" xfId="0" applyFill="1" applyBorder="1" applyAlignment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0" fillId="6" borderId="0" xfId="0" applyFill="1"/>
    <xf numFmtId="0" fontId="0" fillId="6" borderId="1" xfId="0" applyFill="1" applyBorder="1"/>
    <xf numFmtId="0" fontId="0" fillId="6" borderId="3" xfId="0" applyFill="1" applyBorder="1" applyAlignment="1">
      <alignment horizontal="center" vertical="center"/>
    </xf>
    <xf numFmtId="0" fontId="0" fillId="7" borderId="1" xfId="0" applyFill="1" applyBorder="1"/>
    <xf numFmtId="0" fontId="0" fillId="0" borderId="1" xfId="0" applyNumberFormat="1" applyBorder="1"/>
    <xf numFmtId="0" fontId="0" fillId="0" borderId="0" xfId="0" applyAlignment="1">
      <alignment horizontal="right"/>
    </xf>
    <xf numFmtId="0" fontId="0" fillId="8" borderId="1" xfId="0" applyFill="1" applyBorder="1"/>
    <xf numFmtId="0" fontId="0" fillId="8" borderId="1" xfId="0" applyFill="1" applyBorder="1" applyAlignment="1">
      <alignment horizontal="right"/>
    </xf>
    <xf numFmtId="0" fontId="0" fillId="9" borderId="1" xfId="0" applyFill="1" applyBorder="1"/>
    <xf numFmtId="0" fontId="0" fillId="9" borderId="1" xfId="0" applyFill="1" applyBorder="1" applyAlignment="1">
      <alignment horizontal="right"/>
    </xf>
    <xf numFmtId="0" fontId="0" fillId="5" borderId="4" xfId="0" applyFill="1" applyBorder="1"/>
    <xf numFmtId="0" fontId="0" fillId="0" borderId="4" xfId="0" applyFill="1" applyBorder="1"/>
    <xf numFmtId="0" fontId="0" fillId="0" borderId="0" xfId="0" applyFill="1" applyBorder="1"/>
    <xf numFmtId="176" fontId="0" fillId="0" borderId="0" xfId="0" applyNumberFormat="1"/>
    <xf numFmtId="0" fontId="0" fillId="5" borderId="0" xfId="0" applyFill="1"/>
    <xf numFmtId="176" fontId="0" fillId="5" borderId="0" xfId="0" applyNumberFormat="1" applyFill="1"/>
    <xf numFmtId="0" fontId="4" fillId="3" borderId="1" xfId="0" applyNumberFormat="1" applyFont="1" applyFill="1" applyBorder="1"/>
    <xf numFmtId="0" fontId="4" fillId="3" borderId="1" xfId="0" applyFont="1" applyFill="1" applyBorder="1"/>
    <xf numFmtId="0" fontId="0" fillId="10" borderId="0" xfId="0" applyFill="1"/>
  </cellXfs>
  <cellStyles count="1">
    <cellStyle name="常规" xfId="0" builtinId="0"/>
  </cellStyles>
  <dxfs count="219"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481;&#33853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8216;&#25103;&#37197;&#32622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219;&#211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普通掉落表"/>
      <sheetName val="D_特殊掉落表"/>
      <sheetName val="说明"/>
      <sheetName val="D_奖励表"/>
      <sheetName val="特殊掉落辅助表"/>
      <sheetName val="引用表合并"/>
      <sheetName val="命格引用"/>
      <sheetName val="道具引用"/>
      <sheetName val="装备引用"/>
      <sheetName val="马仔宝物引用"/>
      <sheetName val="马仔引用"/>
      <sheetName val="称号引用"/>
    </sheetNames>
    <sheetDataSet>
      <sheetData sheetId="0" refreshError="1"/>
      <sheetData sheetId="1" refreshError="1"/>
      <sheetData sheetId="2" refreshError="1"/>
      <sheetData sheetId="3">
        <row r="75">
          <cell r="A75">
            <v>501201</v>
          </cell>
        </row>
      </sheetData>
      <sheetData sheetId="4" refreshError="1"/>
      <sheetData sheetId="5">
        <row r="1">
          <cell r="A1" t="str">
            <v>ID</v>
          </cell>
          <cell r="B1" t="str">
            <v>名称</v>
          </cell>
        </row>
        <row r="2">
          <cell r="A2">
            <v>91001</v>
          </cell>
          <cell r="B2" t="str">
            <v>马仔经验药水</v>
          </cell>
        </row>
        <row r="3">
          <cell r="A3">
            <v>81002</v>
          </cell>
          <cell r="B3" t="str">
            <v>金币卡</v>
          </cell>
        </row>
        <row r="4">
          <cell r="A4">
            <v>81003</v>
          </cell>
          <cell r="B4" t="str">
            <v>VIP礼包</v>
          </cell>
        </row>
        <row r="5">
          <cell r="A5">
            <v>81010</v>
          </cell>
          <cell r="B5" t="str">
            <v>VIP体验卡</v>
          </cell>
        </row>
        <row r="6">
          <cell r="A6">
            <v>82001</v>
          </cell>
          <cell r="B6" t="str">
            <v>翅膀碎片</v>
          </cell>
        </row>
        <row r="7">
          <cell r="A7">
            <v>83001</v>
          </cell>
          <cell r="B7" t="str">
            <v>巨额金币卡</v>
          </cell>
        </row>
        <row r="8">
          <cell r="A8">
            <v>83002</v>
          </cell>
          <cell r="B8" t="str">
            <v>扫荡券</v>
          </cell>
        </row>
        <row r="9">
          <cell r="A9">
            <v>83003</v>
          </cell>
          <cell r="B9" t="str">
            <v>洪兴新星</v>
          </cell>
        </row>
        <row r="10">
          <cell r="A10">
            <v>83004</v>
          </cell>
          <cell r="B10" t="str">
            <v>洪兴打仔</v>
          </cell>
        </row>
        <row r="11">
          <cell r="A11">
            <v>83005</v>
          </cell>
          <cell r="B11" t="str">
            <v>扛把子</v>
          </cell>
        </row>
        <row r="12">
          <cell r="A12">
            <v>83006</v>
          </cell>
          <cell r="B12" t="str">
            <v>二路元帅</v>
          </cell>
        </row>
        <row r="13">
          <cell r="A13">
            <v>83007</v>
          </cell>
          <cell r="B13" t="str">
            <v>战无不胜</v>
          </cell>
        </row>
        <row r="14">
          <cell r="A14">
            <v>83008</v>
          </cell>
          <cell r="B14" t="str">
            <v>猛龙过江</v>
          </cell>
        </row>
        <row r="15">
          <cell r="A15">
            <v>83009</v>
          </cell>
          <cell r="B15" t="str">
            <v>神之手</v>
          </cell>
        </row>
        <row r="16">
          <cell r="A16">
            <v>83010</v>
          </cell>
          <cell r="B16" t="str">
            <v>富甲一方</v>
          </cell>
        </row>
        <row r="17">
          <cell r="A17">
            <v>83011</v>
          </cell>
          <cell r="B17" t="str">
            <v>壕气冲天</v>
          </cell>
        </row>
        <row r="18">
          <cell r="A18">
            <v>83012</v>
          </cell>
          <cell r="B18" t="str">
            <v>富可敌国</v>
          </cell>
        </row>
        <row r="19">
          <cell r="A19">
            <v>83013</v>
          </cell>
          <cell r="B19" t="str">
            <v>壕气冲天</v>
          </cell>
        </row>
        <row r="20">
          <cell r="A20">
            <v>83014</v>
          </cell>
          <cell r="B20" t="str">
            <v>富可敌国</v>
          </cell>
        </row>
        <row r="21">
          <cell r="A21">
            <v>83015</v>
          </cell>
          <cell r="B21" t="str">
            <v>战斗狂人</v>
          </cell>
        </row>
        <row r="22">
          <cell r="A22">
            <v>83016</v>
          </cell>
          <cell r="B22" t="str">
            <v>不哭死神</v>
          </cell>
        </row>
        <row r="23">
          <cell r="A23">
            <v>83017</v>
          </cell>
          <cell r="B23" t="str">
            <v>干架王</v>
          </cell>
        </row>
        <row r="24">
          <cell r="A24">
            <v>83018</v>
          </cell>
          <cell r="B24" t="str">
            <v>破坏王</v>
          </cell>
        </row>
        <row r="25">
          <cell r="A25">
            <v>83019</v>
          </cell>
          <cell r="B25" t="str">
            <v>战无尽</v>
          </cell>
        </row>
        <row r="26">
          <cell r="A26">
            <v>83020</v>
          </cell>
          <cell r="B26" t="str">
            <v>绝世战神</v>
          </cell>
        </row>
        <row r="27">
          <cell r="A27">
            <v>83021</v>
          </cell>
          <cell r="B27" t="str">
            <v>至尊王者</v>
          </cell>
        </row>
        <row r="28">
          <cell r="A28">
            <v>83022</v>
          </cell>
          <cell r="B28" t="str">
            <v>横砍一条街</v>
          </cell>
        </row>
        <row r="29">
          <cell r="A29">
            <v>83023</v>
          </cell>
          <cell r="B29" t="str">
            <v>洪兴小财主</v>
          </cell>
        </row>
        <row r="30">
          <cell r="A30">
            <v>83103</v>
          </cell>
          <cell r="B30" t="str">
            <v>洪兴新星(3天)</v>
          </cell>
        </row>
        <row r="31">
          <cell r="A31">
            <v>83104</v>
          </cell>
          <cell r="B31" t="str">
            <v>洪兴打仔(3天)</v>
          </cell>
        </row>
        <row r="32">
          <cell r="A32">
            <v>83105</v>
          </cell>
          <cell r="B32" t="str">
            <v>扛把子(3天)</v>
          </cell>
        </row>
        <row r="33">
          <cell r="A33">
            <v>83106</v>
          </cell>
          <cell r="B33" t="str">
            <v>二路元帅(3天)</v>
          </cell>
        </row>
        <row r="34">
          <cell r="A34">
            <v>83107</v>
          </cell>
          <cell r="B34" t="str">
            <v>战无不胜(3天)</v>
          </cell>
        </row>
        <row r="35">
          <cell r="A35">
            <v>83108</v>
          </cell>
          <cell r="B35" t="str">
            <v>猛龙过江(3天)</v>
          </cell>
        </row>
        <row r="36">
          <cell r="A36">
            <v>83109</v>
          </cell>
          <cell r="B36" t="str">
            <v>神之手(3天)</v>
          </cell>
        </row>
        <row r="37">
          <cell r="A37">
            <v>83110</v>
          </cell>
          <cell r="B37" t="str">
            <v>富甲一方(3天)</v>
          </cell>
        </row>
        <row r="38">
          <cell r="A38">
            <v>83111</v>
          </cell>
          <cell r="B38" t="str">
            <v>壕气冲天(3天)</v>
          </cell>
        </row>
        <row r="39">
          <cell r="A39">
            <v>83112</v>
          </cell>
          <cell r="B39" t="str">
            <v>富可敌国(3天)</v>
          </cell>
        </row>
        <row r="40">
          <cell r="A40">
            <v>83113</v>
          </cell>
          <cell r="B40" t="str">
            <v>壕气冲天(3天)</v>
          </cell>
        </row>
        <row r="41">
          <cell r="A41">
            <v>83114</v>
          </cell>
          <cell r="B41" t="str">
            <v>富可敌国(3天)</v>
          </cell>
        </row>
        <row r="42">
          <cell r="A42">
            <v>83115</v>
          </cell>
          <cell r="B42" t="str">
            <v>战斗狂人(3天)</v>
          </cell>
        </row>
        <row r="43">
          <cell r="A43">
            <v>83116</v>
          </cell>
          <cell r="B43" t="str">
            <v>不哭死神(3天)</v>
          </cell>
        </row>
        <row r="44">
          <cell r="A44">
            <v>83117</v>
          </cell>
          <cell r="B44" t="str">
            <v>干架王(3天)</v>
          </cell>
        </row>
        <row r="45">
          <cell r="A45">
            <v>83118</v>
          </cell>
          <cell r="B45" t="str">
            <v>破坏王(3天)</v>
          </cell>
        </row>
        <row r="46">
          <cell r="A46">
            <v>83119</v>
          </cell>
          <cell r="B46" t="str">
            <v>战无尽(3天)</v>
          </cell>
        </row>
        <row r="47">
          <cell r="A47">
            <v>83120</v>
          </cell>
          <cell r="B47" t="str">
            <v>绝世战神(3天)</v>
          </cell>
        </row>
        <row r="48">
          <cell r="A48">
            <v>83121</v>
          </cell>
          <cell r="B48" t="str">
            <v>至尊王者(3天)</v>
          </cell>
        </row>
        <row r="49">
          <cell r="A49">
            <v>83122</v>
          </cell>
          <cell r="B49" t="str">
            <v>横砍一条街(3天)</v>
          </cell>
        </row>
        <row r="50">
          <cell r="A50">
            <v>78101</v>
          </cell>
          <cell r="B50" t="str">
            <v>马仔碎片(制服太妹)</v>
          </cell>
        </row>
        <row r="51">
          <cell r="A51">
            <v>78102</v>
          </cell>
          <cell r="B51" t="str">
            <v>马仔碎片(蟹仔)</v>
          </cell>
        </row>
        <row r="52">
          <cell r="A52">
            <v>78103</v>
          </cell>
          <cell r="B52" t="str">
            <v>马仔碎片(比利)</v>
          </cell>
        </row>
        <row r="53">
          <cell r="A53">
            <v>78104</v>
          </cell>
          <cell r="B53" t="str">
            <v>马仔碎片(黎九)</v>
          </cell>
        </row>
        <row r="54">
          <cell r="A54">
            <v>78105</v>
          </cell>
          <cell r="B54" t="str">
            <v>马仔碎片(黑古)</v>
          </cell>
        </row>
        <row r="55">
          <cell r="A55">
            <v>78106</v>
          </cell>
          <cell r="B55" t="str">
            <v>马仔碎片(靓坤)</v>
          </cell>
        </row>
        <row r="56">
          <cell r="A56">
            <v>78107</v>
          </cell>
          <cell r="B56" t="str">
            <v>马仔碎片(雷复轰)</v>
          </cell>
        </row>
        <row r="57">
          <cell r="A57">
            <v>78108</v>
          </cell>
          <cell r="B57" t="str">
            <v>马仔碎片(肥仔)</v>
          </cell>
        </row>
        <row r="58">
          <cell r="A58">
            <v>78109</v>
          </cell>
          <cell r="B58" t="str">
            <v>马仔碎片(司徒浩南)</v>
          </cell>
        </row>
        <row r="59">
          <cell r="A59">
            <v>78110</v>
          </cell>
          <cell r="B59" t="str">
            <v>马仔碎片(乌鸦)</v>
          </cell>
        </row>
        <row r="60">
          <cell r="A60">
            <v>78111</v>
          </cell>
          <cell r="B60" t="str">
            <v>马仔碎片(赌王)</v>
          </cell>
        </row>
        <row r="61">
          <cell r="A61">
            <v>78112</v>
          </cell>
          <cell r="B61" t="str">
            <v>马仔碎片(山下忠秀)</v>
          </cell>
        </row>
        <row r="62">
          <cell r="A62">
            <v>78113</v>
          </cell>
          <cell r="B62" t="str">
            <v>马仔碎片(宫本一)</v>
          </cell>
        </row>
        <row r="63">
          <cell r="A63">
            <v>78114</v>
          </cell>
          <cell r="B63" t="str">
            <v>马仔碎片(陈浩南)</v>
          </cell>
        </row>
        <row r="64">
          <cell r="A64">
            <v>78115</v>
          </cell>
          <cell r="B64" t="str">
            <v>马仔碎片(山鸡)</v>
          </cell>
        </row>
        <row r="65">
          <cell r="A65">
            <v>78116</v>
          </cell>
          <cell r="B65" t="str">
            <v>马仔碎片(大天二)</v>
          </cell>
        </row>
        <row r="66">
          <cell r="A66">
            <v>78117</v>
          </cell>
          <cell r="B66" t="str">
            <v>马仔碎片(巴闭)</v>
          </cell>
        </row>
        <row r="67">
          <cell r="A67">
            <v>78118</v>
          </cell>
          <cell r="B67" t="str">
            <v>马仔碎片(耀阳)</v>
          </cell>
        </row>
        <row r="68">
          <cell r="A68">
            <v>78119</v>
          </cell>
          <cell r="B68" t="str">
            <v>马仔碎片(笑面虎)</v>
          </cell>
        </row>
        <row r="69">
          <cell r="A69">
            <v>70001</v>
          </cell>
          <cell r="B69" t="str">
            <v>低级强化石</v>
          </cell>
        </row>
        <row r="70">
          <cell r="A70">
            <v>70002</v>
          </cell>
          <cell r="B70" t="str">
            <v>中级强化石</v>
          </cell>
        </row>
        <row r="71">
          <cell r="A71">
            <v>70003</v>
          </cell>
          <cell r="B71" t="str">
            <v>高级强化石</v>
          </cell>
        </row>
        <row r="72">
          <cell r="A72">
            <v>70101</v>
          </cell>
          <cell r="B72" t="str">
            <v>初级升星石</v>
          </cell>
        </row>
        <row r="73">
          <cell r="A73">
            <v>70201</v>
          </cell>
          <cell r="B73" t="str">
            <v>中级升星石</v>
          </cell>
        </row>
        <row r="74">
          <cell r="A74">
            <v>70301</v>
          </cell>
          <cell r="B74" t="str">
            <v>高级升星石</v>
          </cell>
        </row>
        <row r="75">
          <cell r="A75">
            <v>70401</v>
          </cell>
          <cell r="B75" t="str">
            <v>4阶升星石(不用）</v>
          </cell>
        </row>
        <row r="76">
          <cell r="A76">
            <v>70501</v>
          </cell>
          <cell r="B76" t="str">
            <v>5阶升星石（不用）</v>
          </cell>
        </row>
        <row r="77">
          <cell r="A77">
            <v>82100</v>
          </cell>
          <cell r="B77" t="str">
            <v>金币卡(1万)</v>
          </cell>
        </row>
        <row r="78">
          <cell r="A78">
            <v>82200</v>
          </cell>
          <cell r="B78" t="str">
            <v>金币卡(2万)</v>
          </cell>
        </row>
        <row r="79">
          <cell r="A79">
            <v>82300</v>
          </cell>
          <cell r="B79" t="str">
            <v>金币卡(5万)</v>
          </cell>
        </row>
        <row r="80">
          <cell r="A80">
            <v>91100</v>
          </cell>
          <cell r="B80" t="str">
            <v>马仔经验药水</v>
          </cell>
        </row>
        <row r="81">
          <cell r="A81">
            <v>91200</v>
          </cell>
          <cell r="B81" t="str">
            <v>马仔经验合剂</v>
          </cell>
        </row>
        <row r="82">
          <cell r="A82">
            <v>91300</v>
          </cell>
          <cell r="B82" t="str">
            <v>马仔经验甘露</v>
          </cell>
        </row>
        <row r="83">
          <cell r="A83">
            <v>87100</v>
          </cell>
          <cell r="B83" t="str">
            <v>钻石兑换卡(100)</v>
          </cell>
        </row>
        <row r="84">
          <cell r="A84">
            <v>87200</v>
          </cell>
          <cell r="B84" t="str">
            <v>钻石兑换卡(500)</v>
          </cell>
        </row>
        <row r="85">
          <cell r="A85">
            <v>87400</v>
          </cell>
          <cell r="B85" t="str">
            <v>钻石兑换卡(1000)</v>
          </cell>
        </row>
        <row r="86">
          <cell r="A86">
            <v>89100</v>
          </cell>
          <cell r="B86" t="str">
            <v>初级体力药水</v>
          </cell>
        </row>
        <row r="87">
          <cell r="A87">
            <v>89200</v>
          </cell>
          <cell r="B87" t="str">
            <v>中级体力药水</v>
          </cell>
        </row>
        <row r="88">
          <cell r="A88">
            <v>89300</v>
          </cell>
          <cell r="B88" t="str">
            <v>高级体力药水</v>
          </cell>
        </row>
        <row r="89">
          <cell r="A89">
            <v>83100</v>
          </cell>
          <cell r="B89" t="str">
            <v>成长礼包</v>
          </cell>
        </row>
        <row r="90">
          <cell r="A90">
            <v>70010</v>
          </cell>
          <cell r="B90" t="str">
            <v>部位材料(武器)</v>
          </cell>
        </row>
        <row r="91">
          <cell r="A91">
            <v>71010</v>
          </cell>
          <cell r="B91" t="str">
            <v>部位材料(衣服)</v>
          </cell>
        </row>
        <row r="92">
          <cell r="A92">
            <v>72010</v>
          </cell>
          <cell r="B92" t="str">
            <v>部位材料(裤子)</v>
          </cell>
        </row>
        <row r="93">
          <cell r="A93">
            <v>73010</v>
          </cell>
          <cell r="B93" t="str">
            <v>部位材料(项链)</v>
          </cell>
        </row>
        <row r="94">
          <cell r="A94">
            <v>74010</v>
          </cell>
          <cell r="B94" t="str">
            <v>部位材料(腰带)</v>
          </cell>
        </row>
        <row r="95">
          <cell r="A95">
            <v>75010</v>
          </cell>
          <cell r="B95" t="str">
            <v>部位材料(鞋子)</v>
          </cell>
        </row>
        <row r="96">
          <cell r="A96">
            <v>80110</v>
          </cell>
          <cell r="B96" t="str">
            <v>龙魂币(500)</v>
          </cell>
        </row>
        <row r="97">
          <cell r="A97">
            <v>80210</v>
          </cell>
          <cell r="B97" t="str">
            <v>龙魂币(1000)</v>
          </cell>
        </row>
        <row r="98">
          <cell r="A98">
            <v>80310</v>
          </cell>
          <cell r="B98" t="str">
            <v>龙魂币(2000)</v>
          </cell>
        </row>
        <row r="99">
          <cell r="A99">
            <v>80410</v>
          </cell>
          <cell r="B99" t="str">
            <v>命运石(5000)</v>
          </cell>
        </row>
        <row r="100">
          <cell r="A100">
            <v>80510</v>
          </cell>
          <cell r="B100" t="str">
            <v>命运石(1万)</v>
          </cell>
        </row>
        <row r="101">
          <cell r="A101">
            <v>80610</v>
          </cell>
          <cell r="B101" t="str">
            <v>命运石(2万)</v>
          </cell>
        </row>
        <row r="102">
          <cell r="A102">
            <v>87300</v>
          </cell>
          <cell r="B102" t="str">
            <v>钻石</v>
          </cell>
        </row>
        <row r="103">
          <cell r="A103">
            <v>83300</v>
          </cell>
          <cell r="B103" t="str">
            <v>金币</v>
          </cell>
        </row>
        <row r="104">
          <cell r="A104">
            <v>83301</v>
          </cell>
          <cell r="B104" t="str">
            <v>龙魂币</v>
          </cell>
        </row>
        <row r="105">
          <cell r="A105">
            <v>83302</v>
          </cell>
          <cell r="B105" t="str">
            <v>命运石</v>
          </cell>
        </row>
        <row r="106">
          <cell r="A106">
            <v>83303</v>
          </cell>
          <cell r="B106" t="str">
            <v>擂台币</v>
          </cell>
        </row>
        <row r="107">
          <cell r="A107">
            <v>89101</v>
          </cell>
          <cell r="B107" t="str">
            <v>双倍经验卡（1天）</v>
          </cell>
        </row>
        <row r="108">
          <cell r="A108">
            <v>89102</v>
          </cell>
          <cell r="B108" t="str">
            <v>双倍经验卡（2天）</v>
          </cell>
        </row>
        <row r="109">
          <cell r="A109">
            <v>89106</v>
          </cell>
          <cell r="B109" t="str">
            <v>vip经验卡</v>
          </cell>
        </row>
        <row r="110">
          <cell r="A110">
            <v>89107</v>
          </cell>
          <cell r="B110" t="str">
            <v>技能升级石</v>
          </cell>
        </row>
        <row r="111">
          <cell r="A111">
            <v>89108</v>
          </cell>
          <cell r="B111" t="str">
            <v>蓝色装备碎片（无用）</v>
          </cell>
        </row>
        <row r="112">
          <cell r="A112">
            <v>89109</v>
          </cell>
          <cell r="B112" t="str">
            <v>紫色装备碎片（无用）</v>
          </cell>
        </row>
        <row r="113">
          <cell r="A113">
            <v>89110</v>
          </cell>
          <cell r="B113" t="str">
            <v>橙色装备碎片（无用）</v>
          </cell>
        </row>
        <row r="114">
          <cell r="A114">
            <v>89111</v>
          </cell>
          <cell r="B114" t="str">
            <v>技能冷却石</v>
          </cell>
        </row>
        <row r="115">
          <cell r="A115">
            <v>83304</v>
          </cell>
          <cell r="B115" t="str">
            <v>寻宝券</v>
          </cell>
        </row>
        <row r="116">
          <cell r="A116">
            <v>85200</v>
          </cell>
          <cell r="B116" t="str">
            <v>高级装备升级石</v>
          </cell>
        </row>
        <row r="117">
          <cell r="A117">
            <v>85300</v>
          </cell>
          <cell r="B117" t="str">
            <v>稀有装备升级石</v>
          </cell>
        </row>
        <row r="118">
          <cell r="A118">
            <v>85400</v>
          </cell>
          <cell r="B118" t="str">
            <v>史诗装备升级石</v>
          </cell>
        </row>
        <row r="119">
          <cell r="A119">
            <v>85500</v>
          </cell>
          <cell r="B119" t="str">
            <v>传说装备升级石</v>
          </cell>
        </row>
        <row r="120">
          <cell r="A120">
            <v>86001</v>
          </cell>
          <cell r="B120" t="str">
            <v>马仔追债宝箱</v>
          </cell>
        </row>
        <row r="121">
          <cell r="A121">
            <v>86002</v>
          </cell>
          <cell r="B121" t="str">
            <v>马仔追债宝箱</v>
          </cell>
        </row>
        <row r="122">
          <cell r="A122">
            <v>86003</v>
          </cell>
          <cell r="B122" t="str">
            <v>马仔追债宝箱</v>
          </cell>
        </row>
        <row r="123">
          <cell r="A123">
            <v>86004</v>
          </cell>
          <cell r="B123" t="str">
            <v>马仔追债宝箱</v>
          </cell>
        </row>
        <row r="124">
          <cell r="A124">
            <v>86005</v>
          </cell>
          <cell r="B124" t="str">
            <v>马仔追债宝箱</v>
          </cell>
        </row>
        <row r="125">
          <cell r="A125">
            <v>86110</v>
          </cell>
          <cell r="B125" t="str">
            <v>马仔宝物礼包</v>
          </cell>
        </row>
        <row r="126">
          <cell r="A126">
            <v>86120</v>
          </cell>
          <cell r="B126" t="str">
            <v>马仔宝物礼包</v>
          </cell>
        </row>
        <row r="127">
          <cell r="A127">
            <v>86130</v>
          </cell>
          <cell r="B127" t="str">
            <v>马仔宝物礼包</v>
          </cell>
        </row>
        <row r="128">
          <cell r="A128">
            <v>86140</v>
          </cell>
          <cell r="B128" t="str">
            <v>马仔宝物礼包</v>
          </cell>
        </row>
        <row r="129">
          <cell r="A129">
            <v>86150</v>
          </cell>
          <cell r="B129" t="str">
            <v>马仔宝物礼包</v>
          </cell>
        </row>
        <row r="130">
          <cell r="A130">
            <v>83305</v>
          </cell>
          <cell r="B130" t="str">
            <v>金豆</v>
          </cell>
        </row>
        <row r="131">
          <cell r="A131">
            <v>83306</v>
          </cell>
          <cell r="B131" t="str">
            <v>单次扫荡特权</v>
          </cell>
        </row>
        <row r="132">
          <cell r="A132">
            <v>83307</v>
          </cell>
          <cell r="B132" t="str">
            <v>多次扫荡特权</v>
          </cell>
        </row>
        <row r="133">
          <cell r="A133">
            <v>83308</v>
          </cell>
          <cell r="B133" t="str">
            <v>扫荡特权</v>
          </cell>
        </row>
        <row r="134">
          <cell r="A134">
            <v>86010</v>
          </cell>
          <cell r="B134" t="str">
            <v>部位材料宝箱</v>
          </cell>
        </row>
        <row r="135">
          <cell r="A135">
            <v>86021</v>
          </cell>
          <cell r="B135" t="str">
            <v>紫色装备礼包</v>
          </cell>
        </row>
        <row r="136">
          <cell r="A136">
            <v>86022</v>
          </cell>
          <cell r="B136" t="str">
            <v>橙色装备礼包</v>
          </cell>
        </row>
        <row r="137">
          <cell r="A137">
            <v>86023</v>
          </cell>
          <cell r="B137" t="str">
            <v>红色装备礼包</v>
          </cell>
        </row>
        <row r="138">
          <cell r="A138">
            <v>78214</v>
          </cell>
          <cell r="B138" t="str">
            <v>限时碎片(陈浩南)</v>
          </cell>
        </row>
        <row r="139">
          <cell r="A139">
            <v>78215</v>
          </cell>
          <cell r="B139" t="str">
            <v>限时碎片(山鸡)</v>
          </cell>
        </row>
        <row r="140">
          <cell r="A140">
            <v>78216</v>
          </cell>
          <cell r="B140" t="str">
            <v>限时碎片(大天二)</v>
          </cell>
        </row>
        <row r="141">
          <cell r="A141">
            <v>83309</v>
          </cell>
          <cell r="B141" t="str">
            <v>堂口贡献</v>
          </cell>
        </row>
        <row r="142">
          <cell r="A142">
            <v>86121</v>
          </cell>
          <cell r="B142" t="str">
            <v>马仔宝物碎片礼包</v>
          </cell>
        </row>
        <row r="143">
          <cell r="A143">
            <v>86131</v>
          </cell>
          <cell r="B143" t="str">
            <v>马仔宝物碎片礼包</v>
          </cell>
        </row>
        <row r="144">
          <cell r="A144">
            <v>86141</v>
          </cell>
          <cell r="B144" t="str">
            <v>马仔宝物碎片礼包</v>
          </cell>
        </row>
        <row r="145">
          <cell r="A145">
            <v>86151</v>
          </cell>
          <cell r="B145" t="str">
            <v>马仔宝物碎片礼包</v>
          </cell>
        </row>
        <row r="146">
          <cell r="A146">
            <v>86210</v>
          </cell>
          <cell r="B146" t="str">
            <v>命格福袋</v>
          </cell>
        </row>
        <row r="147">
          <cell r="A147">
            <v>86220</v>
          </cell>
          <cell r="B147" t="str">
            <v>命格福袋</v>
          </cell>
        </row>
        <row r="148">
          <cell r="A148">
            <v>86230</v>
          </cell>
          <cell r="B148" t="str">
            <v>命格福袋</v>
          </cell>
        </row>
        <row r="149">
          <cell r="A149">
            <v>86240</v>
          </cell>
          <cell r="B149" t="str">
            <v>命格福袋</v>
          </cell>
        </row>
        <row r="150">
          <cell r="A150">
            <v>86250</v>
          </cell>
          <cell r="B150" t="str">
            <v>命格福袋</v>
          </cell>
        </row>
        <row r="151">
          <cell r="A151">
            <v>86310</v>
          </cell>
          <cell r="B151" t="str">
            <v>马仔碎片福袋</v>
          </cell>
        </row>
        <row r="152">
          <cell r="A152">
            <v>86320</v>
          </cell>
          <cell r="B152" t="str">
            <v>马仔碎片福袋</v>
          </cell>
        </row>
        <row r="153">
          <cell r="A153">
            <v>86330</v>
          </cell>
          <cell r="B153" t="str">
            <v>马仔碎片福袋</v>
          </cell>
        </row>
        <row r="154">
          <cell r="A154">
            <v>86340</v>
          </cell>
          <cell r="B154" t="str">
            <v>马仔碎片福袋</v>
          </cell>
        </row>
        <row r="155">
          <cell r="A155">
            <v>86350</v>
          </cell>
          <cell r="B155" t="str">
            <v>马仔碎片福袋</v>
          </cell>
        </row>
        <row r="156">
          <cell r="A156">
            <v>86400</v>
          </cell>
          <cell r="B156" t="str">
            <v>装备升星石福袋</v>
          </cell>
        </row>
        <row r="157">
          <cell r="A157">
            <v>91400</v>
          </cell>
          <cell r="B157" t="str">
            <v>马仔经验圣水</v>
          </cell>
        </row>
        <row r="158">
          <cell r="A158">
            <v>10001</v>
          </cell>
          <cell r="B158" t="str">
            <v>新手之剑</v>
          </cell>
        </row>
        <row r="159">
          <cell r="A159">
            <v>20001</v>
          </cell>
          <cell r="B159" t="str">
            <v>新手之拳</v>
          </cell>
        </row>
        <row r="160">
          <cell r="A160">
            <v>30001</v>
          </cell>
          <cell r="B160" t="str">
            <v>新手之枪</v>
          </cell>
        </row>
        <row r="161">
          <cell r="A161">
            <v>10002</v>
          </cell>
          <cell r="B161" t="str">
            <v>染血之剑</v>
          </cell>
        </row>
        <row r="162">
          <cell r="A162">
            <v>20002</v>
          </cell>
          <cell r="B162" t="str">
            <v>染血之拳</v>
          </cell>
        </row>
        <row r="163">
          <cell r="A163">
            <v>30002</v>
          </cell>
          <cell r="B163" t="str">
            <v>染血之枪</v>
          </cell>
        </row>
        <row r="164">
          <cell r="A164">
            <v>51002</v>
          </cell>
          <cell r="B164" t="str">
            <v>染血战衣</v>
          </cell>
        </row>
        <row r="165">
          <cell r="A165">
            <v>52002</v>
          </cell>
          <cell r="B165" t="str">
            <v>染血长裤</v>
          </cell>
        </row>
        <row r="166">
          <cell r="A166">
            <v>55002</v>
          </cell>
          <cell r="B166" t="str">
            <v>染血长靴</v>
          </cell>
        </row>
        <row r="167">
          <cell r="A167">
            <v>54002</v>
          </cell>
          <cell r="B167" t="str">
            <v>染血腰带</v>
          </cell>
        </row>
        <row r="168">
          <cell r="A168">
            <v>53002</v>
          </cell>
          <cell r="B168" t="str">
            <v>染血项链</v>
          </cell>
        </row>
        <row r="169">
          <cell r="A169">
            <v>10103</v>
          </cell>
          <cell r="B169" t="str">
            <v>狂气之剑</v>
          </cell>
        </row>
        <row r="170">
          <cell r="A170">
            <v>20103</v>
          </cell>
          <cell r="B170" t="str">
            <v>狂气之拳</v>
          </cell>
        </row>
        <row r="171">
          <cell r="A171">
            <v>30103</v>
          </cell>
          <cell r="B171" t="str">
            <v>狂气之枪</v>
          </cell>
        </row>
        <row r="172">
          <cell r="A172">
            <v>51103</v>
          </cell>
          <cell r="B172" t="str">
            <v>狂气战衣</v>
          </cell>
        </row>
        <row r="173">
          <cell r="A173">
            <v>52103</v>
          </cell>
          <cell r="B173" t="str">
            <v>狂气长裤</v>
          </cell>
        </row>
        <row r="174">
          <cell r="A174">
            <v>55103</v>
          </cell>
          <cell r="B174" t="str">
            <v>狂气长靴</v>
          </cell>
        </row>
        <row r="175">
          <cell r="A175">
            <v>54103</v>
          </cell>
          <cell r="B175" t="str">
            <v>狂气腰带</v>
          </cell>
        </row>
        <row r="176">
          <cell r="A176">
            <v>53103</v>
          </cell>
          <cell r="B176" t="str">
            <v>狂气项链</v>
          </cell>
        </row>
        <row r="177">
          <cell r="A177">
            <v>10104</v>
          </cell>
          <cell r="B177" t="str">
            <v>野性之剑</v>
          </cell>
        </row>
        <row r="178">
          <cell r="A178">
            <v>20104</v>
          </cell>
          <cell r="B178" t="str">
            <v>野性之拳</v>
          </cell>
        </row>
        <row r="179">
          <cell r="A179">
            <v>30104</v>
          </cell>
          <cell r="B179" t="str">
            <v>野性之枪</v>
          </cell>
        </row>
        <row r="180">
          <cell r="A180">
            <v>51104</v>
          </cell>
          <cell r="B180" t="str">
            <v>野性战衣</v>
          </cell>
        </row>
        <row r="181">
          <cell r="A181">
            <v>52104</v>
          </cell>
          <cell r="B181" t="str">
            <v>野性长裤</v>
          </cell>
        </row>
        <row r="182">
          <cell r="A182">
            <v>55104</v>
          </cell>
          <cell r="B182" t="str">
            <v>野性长靴</v>
          </cell>
        </row>
        <row r="183">
          <cell r="A183">
            <v>54104</v>
          </cell>
          <cell r="B183" t="str">
            <v>野性腰带</v>
          </cell>
        </row>
        <row r="184">
          <cell r="A184">
            <v>53104</v>
          </cell>
          <cell r="B184" t="str">
            <v>野性项链</v>
          </cell>
        </row>
        <row r="185">
          <cell r="A185">
            <v>10205</v>
          </cell>
          <cell r="B185" t="str">
            <v>紫云之剑</v>
          </cell>
        </row>
        <row r="186">
          <cell r="A186">
            <v>20205</v>
          </cell>
          <cell r="B186" t="str">
            <v>紫云之拳</v>
          </cell>
        </row>
        <row r="187">
          <cell r="A187">
            <v>30205</v>
          </cell>
          <cell r="B187" t="str">
            <v>紫云之枪</v>
          </cell>
        </row>
        <row r="188">
          <cell r="A188">
            <v>51205</v>
          </cell>
          <cell r="B188" t="str">
            <v>紫云战衣</v>
          </cell>
        </row>
        <row r="189">
          <cell r="A189">
            <v>52205</v>
          </cell>
          <cell r="B189" t="str">
            <v>紫云长裤</v>
          </cell>
        </row>
        <row r="190">
          <cell r="A190">
            <v>55205</v>
          </cell>
          <cell r="B190" t="str">
            <v>紫云长靴</v>
          </cell>
        </row>
        <row r="191">
          <cell r="A191">
            <v>54205</v>
          </cell>
          <cell r="B191" t="str">
            <v>紫云腰带</v>
          </cell>
        </row>
        <row r="192">
          <cell r="A192">
            <v>53205</v>
          </cell>
          <cell r="B192" t="str">
            <v>紫云项链</v>
          </cell>
        </row>
        <row r="193">
          <cell r="A193">
            <v>10306</v>
          </cell>
          <cell r="B193" t="str">
            <v>鎏金之剑</v>
          </cell>
        </row>
        <row r="194">
          <cell r="A194">
            <v>20306</v>
          </cell>
          <cell r="B194" t="str">
            <v>鎏金之拳</v>
          </cell>
        </row>
        <row r="195">
          <cell r="A195">
            <v>30306</v>
          </cell>
          <cell r="B195" t="str">
            <v>鎏金之枪</v>
          </cell>
        </row>
        <row r="196">
          <cell r="A196">
            <v>51306</v>
          </cell>
          <cell r="B196" t="str">
            <v>鎏金战衣</v>
          </cell>
        </row>
        <row r="197">
          <cell r="A197">
            <v>52306</v>
          </cell>
          <cell r="B197" t="str">
            <v>鎏金长裤</v>
          </cell>
        </row>
        <row r="198">
          <cell r="A198">
            <v>55306</v>
          </cell>
          <cell r="B198" t="str">
            <v>鎏金长靴</v>
          </cell>
        </row>
        <row r="199">
          <cell r="A199">
            <v>54306</v>
          </cell>
          <cell r="B199" t="str">
            <v>鎏金腰带</v>
          </cell>
        </row>
        <row r="200">
          <cell r="A200">
            <v>53306</v>
          </cell>
          <cell r="B200" t="str">
            <v>鎏金项链</v>
          </cell>
        </row>
        <row r="201">
          <cell r="A201">
            <v>10407</v>
          </cell>
          <cell r="B201" t="str">
            <v>虹光之剑</v>
          </cell>
        </row>
        <row r="202">
          <cell r="A202">
            <v>20407</v>
          </cell>
          <cell r="B202" t="str">
            <v>虹光之拳</v>
          </cell>
        </row>
        <row r="203">
          <cell r="A203">
            <v>30407</v>
          </cell>
          <cell r="B203" t="str">
            <v>虹光之枪</v>
          </cell>
        </row>
        <row r="204">
          <cell r="A204">
            <v>51407</v>
          </cell>
          <cell r="B204" t="str">
            <v>虹光战衣</v>
          </cell>
        </row>
        <row r="205">
          <cell r="A205">
            <v>52407</v>
          </cell>
          <cell r="B205" t="str">
            <v>虹光长裤</v>
          </cell>
        </row>
        <row r="206">
          <cell r="A206">
            <v>55407</v>
          </cell>
          <cell r="B206" t="str">
            <v>虹光长靴</v>
          </cell>
        </row>
        <row r="207">
          <cell r="A207">
            <v>54407</v>
          </cell>
          <cell r="B207" t="str">
            <v>虹光腰带</v>
          </cell>
        </row>
        <row r="208">
          <cell r="A208">
            <v>53407</v>
          </cell>
          <cell r="B208" t="str">
            <v>虹光项链</v>
          </cell>
        </row>
        <row r="209">
          <cell r="A209">
            <v>10108</v>
          </cell>
          <cell r="B209" t="str">
            <v>碧蓝之剑</v>
          </cell>
        </row>
        <row r="210">
          <cell r="A210">
            <v>20108</v>
          </cell>
          <cell r="B210" t="str">
            <v>碧蓝之拳</v>
          </cell>
        </row>
        <row r="211">
          <cell r="A211">
            <v>30108</v>
          </cell>
          <cell r="B211" t="str">
            <v>碧蓝之枪</v>
          </cell>
        </row>
        <row r="212">
          <cell r="A212">
            <v>51108</v>
          </cell>
          <cell r="B212" t="str">
            <v>碧蓝战衣</v>
          </cell>
        </row>
        <row r="213">
          <cell r="A213">
            <v>52108</v>
          </cell>
          <cell r="B213" t="str">
            <v>碧蓝长裤</v>
          </cell>
        </row>
        <row r="214">
          <cell r="A214">
            <v>55108</v>
          </cell>
          <cell r="B214" t="str">
            <v>碧蓝长靴</v>
          </cell>
        </row>
        <row r="215">
          <cell r="A215">
            <v>54108</v>
          </cell>
          <cell r="B215" t="str">
            <v>碧蓝腰带</v>
          </cell>
        </row>
        <row r="216">
          <cell r="A216">
            <v>53108</v>
          </cell>
          <cell r="B216" t="str">
            <v>碧蓝项链</v>
          </cell>
        </row>
        <row r="217">
          <cell r="A217">
            <v>10209</v>
          </cell>
          <cell r="B217" t="str">
            <v>斩魄之刃</v>
          </cell>
        </row>
        <row r="218">
          <cell r="A218">
            <v>20209</v>
          </cell>
          <cell r="B218" t="str">
            <v>流光之拳</v>
          </cell>
        </row>
        <row r="219">
          <cell r="A219">
            <v>30209</v>
          </cell>
          <cell r="B219" t="str">
            <v>玫瑰骑士</v>
          </cell>
        </row>
        <row r="220">
          <cell r="A220">
            <v>51209</v>
          </cell>
          <cell r="B220" t="str">
            <v>黑鸦战衣</v>
          </cell>
        </row>
        <row r="221">
          <cell r="A221">
            <v>52209</v>
          </cell>
          <cell r="B221" t="str">
            <v>黑鸦长裤</v>
          </cell>
        </row>
        <row r="222">
          <cell r="A222">
            <v>55209</v>
          </cell>
          <cell r="B222" t="str">
            <v>黑鸦长靴</v>
          </cell>
        </row>
        <row r="223">
          <cell r="A223">
            <v>54209</v>
          </cell>
          <cell r="B223" t="str">
            <v>黑鸦腰带</v>
          </cell>
        </row>
        <row r="224">
          <cell r="A224">
            <v>53209</v>
          </cell>
          <cell r="B224" t="str">
            <v>黑鸦项链</v>
          </cell>
        </row>
        <row r="225">
          <cell r="A225">
            <v>10310</v>
          </cell>
          <cell r="B225" t="str">
            <v>爵士之刃</v>
          </cell>
        </row>
        <row r="226">
          <cell r="A226">
            <v>20310</v>
          </cell>
          <cell r="B226" t="str">
            <v>爵士之拳</v>
          </cell>
        </row>
        <row r="227">
          <cell r="A227">
            <v>30310</v>
          </cell>
          <cell r="B227" t="str">
            <v>爵士之枪</v>
          </cell>
        </row>
        <row r="228">
          <cell r="A228">
            <v>51310</v>
          </cell>
          <cell r="B228" t="str">
            <v>爵士战衣</v>
          </cell>
        </row>
        <row r="229">
          <cell r="A229">
            <v>52310</v>
          </cell>
          <cell r="B229" t="str">
            <v>爵士长裤</v>
          </cell>
        </row>
        <row r="230">
          <cell r="A230">
            <v>55310</v>
          </cell>
          <cell r="B230" t="str">
            <v>爵士长靴</v>
          </cell>
        </row>
        <row r="231">
          <cell r="A231">
            <v>54310</v>
          </cell>
          <cell r="B231" t="str">
            <v>爵士腰带</v>
          </cell>
        </row>
        <row r="232">
          <cell r="A232">
            <v>53310</v>
          </cell>
          <cell r="B232" t="str">
            <v>爵士项链</v>
          </cell>
        </row>
        <row r="233">
          <cell r="A233">
            <v>10411</v>
          </cell>
          <cell r="B233" t="str">
            <v>暴血之刃</v>
          </cell>
        </row>
        <row r="234">
          <cell r="A234">
            <v>20411</v>
          </cell>
          <cell r="B234" t="str">
            <v>暴血之拳</v>
          </cell>
        </row>
        <row r="235">
          <cell r="A235">
            <v>30411</v>
          </cell>
          <cell r="B235" t="str">
            <v>暴血之枪</v>
          </cell>
        </row>
        <row r="236">
          <cell r="A236">
            <v>51411</v>
          </cell>
          <cell r="B236" t="str">
            <v>暴血战衣</v>
          </cell>
        </row>
        <row r="237">
          <cell r="A237">
            <v>52411</v>
          </cell>
          <cell r="B237" t="str">
            <v>暴血长裤</v>
          </cell>
        </row>
        <row r="238">
          <cell r="A238">
            <v>55411</v>
          </cell>
          <cell r="B238" t="str">
            <v>暴血长靴</v>
          </cell>
        </row>
        <row r="239">
          <cell r="A239">
            <v>54411</v>
          </cell>
          <cell r="B239" t="str">
            <v>暴血腰带</v>
          </cell>
        </row>
        <row r="240">
          <cell r="A240">
            <v>53411</v>
          </cell>
          <cell r="B240" t="str">
            <v>暴血项链</v>
          </cell>
        </row>
        <row r="241">
          <cell r="A241">
            <v>10112</v>
          </cell>
          <cell r="B241" t="str">
            <v>勇气之刃</v>
          </cell>
        </row>
        <row r="242">
          <cell r="A242">
            <v>20112</v>
          </cell>
          <cell r="B242" t="str">
            <v>勇气之拳</v>
          </cell>
        </row>
        <row r="243">
          <cell r="A243">
            <v>30112</v>
          </cell>
          <cell r="B243" t="str">
            <v>勇气之枪</v>
          </cell>
        </row>
        <row r="244">
          <cell r="A244">
            <v>51112</v>
          </cell>
          <cell r="B244" t="str">
            <v>勇气战衣</v>
          </cell>
        </row>
        <row r="245">
          <cell r="A245">
            <v>52112</v>
          </cell>
          <cell r="B245" t="str">
            <v>勇气长裤</v>
          </cell>
        </row>
        <row r="246">
          <cell r="A246">
            <v>55112</v>
          </cell>
          <cell r="B246" t="str">
            <v>勇气长靴</v>
          </cell>
        </row>
        <row r="247">
          <cell r="A247">
            <v>54112</v>
          </cell>
          <cell r="B247" t="str">
            <v>勇气腰带</v>
          </cell>
        </row>
        <row r="248">
          <cell r="A248">
            <v>53112</v>
          </cell>
          <cell r="B248" t="str">
            <v>勇气项链</v>
          </cell>
        </row>
        <row r="249">
          <cell r="A249">
            <v>10213</v>
          </cell>
          <cell r="B249" t="str">
            <v>暗羽霸刀</v>
          </cell>
        </row>
        <row r="250">
          <cell r="A250">
            <v>20213</v>
          </cell>
          <cell r="B250" t="str">
            <v>暗羽之拳</v>
          </cell>
        </row>
        <row r="251">
          <cell r="A251">
            <v>30213</v>
          </cell>
          <cell r="B251" t="str">
            <v>暗羽之枪</v>
          </cell>
        </row>
        <row r="252">
          <cell r="A252">
            <v>51213</v>
          </cell>
          <cell r="B252" t="str">
            <v>暗羽战衣</v>
          </cell>
        </row>
        <row r="253">
          <cell r="A253">
            <v>52213</v>
          </cell>
          <cell r="B253" t="str">
            <v>暗羽长裤</v>
          </cell>
        </row>
        <row r="254">
          <cell r="A254">
            <v>55213</v>
          </cell>
          <cell r="B254" t="str">
            <v>暗羽长靴</v>
          </cell>
        </row>
        <row r="255">
          <cell r="A255">
            <v>54213</v>
          </cell>
          <cell r="B255" t="str">
            <v>暗羽腰带</v>
          </cell>
        </row>
        <row r="256">
          <cell r="A256">
            <v>53213</v>
          </cell>
          <cell r="B256" t="str">
            <v>暗羽项链</v>
          </cell>
        </row>
        <row r="257">
          <cell r="A257">
            <v>10314</v>
          </cell>
          <cell r="B257" t="str">
            <v>玄武霸刀</v>
          </cell>
        </row>
        <row r="258">
          <cell r="A258">
            <v>20314</v>
          </cell>
          <cell r="B258" t="str">
            <v>玄武之拳</v>
          </cell>
        </row>
        <row r="259">
          <cell r="A259">
            <v>30314</v>
          </cell>
          <cell r="B259" t="str">
            <v>玄武之枪</v>
          </cell>
        </row>
        <row r="260">
          <cell r="A260">
            <v>51314</v>
          </cell>
          <cell r="B260" t="str">
            <v>玄武战衣</v>
          </cell>
        </row>
        <row r="261">
          <cell r="A261">
            <v>52314</v>
          </cell>
          <cell r="B261" t="str">
            <v>玄武长裤</v>
          </cell>
        </row>
        <row r="262">
          <cell r="A262">
            <v>55314</v>
          </cell>
          <cell r="B262" t="str">
            <v>玄武长靴</v>
          </cell>
        </row>
        <row r="263">
          <cell r="A263">
            <v>54314</v>
          </cell>
          <cell r="B263" t="str">
            <v>玄武腰带</v>
          </cell>
        </row>
        <row r="264">
          <cell r="A264">
            <v>53314</v>
          </cell>
          <cell r="B264" t="str">
            <v>玄武项链</v>
          </cell>
        </row>
        <row r="265">
          <cell r="A265">
            <v>10415</v>
          </cell>
          <cell r="B265" t="str">
            <v>暗魔之刃</v>
          </cell>
        </row>
        <row r="266">
          <cell r="A266">
            <v>20415</v>
          </cell>
          <cell r="B266" t="str">
            <v>暗魔之拳</v>
          </cell>
        </row>
        <row r="267">
          <cell r="A267">
            <v>30415</v>
          </cell>
          <cell r="B267" t="str">
            <v>暗魔之枪</v>
          </cell>
        </row>
        <row r="268">
          <cell r="A268">
            <v>51415</v>
          </cell>
          <cell r="B268" t="str">
            <v>暗魔战衣</v>
          </cell>
        </row>
        <row r="269">
          <cell r="A269">
            <v>52415</v>
          </cell>
          <cell r="B269" t="str">
            <v>暗魔长裤</v>
          </cell>
        </row>
        <row r="270">
          <cell r="A270">
            <v>55415</v>
          </cell>
          <cell r="B270" t="str">
            <v>暗魔长靴</v>
          </cell>
        </row>
        <row r="271">
          <cell r="A271">
            <v>54415</v>
          </cell>
          <cell r="B271" t="str">
            <v>暗魔腰带</v>
          </cell>
        </row>
        <row r="272">
          <cell r="A272">
            <v>53415</v>
          </cell>
          <cell r="B272" t="str">
            <v>暗魔项链</v>
          </cell>
        </row>
        <row r="273">
          <cell r="A273">
            <v>10116</v>
          </cell>
          <cell r="B273" t="str">
            <v>战爵之刃</v>
          </cell>
        </row>
        <row r="274">
          <cell r="A274">
            <v>20116</v>
          </cell>
          <cell r="B274" t="str">
            <v>战爵之拳</v>
          </cell>
        </row>
        <row r="275">
          <cell r="A275">
            <v>30116</v>
          </cell>
          <cell r="B275" t="str">
            <v>战爵之枪</v>
          </cell>
        </row>
        <row r="276">
          <cell r="A276">
            <v>51116</v>
          </cell>
          <cell r="B276" t="str">
            <v>战爵之衣</v>
          </cell>
        </row>
        <row r="277">
          <cell r="A277">
            <v>52116</v>
          </cell>
          <cell r="B277" t="str">
            <v>战爵长裤</v>
          </cell>
        </row>
        <row r="278">
          <cell r="A278">
            <v>55116</v>
          </cell>
          <cell r="B278" t="str">
            <v>战爵长靴</v>
          </cell>
        </row>
        <row r="279">
          <cell r="A279">
            <v>54116</v>
          </cell>
          <cell r="B279" t="str">
            <v>战爵腰带</v>
          </cell>
        </row>
        <row r="280">
          <cell r="A280">
            <v>53116</v>
          </cell>
          <cell r="B280" t="str">
            <v>战爵项链</v>
          </cell>
        </row>
        <row r="281">
          <cell r="A281">
            <v>10217</v>
          </cell>
          <cell r="B281" t="str">
            <v>嗜血之剑</v>
          </cell>
        </row>
        <row r="282">
          <cell r="A282">
            <v>20217</v>
          </cell>
          <cell r="B282" t="str">
            <v>嗜血拳</v>
          </cell>
        </row>
        <row r="283">
          <cell r="A283">
            <v>30217</v>
          </cell>
          <cell r="B283" t="str">
            <v>嗜血枪</v>
          </cell>
        </row>
        <row r="284">
          <cell r="A284">
            <v>51217</v>
          </cell>
          <cell r="B284" t="str">
            <v>嗜血战衣</v>
          </cell>
        </row>
        <row r="285">
          <cell r="A285">
            <v>52217</v>
          </cell>
          <cell r="B285" t="str">
            <v>嗜血长裤</v>
          </cell>
        </row>
        <row r="286">
          <cell r="A286">
            <v>55217</v>
          </cell>
          <cell r="B286" t="str">
            <v>嗜血长靴</v>
          </cell>
        </row>
        <row r="287">
          <cell r="A287">
            <v>54217</v>
          </cell>
          <cell r="B287" t="str">
            <v>嗜血腰带</v>
          </cell>
        </row>
        <row r="288">
          <cell r="A288">
            <v>53217</v>
          </cell>
          <cell r="B288" t="str">
            <v>嗜血项链</v>
          </cell>
        </row>
        <row r="289">
          <cell r="A289">
            <v>10318</v>
          </cell>
          <cell r="B289" t="str">
            <v>霸道之刃</v>
          </cell>
        </row>
        <row r="290">
          <cell r="A290">
            <v>20318</v>
          </cell>
          <cell r="B290" t="str">
            <v>霸道之拳</v>
          </cell>
        </row>
        <row r="291">
          <cell r="A291">
            <v>30318</v>
          </cell>
          <cell r="B291" t="str">
            <v>霸道之枪</v>
          </cell>
        </row>
        <row r="292">
          <cell r="A292">
            <v>51318</v>
          </cell>
          <cell r="B292" t="str">
            <v>霸道战衣</v>
          </cell>
        </row>
        <row r="293">
          <cell r="A293">
            <v>52318</v>
          </cell>
          <cell r="B293" t="str">
            <v>霸道长裤</v>
          </cell>
        </row>
        <row r="294">
          <cell r="A294">
            <v>55318</v>
          </cell>
          <cell r="B294" t="str">
            <v>霸道长靴</v>
          </cell>
        </row>
        <row r="295">
          <cell r="A295">
            <v>54318</v>
          </cell>
          <cell r="B295" t="str">
            <v>霸道腰带</v>
          </cell>
        </row>
        <row r="296">
          <cell r="A296">
            <v>53318</v>
          </cell>
          <cell r="B296" t="str">
            <v>霸道项链</v>
          </cell>
        </row>
        <row r="297">
          <cell r="A297">
            <v>10419</v>
          </cell>
          <cell r="B297" t="str">
            <v>白虎霸刀</v>
          </cell>
        </row>
        <row r="298">
          <cell r="A298">
            <v>20419</v>
          </cell>
          <cell r="B298" t="str">
            <v>白虎之拳</v>
          </cell>
        </row>
        <row r="299">
          <cell r="A299">
            <v>30419</v>
          </cell>
          <cell r="B299" t="str">
            <v>白虎之枪</v>
          </cell>
        </row>
        <row r="300">
          <cell r="A300">
            <v>51419</v>
          </cell>
          <cell r="B300" t="str">
            <v>白虎战衣</v>
          </cell>
        </row>
        <row r="301">
          <cell r="A301">
            <v>52419</v>
          </cell>
          <cell r="B301" t="str">
            <v>白虎长裤</v>
          </cell>
        </row>
        <row r="302">
          <cell r="A302">
            <v>55419</v>
          </cell>
          <cell r="B302" t="str">
            <v>白虎长靴</v>
          </cell>
        </row>
        <row r="303">
          <cell r="A303">
            <v>54419</v>
          </cell>
          <cell r="B303" t="str">
            <v>白虎腰带</v>
          </cell>
        </row>
        <row r="304">
          <cell r="A304">
            <v>53419</v>
          </cell>
          <cell r="B304" t="str">
            <v>白虎项链</v>
          </cell>
        </row>
        <row r="305">
          <cell r="A305">
            <v>10120</v>
          </cell>
          <cell r="B305" t="str">
            <v>堕落之刃</v>
          </cell>
        </row>
        <row r="306">
          <cell r="A306">
            <v>20120</v>
          </cell>
          <cell r="B306" t="str">
            <v>堕落之拳</v>
          </cell>
        </row>
        <row r="307">
          <cell r="A307">
            <v>30120</v>
          </cell>
          <cell r="B307" t="str">
            <v>堕落之枪</v>
          </cell>
        </row>
        <row r="308">
          <cell r="A308">
            <v>51120</v>
          </cell>
          <cell r="B308" t="str">
            <v>堕落战衣</v>
          </cell>
        </row>
        <row r="309">
          <cell r="A309">
            <v>52120</v>
          </cell>
          <cell r="B309" t="str">
            <v>堕落长裤</v>
          </cell>
        </row>
        <row r="310">
          <cell r="A310">
            <v>55120</v>
          </cell>
          <cell r="B310" t="str">
            <v>堕落长靴</v>
          </cell>
        </row>
        <row r="311">
          <cell r="A311">
            <v>54120</v>
          </cell>
          <cell r="B311" t="str">
            <v>堕落腰带</v>
          </cell>
        </row>
        <row r="312">
          <cell r="A312">
            <v>53120</v>
          </cell>
          <cell r="B312" t="str">
            <v>堕落项链</v>
          </cell>
        </row>
        <row r="313">
          <cell r="A313">
            <v>10221</v>
          </cell>
          <cell r="B313" t="str">
            <v>幻痛霸刀</v>
          </cell>
        </row>
        <row r="314">
          <cell r="A314">
            <v>20221</v>
          </cell>
          <cell r="B314" t="str">
            <v>幻痛之拳</v>
          </cell>
        </row>
        <row r="315">
          <cell r="A315">
            <v>30221</v>
          </cell>
          <cell r="B315" t="str">
            <v>幻痛之枪</v>
          </cell>
        </row>
        <row r="316">
          <cell r="A316">
            <v>51221</v>
          </cell>
          <cell r="B316" t="str">
            <v>幻痛战衣</v>
          </cell>
        </row>
        <row r="317">
          <cell r="A317">
            <v>52221</v>
          </cell>
          <cell r="B317" t="str">
            <v>幻痛长裤</v>
          </cell>
        </row>
        <row r="318">
          <cell r="A318">
            <v>55221</v>
          </cell>
          <cell r="B318" t="str">
            <v>幻痛长靴</v>
          </cell>
        </row>
        <row r="319">
          <cell r="A319">
            <v>54221</v>
          </cell>
          <cell r="B319" t="str">
            <v>幻痛腰带</v>
          </cell>
        </row>
        <row r="320">
          <cell r="A320">
            <v>53221</v>
          </cell>
          <cell r="B320" t="str">
            <v>幻痛项链</v>
          </cell>
        </row>
        <row r="321">
          <cell r="A321">
            <v>10322</v>
          </cell>
          <cell r="B321" t="str">
            <v>焚天之剑</v>
          </cell>
        </row>
        <row r="322">
          <cell r="A322">
            <v>20322</v>
          </cell>
          <cell r="B322" t="str">
            <v>焚天之拳</v>
          </cell>
        </row>
        <row r="323">
          <cell r="A323">
            <v>30322</v>
          </cell>
          <cell r="B323" t="str">
            <v>焚天之枪</v>
          </cell>
        </row>
        <row r="324">
          <cell r="A324">
            <v>51322</v>
          </cell>
          <cell r="B324" t="str">
            <v>焚天战衣</v>
          </cell>
        </row>
        <row r="325">
          <cell r="A325">
            <v>52322</v>
          </cell>
          <cell r="B325" t="str">
            <v>焚天长裤</v>
          </cell>
        </row>
        <row r="326">
          <cell r="A326">
            <v>55322</v>
          </cell>
          <cell r="B326" t="str">
            <v>焚天长靴</v>
          </cell>
        </row>
        <row r="327">
          <cell r="A327">
            <v>54322</v>
          </cell>
          <cell r="B327" t="str">
            <v>焚天腰带</v>
          </cell>
        </row>
        <row r="328">
          <cell r="A328">
            <v>53322</v>
          </cell>
          <cell r="B328" t="str">
            <v>焚天项链</v>
          </cell>
        </row>
        <row r="329">
          <cell r="A329">
            <v>10423</v>
          </cell>
          <cell r="B329" t="str">
            <v>朱雀霸刀</v>
          </cell>
        </row>
        <row r="330">
          <cell r="A330">
            <v>20423</v>
          </cell>
          <cell r="B330" t="str">
            <v>朱雀之拳</v>
          </cell>
        </row>
        <row r="331">
          <cell r="A331">
            <v>30423</v>
          </cell>
          <cell r="B331" t="str">
            <v>朱雀之枪</v>
          </cell>
        </row>
        <row r="332">
          <cell r="A332">
            <v>51423</v>
          </cell>
          <cell r="B332" t="str">
            <v>朱雀战衣</v>
          </cell>
        </row>
        <row r="333">
          <cell r="A333">
            <v>52423</v>
          </cell>
          <cell r="B333" t="str">
            <v>朱雀长裤</v>
          </cell>
        </row>
        <row r="334">
          <cell r="A334">
            <v>55423</v>
          </cell>
          <cell r="B334" t="str">
            <v>朱雀长靴</v>
          </cell>
        </row>
        <row r="335">
          <cell r="A335">
            <v>54423</v>
          </cell>
          <cell r="B335" t="str">
            <v>朱雀腰带</v>
          </cell>
        </row>
        <row r="336">
          <cell r="A336">
            <v>53423</v>
          </cell>
          <cell r="B336" t="str">
            <v>朱雀项链</v>
          </cell>
        </row>
        <row r="337">
          <cell r="A337">
            <v>10124</v>
          </cell>
          <cell r="B337" t="str">
            <v>高洁之刃</v>
          </cell>
        </row>
        <row r="338">
          <cell r="A338">
            <v>20124</v>
          </cell>
          <cell r="B338" t="str">
            <v>高洁之拳</v>
          </cell>
        </row>
        <row r="339">
          <cell r="A339">
            <v>30124</v>
          </cell>
          <cell r="B339" t="str">
            <v>高洁之枪</v>
          </cell>
        </row>
        <row r="340">
          <cell r="A340">
            <v>51124</v>
          </cell>
          <cell r="B340" t="str">
            <v>高洁战衣</v>
          </cell>
        </row>
        <row r="341">
          <cell r="A341">
            <v>52124</v>
          </cell>
          <cell r="B341" t="str">
            <v>高洁长裤</v>
          </cell>
        </row>
        <row r="342">
          <cell r="A342">
            <v>55124</v>
          </cell>
          <cell r="B342" t="str">
            <v>高洁长靴</v>
          </cell>
        </row>
        <row r="343">
          <cell r="A343">
            <v>54124</v>
          </cell>
          <cell r="B343" t="str">
            <v>高洁腰带</v>
          </cell>
        </row>
        <row r="344">
          <cell r="A344">
            <v>53124</v>
          </cell>
          <cell r="B344" t="str">
            <v>高洁项链</v>
          </cell>
        </row>
        <row r="345">
          <cell r="A345">
            <v>10225</v>
          </cell>
          <cell r="B345" t="str">
            <v>星宿之刃</v>
          </cell>
        </row>
        <row r="346">
          <cell r="A346">
            <v>20225</v>
          </cell>
          <cell r="B346" t="str">
            <v>星宿之拳</v>
          </cell>
        </row>
        <row r="347">
          <cell r="A347">
            <v>30225</v>
          </cell>
          <cell r="B347" t="str">
            <v>星宿之枪</v>
          </cell>
        </row>
        <row r="348">
          <cell r="A348">
            <v>51225</v>
          </cell>
          <cell r="B348" t="str">
            <v>星宿战衣</v>
          </cell>
        </row>
        <row r="349">
          <cell r="A349">
            <v>52225</v>
          </cell>
          <cell r="B349" t="str">
            <v>星宿长裤</v>
          </cell>
        </row>
        <row r="350">
          <cell r="A350">
            <v>55225</v>
          </cell>
          <cell r="B350" t="str">
            <v>星宿长靴</v>
          </cell>
        </row>
        <row r="351">
          <cell r="A351">
            <v>54225</v>
          </cell>
          <cell r="B351" t="str">
            <v>星宿腰带</v>
          </cell>
        </row>
        <row r="352">
          <cell r="A352">
            <v>53225</v>
          </cell>
          <cell r="B352" t="str">
            <v>星宿项链</v>
          </cell>
        </row>
        <row r="353">
          <cell r="A353">
            <v>10326</v>
          </cell>
          <cell r="B353" t="str">
            <v>炼狱之剑</v>
          </cell>
        </row>
        <row r="354">
          <cell r="A354">
            <v>20326</v>
          </cell>
          <cell r="B354" t="str">
            <v>炼狱之拳</v>
          </cell>
        </row>
        <row r="355">
          <cell r="A355">
            <v>30326</v>
          </cell>
          <cell r="B355" t="str">
            <v>炼狱之枪</v>
          </cell>
        </row>
        <row r="356">
          <cell r="A356">
            <v>51326</v>
          </cell>
          <cell r="B356" t="str">
            <v>炼狱战衣</v>
          </cell>
        </row>
        <row r="357">
          <cell r="A357">
            <v>52326</v>
          </cell>
          <cell r="B357" t="str">
            <v>炼狱长裤</v>
          </cell>
        </row>
        <row r="358">
          <cell r="A358">
            <v>55326</v>
          </cell>
          <cell r="B358" t="str">
            <v>炼狱长靴</v>
          </cell>
        </row>
        <row r="359">
          <cell r="A359">
            <v>54326</v>
          </cell>
          <cell r="B359" t="str">
            <v>炼狱腰带</v>
          </cell>
        </row>
        <row r="360">
          <cell r="A360">
            <v>53326</v>
          </cell>
          <cell r="B360" t="str">
            <v>炼狱项链</v>
          </cell>
        </row>
        <row r="361">
          <cell r="A361">
            <v>10427</v>
          </cell>
          <cell r="B361" t="str">
            <v>青龙霸刀</v>
          </cell>
        </row>
        <row r="362">
          <cell r="A362">
            <v>20427</v>
          </cell>
          <cell r="B362" t="str">
            <v>青龙之拳</v>
          </cell>
        </row>
        <row r="363">
          <cell r="A363">
            <v>30427</v>
          </cell>
          <cell r="B363" t="str">
            <v>青龙之枪</v>
          </cell>
        </row>
        <row r="364">
          <cell r="A364">
            <v>51427</v>
          </cell>
          <cell r="B364" t="str">
            <v>青龙战衣</v>
          </cell>
        </row>
        <row r="365">
          <cell r="A365">
            <v>52427</v>
          </cell>
          <cell r="B365" t="str">
            <v>青龙长裤</v>
          </cell>
        </row>
        <row r="366">
          <cell r="A366">
            <v>55427</v>
          </cell>
          <cell r="B366" t="str">
            <v>青龙长靴</v>
          </cell>
        </row>
        <row r="367">
          <cell r="A367">
            <v>54427</v>
          </cell>
          <cell r="B367" t="str">
            <v>青龙腰带</v>
          </cell>
        </row>
        <row r="368">
          <cell r="A368">
            <v>53427</v>
          </cell>
          <cell r="B368" t="str">
            <v>青龙项链</v>
          </cell>
        </row>
        <row r="369">
          <cell r="A369">
            <v>92131</v>
          </cell>
          <cell r="B369" t="str">
            <v>幸运戒指</v>
          </cell>
        </row>
        <row r="370">
          <cell r="A370">
            <v>92011</v>
          </cell>
          <cell r="B370" t="str">
            <v>亚诺</v>
          </cell>
        </row>
        <row r="371">
          <cell r="A371">
            <v>92228</v>
          </cell>
          <cell r="B371" t="str">
            <v>银色手环</v>
          </cell>
        </row>
        <row r="372">
          <cell r="A372">
            <v>92232</v>
          </cell>
          <cell r="B372" t="str">
            <v>鎏金手环</v>
          </cell>
        </row>
        <row r="373">
          <cell r="A373">
            <v>92121</v>
          </cell>
          <cell r="B373" t="str">
            <v>镀金耳钉</v>
          </cell>
        </row>
        <row r="374">
          <cell r="A374">
            <v>92243</v>
          </cell>
          <cell r="B374" t="str">
            <v>诅咒项链</v>
          </cell>
        </row>
        <row r="375">
          <cell r="A375">
            <v>92244</v>
          </cell>
          <cell r="B375" t="str">
            <v>金饰项链</v>
          </cell>
        </row>
        <row r="376">
          <cell r="A376">
            <v>92263</v>
          </cell>
          <cell r="B376" t="str">
            <v>银针手表</v>
          </cell>
        </row>
        <row r="377">
          <cell r="A377">
            <v>92277</v>
          </cell>
          <cell r="B377" t="str">
            <v>冬利</v>
          </cell>
        </row>
        <row r="378">
          <cell r="A378">
            <v>92233</v>
          </cell>
          <cell r="B378" t="str">
            <v>白金手环</v>
          </cell>
        </row>
        <row r="379">
          <cell r="A379">
            <v>92122</v>
          </cell>
          <cell r="B379" t="str">
            <v>银饰耳钉</v>
          </cell>
        </row>
        <row r="380">
          <cell r="A380">
            <v>92141</v>
          </cell>
          <cell r="B380" t="str">
            <v>白银戒指</v>
          </cell>
        </row>
        <row r="381">
          <cell r="A381">
            <v>92245</v>
          </cell>
          <cell r="B381" t="str">
            <v>水晶项链</v>
          </cell>
        </row>
        <row r="382">
          <cell r="A382">
            <v>92251</v>
          </cell>
          <cell r="B382" t="str">
            <v>红石项链</v>
          </cell>
        </row>
        <row r="383">
          <cell r="A383">
            <v>92264</v>
          </cell>
          <cell r="B383" t="str">
            <v>越野手表</v>
          </cell>
        </row>
        <row r="384">
          <cell r="A384">
            <v>92271</v>
          </cell>
          <cell r="B384" t="str">
            <v>精准手表</v>
          </cell>
        </row>
        <row r="385">
          <cell r="A385">
            <v>92278</v>
          </cell>
          <cell r="B385" t="str">
            <v>宝驼</v>
          </cell>
        </row>
        <row r="386">
          <cell r="A386">
            <v>92283</v>
          </cell>
          <cell r="B386" t="str">
            <v>小迭钞票</v>
          </cell>
        </row>
        <row r="387">
          <cell r="A387">
            <v>92287</v>
          </cell>
          <cell r="B387" t="str">
            <v>金块</v>
          </cell>
        </row>
        <row r="388">
          <cell r="A388">
            <v>92142</v>
          </cell>
          <cell r="B388" t="str">
            <v>黄金戒指</v>
          </cell>
        </row>
        <row r="389">
          <cell r="A389">
            <v>92235</v>
          </cell>
          <cell r="B389" t="str">
            <v>宝石手环</v>
          </cell>
        </row>
        <row r="390">
          <cell r="A390">
            <v>92012</v>
          </cell>
          <cell r="B390" t="str">
            <v>摩拉</v>
          </cell>
        </row>
        <row r="391">
          <cell r="A391">
            <v>92252</v>
          </cell>
          <cell r="B391" t="str">
            <v>青玉项链</v>
          </cell>
        </row>
        <row r="392">
          <cell r="A392">
            <v>92124</v>
          </cell>
          <cell r="B392" t="str">
            <v>水晶耳钉</v>
          </cell>
        </row>
        <row r="393">
          <cell r="A393">
            <v>92272</v>
          </cell>
          <cell r="B393" t="str">
            <v>金针手表</v>
          </cell>
        </row>
        <row r="394">
          <cell r="A394">
            <v>92273</v>
          </cell>
          <cell r="B394" t="str">
            <v>智能手表</v>
          </cell>
        </row>
        <row r="395">
          <cell r="A395">
            <v>92279</v>
          </cell>
          <cell r="B395" t="str">
            <v>宾倪</v>
          </cell>
        </row>
        <row r="396">
          <cell r="A396">
            <v>92284</v>
          </cell>
          <cell r="B396" t="str">
            <v>大迭钞票</v>
          </cell>
        </row>
        <row r="397">
          <cell r="A397">
            <v>92288</v>
          </cell>
          <cell r="B397" t="str">
            <v>大金块</v>
          </cell>
        </row>
        <row r="398">
          <cell r="A398">
            <v>92125</v>
          </cell>
          <cell r="B398" t="str">
            <v>红石耳钉</v>
          </cell>
        </row>
        <row r="399">
          <cell r="A399">
            <v>92134</v>
          </cell>
          <cell r="B399" t="str">
            <v>毒蝎耳钉</v>
          </cell>
        </row>
        <row r="400">
          <cell r="A400">
            <v>92223</v>
          </cell>
          <cell r="B400" t="str">
            <v>赤金戒指</v>
          </cell>
        </row>
        <row r="401">
          <cell r="A401">
            <v>92227</v>
          </cell>
          <cell r="B401" t="str">
            <v>王者手环</v>
          </cell>
        </row>
        <row r="402">
          <cell r="A402">
            <v>92236</v>
          </cell>
          <cell r="B402" t="str">
            <v>符文手环</v>
          </cell>
        </row>
        <row r="403">
          <cell r="A403">
            <v>92013</v>
          </cell>
          <cell r="B403" t="str">
            <v>月立</v>
          </cell>
        </row>
        <row r="404">
          <cell r="A404">
            <v>92253</v>
          </cell>
          <cell r="B404" t="str">
            <v>猫妖项链</v>
          </cell>
        </row>
        <row r="405">
          <cell r="A405">
            <v>92254</v>
          </cell>
          <cell r="B405" t="str">
            <v>苍蓝项链</v>
          </cell>
        </row>
        <row r="406">
          <cell r="A406">
            <v>92274</v>
          </cell>
          <cell r="B406" t="str">
            <v>汉密手表</v>
          </cell>
        </row>
        <row r="407">
          <cell r="A407">
            <v>92280</v>
          </cell>
          <cell r="B407" t="str">
            <v>法拉捷</v>
          </cell>
        </row>
        <row r="408">
          <cell r="A408">
            <v>92285</v>
          </cell>
          <cell r="B408" t="str">
            <v>大堆钞票</v>
          </cell>
        </row>
        <row r="409">
          <cell r="A409">
            <v>92289</v>
          </cell>
          <cell r="B409" t="str">
            <v>小堆金块</v>
          </cell>
        </row>
        <row r="410">
          <cell r="A410">
            <v>92014</v>
          </cell>
          <cell r="B410" t="str">
            <v>菠萝</v>
          </cell>
        </row>
        <row r="411">
          <cell r="A411">
            <v>92296</v>
          </cell>
          <cell r="B411" t="str">
            <v>星光红石</v>
          </cell>
        </row>
        <row r="412">
          <cell r="A412">
            <v>92240</v>
          </cell>
          <cell r="B412" t="str">
            <v>苍蓝戒指</v>
          </cell>
        </row>
        <row r="413">
          <cell r="A413">
            <v>92292</v>
          </cell>
          <cell r="B413" t="str">
            <v>金饰宝盒</v>
          </cell>
        </row>
        <row r="414">
          <cell r="A414">
            <v>92256</v>
          </cell>
          <cell r="B414" t="str">
            <v>圣徒项链</v>
          </cell>
        </row>
        <row r="415">
          <cell r="A415">
            <v>92261</v>
          </cell>
          <cell r="B415" t="str">
            <v>贵族项链</v>
          </cell>
        </row>
        <row r="416">
          <cell r="A416">
            <v>92275</v>
          </cell>
          <cell r="B416" t="str">
            <v>千国手表</v>
          </cell>
        </row>
        <row r="417">
          <cell r="A417">
            <v>92281</v>
          </cell>
          <cell r="B417" t="str">
            <v>红博机利</v>
          </cell>
        </row>
        <row r="418">
          <cell r="A418">
            <v>92286</v>
          </cell>
          <cell r="B418" t="str">
            <v>巨额钞票</v>
          </cell>
        </row>
        <row r="419">
          <cell r="A419">
            <v>92290</v>
          </cell>
          <cell r="B419" t="str">
            <v>大堆金块</v>
          </cell>
        </row>
        <row r="420">
          <cell r="A420">
            <v>92026</v>
          </cell>
          <cell r="B420" t="str">
            <v>深蓝</v>
          </cell>
        </row>
        <row r="421">
          <cell r="A421">
            <v>92255</v>
          </cell>
          <cell r="B421" t="str">
            <v>黑耀项链</v>
          </cell>
        </row>
        <row r="422">
          <cell r="A422">
            <v>92297</v>
          </cell>
          <cell r="B422" t="str">
            <v>翠绿之心</v>
          </cell>
        </row>
        <row r="423">
          <cell r="A423">
            <v>92293</v>
          </cell>
          <cell r="B423" t="str">
            <v>珍珠宝盒</v>
          </cell>
        </row>
        <row r="424">
          <cell r="A424">
            <v>92294</v>
          </cell>
          <cell r="B424" t="str">
            <v>古董宝盒</v>
          </cell>
        </row>
        <row r="425">
          <cell r="A425">
            <v>92295</v>
          </cell>
          <cell r="B425" t="str">
            <v>水晶宝盒</v>
          </cell>
        </row>
        <row r="426">
          <cell r="A426">
            <v>92262</v>
          </cell>
          <cell r="B426" t="str">
            <v>皇家项链</v>
          </cell>
        </row>
        <row r="427">
          <cell r="A427">
            <v>92298</v>
          </cell>
          <cell r="B427" t="str">
            <v>海洋之泪</v>
          </cell>
        </row>
        <row r="428">
          <cell r="A428">
            <v>92276</v>
          </cell>
          <cell r="B428" t="str">
            <v>壕利手表</v>
          </cell>
        </row>
        <row r="429">
          <cell r="A429">
            <v>92282</v>
          </cell>
          <cell r="B429" t="str">
            <v>劳莱斯特</v>
          </cell>
        </row>
        <row r="430">
          <cell r="A430">
            <v>92299</v>
          </cell>
          <cell r="B430" t="str">
            <v>房产证</v>
          </cell>
        </row>
        <row r="431">
          <cell r="A431">
            <v>92291</v>
          </cell>
          <cell r="B431" t="str">
            <v>巨量金块</v>
          </cell>
        </row>
        <row r="432">
          <cell r="A432">
            <v>93233</v>
          </cell>
          <cell r="B432" t="str">
            <v>白金手环碎片</v>
          </cell>
        </row>
        <row r="433">
          <cell r="A433">
            <v>93122</v>
          </cell>
          <cell r="B433" t="str">
            <v>银饰耳钉碎片</v>
          </cell>
        </row>
        <row r="434">
          <cell r="A434">
            <v>93141</v>
          </cell>
          <cell r="B434" t="str">
            <v>白银戒指碎片</v>
          </cell>
        </row>
        <row r="435">
          <cell r="A435">
            <v>93245</v>
          </cell>
          <cell r="B435" t="str">
            <v>水晶项链碎片</v>
          </cell>
        </row>
        <row r="436">
          <cell r="A436">
            <v>93251</v>
          </cell>
          <cell r="B436" t="str">
            <v>红石项链碎片</v>
          </cell>
        </row>
        <row r="437">
          <cell r="A437">
            <v>93264</v>
          </cell>
          <cell r="B437" t="str">
            <v>越野手表碎片</v>
          </cell>
        </row>
        <row r="438">
          <cell r="A438">
            <v>93271</v>
          </cell>
          <cell r="B438" t="str">
            <v>精准手表碎片</v>
          </cell>
        </row>
        <row r="439">
          <cell r="A439">
            <v>93278</v>
          </cell>
          <cell r="B439" t="str">
            <v>宝驼碎片</v>
          </cell>
        </row>
        <row r="440">
          <cell r="A440">
            <v>93283</v>
          </cell>
          <cell r="B440" t="str">
            <v>小迭钞票碎片</v>
          </cell>
        </row>
        <row r="441">
          <cell r="A441">
            <v>93287</v>
          </cell>
          <cell r="B441" t="str">
            <v>金块碎片</v>
          </cell>
        </row>
        <row r="442">
          <cell r="A442">
            <v>93142</v>
          </cell>
          <cell r="B442" t="str">
            <v>黄金戒指碎片</v>
          </cell>
        </row>
        <row r="443">
          <cell r="A443">
            <v>93235</v>
          </cell>
          <cell r="B443" t="str">
            <v>宝石手环碎片</v>
          </cell>
        </row>
        <row r="444">
          <cell r="A444">
            <v>93012</v>
          </cell>
          <cell r="B444" t="str">
            <v>摩拉碎片</v>
          </cell>
        </row>
        <row r="445">
          <cell r="A445">
            <v>93252</v>
          </cell>
          <cell r="B445" t="str">
            <v>青玉项链碎片</v>
          </cell>
        </row>
        <row r="446">
          <cell r="A446">
            <v>93124</v>
          </cell>
          <cell r="B446" t="str">
            <v>水晶耳钉碎片</v>
          </cell>
        </row>
        <row r="447">
          <cell r="A447">
            <v>93272</v>
          </cell>
          <cell r="B447" t="str">
            <v>金针手表碎片</v>
          </cell>
        </row>
        <row r="448">
          <cell r="A448">
            <v>93273</v>
          </cell>
          <cell r="B448" t="str">
            <v>智能手表碎片</v>
          </cell>
        </row>
        <row r="449">
          <cell r="A449">
            <v>93279</v>
          </cell>
          <cell r="B449" t="str">
            <v>宾倪碎片</v>
          </cell>
        </row>
        <row r="450">
          <cell r="A450">
            <v>93284</v>
          </cell>
          <cell r="B450" t="str">
            <v>大迭钞票碎片</v>
          </cell>
        </row>
        <row r="451">
          <cell r="A451">
            <v>93288</v>
          </cell>
          <cell r="B451" t="str">
            <v>大金块碎片</v>
          </cell>
        </row>
        <row r="452">
          <cell r="A452">
            <v>93125</v>
          </cell>
          <cell r="B452" t="str">
            <v>红石耳钉碎片</v>
          </cell>
        </row>
        <row r="453">
          <cell r="A453">
            <v>93134</v>
          </cell>
          <cell r="B453" t="str">
            <v>毒蝎耳钉碎片</v>
          </cell>
        </row>
        <row r="454">
          <cell r="A454">
            <v>93223</v>
          </cell>
          <cell r="B454" t="str">
            <v>赤金戒指碎片</v>
          </cell>
        </row>
        <row r="455">
          <cell r="A455">
            <v>93227</v>
          </cell>
          <cell r="B455" t="str">
            <v>王者手环碎片</v>
          </cell>
        </row>
        <row r="456">
          <cell r="A456">
            <v>93236</v>
          </cell>
          <cell r="B456" t="str">
            <v>符文手环碎片</v>
          </cell>
        </row>
        <row r="457">
          <cell r="A457">
            <v>93013</v>
          </cell>
          <cell r="B457" t="str">
            <v>月立碎片</v>
          </cell>
        </row>
        <row r="458">
          <cell r="A458">
            <v>93253</v>
          </cell>
          <cell r="B458" t="str">
            <v>猫妖项链碎片</v>
          </cell>
        </row>
        <row r="459">
          <cell r="A459">
            <v>93254</v>
          </cell>
          <cell r="B459" t="str">
            <v>苍蓝项链碎片</v>
          </cell>
        </row>
        <row r="460">
          <cell r="A460">
            <v>93274</v>
          </cell>
          <cell r="B460" t="str">
            <v>汉密手表碎片</v>
          </cell>
        </row>
        <row r="461">
          <cell r="A461">
            <v>93280</v>
          </cell>
          <cell r="B461" t="str">
            <v>法拉捷碎片</v>
          </cell>
        </row>
        <row r="462">
          <cell r="A462">
            <v>93285</v>
          </cell>
          <cell r="B462" t="str">
            <v>大堆钞票碎片</v>
          </cell>
        </row>
        <row r="463">
          <cell r="A463">
            <v>93289</v>
          </cell>
          <cell r="B463" t="str">
            <v>小堆金块碎片</v>
          </cell>
        </row>
        <row r="464">
          <cell r="A464">
            <v>93014</v>
          </cell>
          <cell r="B464" t="str">
            <v>菠萝碎片</v>
          </cell>
        </row>
        <row r="465">
          <cell r="A465">
            <v>93296</v>
          </cell>
          <cell r="B465" t="str">
            <v>星光红石碎片</v>
          </cell>
        </row>
        <row r="466">
          <cell r="A466">
            <v>93240</v>
          </cell>
          <cell r="B466" t="str">
            <v>苍蓝戒指碎片</v>
          </cell>
        </row>
        <row r="467">
          <cell r="A467">
            <v>93292</v>
          </cell>
          <cell r="B467" t="str">
            <v>金饰宝盒碎片</v>
          </cell>
        </row>
        <row r="468">
          <cell r="A468">
            <v>93256</v>
          </cell>
          <cell r="B468" t="str">
            <v>圣徒项链碎片</v>
          </cell>
        </row>
        <row r="469">
          <cell r="A469">
            <v>93261</v>
          </cell>
          <cell r="B469" t="str">
            <v>贵族项链碎片</v>
          </cell>
        </row>
        <row r="470">
          <cell r="A470">
            <v>93275</v>
          </cell>
          <cell r="B470" t="str">
            <v>千国手表碎片</v>
          </cell>
        </row>
        <row r="471">
          <cell r="A471">
            <v>93281</v>
          </cell>
          <cell r="B471" t="str">
            <v>红博机利碎片</v>
          </cell>
        </row>
        <row r="472">
          <cell r="A472">
            <v>93286</v>
          </cell>
          <cell r="B472" t="str">
            <v>巨额钞票碎片</v>
          </cell>
        </row>
        <row r="473">
          <cell r="A473">
            <v>93290</v>
          </cell>
          <cell r="B473" t="str">
            <v>大堆金块碎片</v>
          </cell>
        </row>
        <row r="474">
          <cell r="A474">
            <v>93026</v>
          </cell>
          <cell r="B474" t="str">
            <v>深蓝碎片</v>
          </cell>
        </row>
        <row r="475">
          <cell r="A475">
            <v>93255</v>
          </cell>
          <cell r="B475" t="str">
            <v>黑耀项链碎片</v>
          </cell>
        </row>
        <row r="476">
          <cell r="A476">
            <v>93297</v>
          </cell>
          <cell r="B476" t="str">
            <v>翠绿之心碎片</v>
          </cell>
        </row>
        <row r="477">
          <cell r="A477">
            <v>93293</v>
          </cell>
          <cell r="B477" t="str">
            <v>珍珠宝盒碎片</v>
          </cell>
        </row>
        <row r="478">
          <cell r="A478">
            <v>93294</v>
          </cell>
          <cell r="B478" t="str">
            <v>古董宝盒碎片</v>
          </cell>
        </row>
        <row r="479">
          <cell r="A479">
            <v>93295</v>
          </cell>
          <cell r="B479" t="str">
            <v>水晶宝盒碎片</v>
          </cell>
        </row>
        <row r="480">
          <cell r="A480">
            <v>93262</v>
          </cell>
          <cell r="B480" t="str">
            <v>皇家项链碎片</v>
          </cell>
        </row>
        <row r="481">
          <cell r="A481">
            <v>93298</v>
          </cell>
          <cell r="B481" t="str">
            <v>海洋之泪碎片</v>
          </cell>
        </row>
        <row r="482">
          <cell r="A482">
            <v>93276</v>
          </cell>
          <cell r="B482" t="str">
            <v>壕利手表碎片</v>
          </cell>
        </row>
        <row r="483">
          <cell r="A483">
            <v>93282</v>
          </cell>
          <cell r="B483" t="str">
            <v>劳莱斯特碎片</v>
          </cell>
        </row>
        <row r="484">
          <cell r="A484">
            <v>93299</v>
          </cell>
          <cell r="B484" t="str">
            <v>房产证碎片</v>
          </cell>
        </row>
        <row r="485">
          <cell r="A485">
            <v>93291</v>
          </cell>
          <cell r="B485" t="str">
            <v>巨量金块碎片</v>
          </cell>
        </row>
        <row r="486">
          <cell r="A486">
            <v>101101</v>
          </cell>
          <cell r="B486" t="str">
            <v>制服太妹</v>
          </cell>
        </row>
        <row r="487">
          <cell r="A487">
            <v>101102</v>
          </cell>
          <cell r="B487" t="str">
            <v>蟹仔</v>
          </cell>
        </row>
        <row r="488">
          <cell r="A488">
            <v>101103</v>
          </cell>
          <cell r="B488" t="str">
            <v>比利</v>
          </cell>
        </row>
        <row r="489">
          <cell r="A489">
            <v>101104</v>
          </cell>
          <cell r="B489" t="str">
            <v>黎九</v>
          </cell>
        </row>
        <row r="490">
          <cell r="A490">
            <v>101105</v>
          </cell>
          <cell r="B490" t="str">
            <v>黑古</v>
          </cell>
        </row>
        <row r="491">
          <cell r="A491">
            <v>101106</v>
          </cell>
          <cell r="B491" t="str">
            <v>靓坤</v>
          </cell>
        </row>
        <row r="492">
          <cell r="A492">
            <v>101107</v>
          </cell>
          <cell r="B492" t="str">
            <v>雷复轰</v>
          </cell>
        </row>
        <row r="493">
          <cell r="A493">
            <v>101108</v>
          </cell>
          <cell r="B493" t="str">
            <v>肥仔</v>
          </cell>
        </row>
        <row r="494">
          <cell r="A494">
            <v>101109</v>
          </cell>
          <cell r="B494" t="str">
            <v>司徒浩南</v>
          </cell>
        </row>
        <row r="495">
          <cell r="A495">
            <v>101110</v>
          </cell>
          <cell r="B495" t="str">
            <v>乌鸦</v>
          </cell>
        </row>
        <row r="496">
          <cell r="A496">
            <v>101111</v>
          </cell>
          <cell r="B496" t="str">
            <v>赌王</v>
          </cell>
        </row>
        <row r="497">
          <cell r="A497">
            <v>101112</v>
          </cell>
          <cell r="B497" t="str">
            <v>山下忠秀</v>
          </cell>
        </row>
        <row r="498">
          <cell r="A498">
            <v>101113</v>
          </cell>
          <cell r="B498" t="str">
            <v>宫本一</v>
          </cell>
        </row>
        <row r="499">
          <cell r="A499">
            <v>101114</v>
          </cell>
          <cell r="B499" t="str">
            <v>陈浩南</v>
          </cell>
        </row>
        <row r="500">
          <cell r="A500">
            <v>101115</v>
          </cell>
          <cell r="B500" t="str">
            <v>山鸡</v>
          </cell>
        </row>
        <row r="501">
          <cell r="A501">
            <v>101116</v>
          </cell>
          <cell r="B501" t="str">
            <v>大天二</v>
          </cell>
        </row>
        <row r="502">
          <cell r="A502">
            <v>101117</v>
          </cell>
          <cell r="B502" t="str">
            <v>巴闭</v>
          </cell>
        </row>
        <row r="503">
          <cell r="A503">
            <v>101118</v>
          </cell>
          <cell r="B503" t="str">
            <v>耀阳</v>
          </cell>
        </row>
        <row r="504">
          <cell r="A504">
            <v>101119</v>
          </cell>
          <cell r="B504" t="str">
            <v>笑面虎</v>
          </cell>
        </row>
        <row r="505">
          <cell r="A505">
            <v>59001</v>
          </cell>
          <cell r="B505" t="str">
            <v>洪兴新星</v>
          </cell>
        </row>
        <row r="506">
          <cell r="A506">
            <v>59002</v>
          </cell>
          <cell r="B506" t="str">
            <v>洪兴打仔</v>
          </cell>
        </row>
        <row r="507">
          <cell r="A507">
            <v>59003</v>
          </cell>
          <cell r="B507" t="str">
            <v>扛把子</v>
          </cell>
        </row>
        <row r="508">
          <cell r="A508">
            <v>59004</v>
          </cell>
          <cell r="B508" t="str">
            <v>二路元帅</v>
          </cell>
        </row>
        <row r="509">
          <cell r="A509">
            <v>59005</v>
          </cell>
          <cell r="B509" t="str">
            <v>战无不胜</v>
          </cell>
        </row>
        <row r="510">
          <cell r="A510">
            <v>59006</v>
          </cell>
          <cell r="B510" t="str">
            <v>猛龙过江</v>
          </cell>
        </row>
        <row r="511">
          <cell r="A511">
            <v>59007</v>
          </cell>
          <cell r="B511" t="str">
            <v>神之手</v>
          </cell>
        </row>
        <row r="512">
          <cell r="A512">
            <v>59008</v>
          </cell>
          <cell r="B512" t="str">
            <v>富甲一方</v>
          </cell>
        </row>
        <row r="513">
          <cell r="A513">
            <v>59009</v>
          </cell>
          <cell r="B513" t="str">
            <v>壕气冲天</v>
          </cell>
        </row>
        <row r="514">
          <cell r="A514">
            <v>59010</v>
          </cell>
          <cell r="B514" t="str">
            <v>富可敌国</v>
          </cell>
        </row>
        <row r="515">
          <cell r="A515">
            <v>59030</v>
          </cell>
          <cell r="B515" t="str">
            <v>洪兴小财主</v>
          </cell>
        </row>
        <row r="516">
          <cell r="A516">
            <v>8001</v>
          </cell>
          <cell r="B516" t="str">
            <v>灰色物质</v>
          </cell>
        </row>
        <row r="517">
          <cell r="A517">
            <v>8110</v>
          </cell>
          <cell r="B517" t="str">
            <v>兽腾</v>
          </cell>
        </row>
        <row r="518">
          <cell r="A518">
            <v>8210</v>
          </cell>
          <cell r="B518" t="str">
            <v>战狂</v>
          </cell>
        </row>
        <row r="519">
          <cell r="A519">
            <v>8310</v>
          </cell>
          <cell r="B519" t="str">
            <v>贪狼</v>
          </cell>
        </row>
        <row r="520">
          <cell r="A520">
            <v>8120</v>
          </cell>
          <cell r="B520" t="str">
            <v>辉煌</v>
          </cell>
        </row>
        <row r="521">
          <cell r="A521">
            <v>8220</v>
          </cell>
          <cell r="B521" t="str">
            <v>破军</v>
          </cell>
        </row>
        <row r="522">
          <cell r="A522">
            <v>8320</v>
          </cell>
          <cell r="B522" t="str">
            <v>真刚</v>
          </cell>
        </row>
        <row r="523">
          <cell r="A523">
            <v>8420</v>
          </cell>
          <cell r="B523" t="str">
            <v>飞仙</v>
          </cell>
        </row>
        <row r="524">
          <cell r="A524">
            <v>8520</v>
          </cell>
          <cell r="B524" t="str">
            <v>虚空</v>
          </cell>
        </row>
        <row r="525">
          <cell r="A525">
            <v>8620</v>
          </cell>
          <cell r="B525" t="str">
            <v>无惧</v>
          </cell>
        </row>
        <row r="526">
          <cell r="A526">
            <v>8720</v>
          </cell>
          <cell r="B526" t="str">
            <v>天杀</v>
          </cell>
        </row>
        <row r="527">
          <cell r="A527">
            <v>8820</v>
          </cell>
          <cell r="B527" t="str">
            <v>诛魔</v>
          </cell>
        </row>
        <row r="528">
          <cell r="A528">
            <v>8130</v>
          </cell>
          <cell r="B528" t="str">
            <v>霸主</v>
          </cell>
        </row>
        <row r="529">
          <cell r="A529">
            <v>8230</v>
          </cell>
          <cell r="B529" t="str">
            <v>虎啸</v>
          </cell>
        </row>
        <row r="530">
          <cell r="A530">
            <v>8330</v>
          </cell>
          <cell r="B530" t="str">
            <v>豪魄</v>
          </cell>
        </row>
        <row r="531">
          <cell r="A531">
            <v>8430</v>
          </cell>
          <cell r="B531" t="str">
            <v>捉影</v>
          </cell>
        </row>
        <row r="532">
          <cell r="A532">
            <v>8530</v>
          </cell>
          <cell r="B532" t="str">
            <v>游刃</v>
          </cell>
        </row>
        <row r="533">
          <cell r="A533">
            <v>8630</v>
          </cell>
          <cell r="B533" t="str">
            <v>傲骨</v>
          </cell>
        </row>
        <row r="534">
          <cell r="A534">
            <v>8730</v>
          </cell>
          <cell r="B534" t="str">
            <v>心眼</v>
          </cell>
        </row>
        <row r="535">
          <cell r="A535">
            <v>8830</v>
          </cell>
          <cell r="B535" t="str">
            <v>噬生</v>
          </cell>
        </row>
        <row r="536">
          <cell r="A536">
            <v>8930</v>
          </cell>
          <cell r="B536" t="str">
            <v>痛击</v>
          </cell>
        </row>
        <row r="537">
          <cell r="A537">
            <v>9030</v>
          </cell>
          <cell r="B537" t="str">
            <v>不坏</v>
          </cell>
        </row>
        <row r="538">
          <cell r="A538">
            <v>9130</v>
          </cell>
          <cell r="B538" t="str">
            <v>寂灭</v>
          </cell>
        </row>
        <row r="539">
          <cell r="A539">
            <v>9230</v>
          </cell>
          <cell r="B539" t="str">
            <v>盘蛇</v>
          </cell>
        </row>
        <row r="540">
          <cell r="A540">
            <v>8140</v>
          </cell>
          <cell r="B540" t="str">
            <v>天命</v>
          </cell>
        </row>
        <row r="541">
          <cell r="A541">
            <v>8240</v>
          </cell>
          <cell r="B541" t="str">
            <v>龙吟</v>
          </cell>
        </row>
        <row r="542">
          <cell r="A542">
            <v>8340</v>
          </cell>
          <cell r="B542" t="str">
            <v>守御</v>
          </cell>
        </row>
        <row r="543">
          <cell r="A543">
            <v>8440</v>
          </cell>
          <cell r="B543" t="str">
            <v>千眼</v>
          </cell>
        </row>
        <row r="544">
          <cell r="A544">
            <v>8540</v>
          </cell>
          <cell r="B544" t="str">
            <v>逍遥</v>
          </cell>
        </row>
        <row r="545">
          <cell r="A545">
            <v>8640</v>
          </cell>
          <cell r="B545" t="str">
            <v>流离</v>
          </cell>
        </row>
        <row r="546">
          <cell r="A546">
            <v>8740</v>
          </cell>
          <cell r="B546" t="str">
            <v>夺魄</v>
          </cell>
        </row>
        <row r="547">
          <cell r="A547">
            <v>8840</v>
          </cell>
          <cell r="B547" t="str">
            <v>审判</v>
          </cell>
        </row>
        <row r="548">
          <cell r="A548">
            <v>8940</v>
          </cell>
          <cell r="B548" t="str">
            <v>破天</v>
          </cell>
        </row>
        <row r="549">
          <cell r="A549">
            <v>9040</v>
          </cell>
          <cell r="B549" t="str">
            <v>天狱</v>
          </cell>
        </row>
        <row r="550">
          <cell r="A550">
            <v>9140</v>
          </cell>
          <cell r="B550" t="str">
            <v>幽灵</v>
          </cell>
        </row>
        <row r="551">
          <cell r="A551">
            <v>9240</v>
          </cell>
          <cell r="B551" t="str">
            <v>困魔</v>
          </cell>
        </row>
        <row r="552">
          <cell r="A552">
            <v>9340</v>
          </cell>
          <cell r="B552" t="str">
            <v>无尽</v>
          </cell>
        </row>
        <row r="553">
          <cell r="A553">
            <v>9440</v>
          </cell>
          <cell r="B553" t="str">
            <v>无尽</v>
          </cell>
        </row>
        <row r="554">
          <cell r="A554">
            <v>9540</v>
          </cell>
          <cell r="B554" t="str">
            <v>八卦</v>
          </cell>
        </row>
        <row r="555">
          <cell r="A555">
            <v>9640</v>
          </cell>
          <cell r="B555" t="str">
            <v>剎那</v>
          </cell>
        </row>
        <row r="556">
          <cell r="A556">
            <v>9740</v>
          </cell>
          <cell r="B556" t="str">
            <v>咆哮</v>
          </cell>
        </row>
        <row r="557">
          <cell r="A557">
            <v>9840</v>
          </cell>
          <cell r="B557" t="str">
            <v>断罪</v>
          </cell>
        </row>
        <row r="558">
          <cell r="A558">
            <v>8150</v>
          </cell>
          <cell r="B558" t="str">
            <v>一元复始</v>
          </cell>
        </row>
        <row r="559">
          <cell r="A559">
            <v>8250</v>
          </cell>
          <cell r="B559" t="str">
            <v>大破坏神</v>
          </cell>
        </row>
        <row r="560">
          <cell r="A560">
            <v>8350</v>
          </cell>
          <cell r="B560" t="str">
            <v>天地无用</v>
          </cell>
        </row>
        <row r="561">
          <cell r="A561">
            <v>8450</v>
          </cell>
          <cell r="B561" t="str">
            <v>百步穿杨</v>
          </cell>
        </row>
        <row r="562">
          <cell r="A562">
            <v>8550</v>
          </cell>
          <cell r="B562" t="str">
            <v>破碎虚空</v>
          </cell>
        </row>
        <row r="563">
          <cell r="A563">
            <v>8650</v>
          </cell>
          <cell r="B563" t="str">
            <v>冰魄寒光</v>
          </cell>
        </row>
        <row r="564">
          <cell r="A564">
            <v>8750</v>
          </cell>
          <cell r="B564" t="str">
            <v>震破苍穹</v>
          </cell>
        </row>
        <row r="565">
          <cell r="A565">
            <v>8850</v>
          </cell>
          <cell r="B565" t="str">
            <v>雷霆万钧</v>
          </cell>
        </row>
        <row r="566">
          <cell r="A566">
            <v>8950</v>
          </cell>
          <cell r="B566" t="str">
            <v>快刀乱麻</v>
          </cell>
        </row>
        <row r="567">
          <cell r="A567">
            <v>9050</v>
          </cell>
          <cell r="B567" t="str">
            <v>明镜止水</v>
          </cell>
        </row>
        <row r="568">
          <cell r="A568">
            <v>9150</v>
          </cell>
          <cell r="B568" t="str">
            <v>背水一战</v>
          </cell>
        </row>
        <row r="569">
          <cell r="A569">
            <v>9250</v>
          </cell>
          <cell r="B569" t="str">
            <v>金钟护体</v>
          </cell>
        </row>
        <row r="570">
          <cell r="A570">
            <v>9350</v>
          </cell>
          <cell r="B570" t="str">
            <v>轩辕剑体</v>
          </cell>
        </row>
        <row r="571">
          <cell r="A571">
            <v>9450</v>
          </cell>
          <cell r="B571" t="str">
            <v>气势如虹</v>
          </cell>
        </row>
        <row r="572">
          <cell r="A572">
            <v>9550</v>
          </cell>
          <cell r="B572" t="str">
            <v>包罗万象</v>
          </cell>
        </row>
        <row r="573">
          <cell r="A573">
            <v>9650</v>
          </cell>
          <cell r="B573" t="str">
            <v>心无杂念</v>
          </cell>
        </row>
        <row r="574">
          <cell r="A574">
            <v>9750</v>
          </cell>
          <cell r="B574" t="str">
            <v>披荆斩棘</v>
          </cell>
        </row>
        <row r="575">
          <cell r="A575">
            <v>9850</v>
          </cell>
          <cell r="B575" t="str">
            <v>斗转星移</v>
          </cell>
        </row>
        <row r="576">
          <cell r="A576">
            <v>8840</v>
          </cell>
          <cell r="B576" t="str">
            <v>审判</v>
          </cell>
        </row>
        <row r="577">
          <cell r="A577">
            <v>8940</v>
          </cell>
          <cell r="B577" t="str">
            <v>破天</v>
          </cell>
        </row>
        <row r="578">
          <cell r="A578">
            <v>9040</v>
          </cell>
          <cell r="B578" t="str">
            <v>天狱</v>
          </cell>
        </row>
        <row r="579">
          <cell r="A579">
            <v>9140</v>
          </cell>
          <cell r="B579" t="str">
            <v>幽灵</v>
          </cell>
        </row>
        <row r="580">
          <cell r="A580">
            <v>9240</v>
          </cell>
          <cell r="B580" t="str">
            <v>困魔</v>
          </cell>
        </row>
        <row r="581">
          <cell r="A581">
            <v>9340</v>
          </cell>
          <cell r="B581" t="str">
            <v>元初</v>
          </cell>
        </row>
        <row r="582">
          <cell r="A582">
            <v>9440</v>
          </cell>
          <cell r="B582" t="str">
            <v>无尽</v>
          </cell>
        </row>
        <row r="583">
          <cell r="A583">
            <v>9540</v>
          </cell>
          <cell r="B583" t="str">
            <v>八卦</v>
          </cell>
        </row>
        <row r="584">
          <cell r="A584">
            <v>9640</v>
          </cell>
          <cell r="B584" t="str">
            <v>剎那</v>
          </cell>
        </row>
        <row r="585">
          <cell r="A585">
            <v>9740</v>
          </cell>
          <cell r="B585" t="str">
            <v>咆哮</v>
          </cell>
        </row>
        <row r="586">
          <cell r="A586">
            <v>9840</v>
          </cell>
          <cell r="B586" t="str">
            <v>断罪</v>
          </cell>
        </row>
        <row r="587">
          <cell r="A587">
            <v>8150</v>
          </cell>
          <cell r="B587" t="str">
            <v>一元复始</v>
          </cell>
        </row>
        <row r="588">
          <cell r="A588">
            <v>8250</v>
          </cell>
          <cell r="B588" t="str">
            <v>大破坏神</v>
          </cell>
        </row>
        <row r="589">
          <cell r="A589">
            <v>8350</v>
          </cell>
          <cell r="B589" t="str">
            <v>天地无用</v>
          </cell>
        </row>
        <row r="590">
          <cell r="A590">
            <v>8450</v>
          </cell>
          <cell r="B590" t="str">
            <v>百步穿杨</v>
          </cell>
        </row>
        <row r="591">
          <cell r="A591">
            <v>8550</v>
          </cell>
          <cell r="B591" t="str">
            <v>破碎虚空</v>
          </cell>
        </row>
        <row r="592">
          <cell r="A592">
            <v>8650</v>
          </cell>
          <cell r="B592" t="str">
            <v>冰魄寒光</v>
          </cell>
        </row>
        <row r="593">
          <cell r="A593">
            <v>8750</v>
          </cell>
          <cell r="B593" t="str">
            <v>震破苍穹</v>
          </cell>
        </row>
        <row r="594">
          <cell r="A594">
            <v>8850</v>
          </cell>
          <cell r="B594" t="str">
            <v>雷霆万钧</v>
          </cell>
        </row>
        <row r="595">
          <cell r="A595">
            <v>8950</v>
          </cell>
          <cell r="B595" t="str">
            <v>快刀乱麻</v>
          </cell>
        </row>
        <row r="596">
          <cell r="A596">
            <v>9050</v>
          </cell>
          <cell r="B596" t="str">
            <v>明镜止水</v>
          </cell>
        </row>
        <row r="597">
          <cell r="A597">
            <v>9150</v>
          </cell>
          <cell r="B597" t="str">
            <v>背水一战</v>
          </cell>
        </row>
        <row r="598">
          <cell r="A598">
            <v>9250</v>
          </cell>
          <cell r="B598" t="str">
            <v>金钟护体</v>
          </cell>
        </row>
        <row r="599">
          <cell r="A599">
            <v>9350</v>
          </cell>
          <cell r="B599" t="str">
            <v>轩辕剑体</v>
          </cell>
        </row>
        <row r="600">
          <cell r="A600">
            <v>9450</v>
          </cell>
          <cell r="B600" t="str">
            <v>气势如虹</v>
          </cell>
        </row>
        <row r="601">
          <cell r="A601">
            <v>9550</v>
          </cell>
          <cell r="B601" t="str">
            <v>包罗万象</v>
          </cell>
        </row>
        <row r="602">
          <cell r="A602">
            <v>9650</v>
          </cell>
          <cell r="B602" t="str">
            <v>心无杂念</v>
          </cell>
        </row>
        <row r="603">
          <cell r="A603">
            <v>9750</v>
          </cell>
          <cell r="B603" t="str">
            <v>披荆斩棘</v>
          </cell>
        </row>
        <row r="604">
          <cell r="A604">
            <v>9850</v>
          </cell>
          <cell r="B604" t="str">
            <v>斗转星移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UI配置表"/>
      <sheetName val="D_目标选择"/>
      <sheetName val="D_服务器配置"/>
      <sheetName val="D_TIP配置"/>
      <sheetName val="D_系统帮助"/>
      <sheetName val="D_错误代码"/>
      <sheetName val="D_文字转化"/>
      <sheetName val="D_域名"/>
      <sheetName val="D_我要变强"/>
      <sheetName val="D_走马灯表"/>
      <sheetName val="D_颜色对应"/>
      <sheetName val="D_公式常数表"/>
      <sheetName val="D_小提示"/>
      <sheetName val="D_战力评分"/>
      <sheetName val="D_LOADING小提示"/>
      <sheetName val="D_走马灯配置"/>
      <sheetName val="D_VIP等级红包配置表"/>
      <sheetName val="Sheet1"/>
    </sheetNames>
    <sheetDataSet>
      <sheetData sheetId="0">
        <row r="1">
          <cell r="B1" t="str">
            <v>名称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0">
          <cell r="D20">
            <v>5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0">
          <cell r="W20">
            <v>1</v>
          </cell>
          <cell r="X20">
            <v>10</v>
          </cell>
          <cell r="Y20">
            <v>1</v>
          </cell>
          <cell r="Z20">
            <v>6</v>
          </cell>
          <cell r="AA20">
            <v>1</v>
          </cell>
          <cell r="AB20">
            <v>12</v>
          </cell>
          <cell r="AC20">
            <v>1</v>
          </cell>
          <cell r="AD20">
            <v>6</v>
          </cell>
        </row>
        <row r="21">
          <cell r="W21">
            <v>2</v>
          </cell>
          <cell r="X21">
            <v>10</v>
          </cell>
          <cell r="Y21">
            <v>2</v>
          </cell>
          <cell r="Z21">
            <v>6</v>
          </cell>
          <cell r="AA21">
            <v>2</v>
          </cell>
          <cell r="AB21">
            <v>12</v>
          </cell>
          <cell r="AC21">
            <v>2</v>
          </cell>
          <cell r="AD21">
            <v>12</v>
          </cell>
        </row>
        <row r="22">
          <cell r="W22">
            <v>3</v>
          </cell>
          <cell r="X22">
            <v>10</v>
          </cell>
          <cell r="Y22">
            <v>3</v>
          </cell>
          <cell r="Z22">
            <v>6</v>
          </cell>
          <cell r="AA22">
            <v>3</v>
          </cell>
          <cell r="AB22">
            <v>12</v>
          </cell>
          <cell r="AC22">
            <v>3</v>
          </cell>
          <cell r="AD22">
            <v>36</v>
          </cell>
        </row>
        <row r="23">
          <cell r="W23">
            <v>4</v>
          </cell>
          <cell r="X23">
            <v>12</v>
          </cell>
          <cell r="Y23">
            <v>4</v>
          </cell>
          <cell r="Z23">
            <v>8</v>
          </cell>
          <cell r="AA23">
            <v>4</v>
          </cell>
          <cell r="AB23">
            <v>12</v>
          </cell>
          <cell r="AC23">
            <v>4</v>
          </cell>
          <cell r="AD23">
            <v>60</v>
          </cell>
        </row>
        <row r="24">
          <cell r="W24">
            <v>5</v>
          </cell>
          <cell r="X24">
            <v>12</v>
          </cell>
          <cell r="Y24">
            <v>5</v>
          </cell>
          <cell r="Z24">
            <v>8</v>
          </cell>
          <cell r="AA24">
            <v>5</v>
          </cell>
          <cell r="AB24">
            <v>12</v>
          </cell>
        </row>
        <row r="25">
          <cell r="W25">
            <v>6</v>
          </cell>
          <cell r="X25">
            <v>14</v>
          </cell>
          <cell r="Y25">
            <v>6</v>
          </cell>
          <cell r="Z25">
            <v>10</v>
          </cell>
          <cell r="AA25">
            <v>6</v>
          </cell>
          <cell r="AB25">
            <v>12</v>
          </cell>
        </row>
        <row r="26">
          <cell r="W26">
            <v>7</v>
          </cell>
          <cell r="X26">
            <v>14</v>
          </cell>
          <cell r="Y26">
            <v>7</v>
          </cell>
          <cell r="Z26">
            <v>10</v>
          </cell>
        </row>
        <row r="27">
          <cell r="W27">
            <v>8</v>
          </cell>
          <cell r="X27">
            <v>14</v>
          </cell>
          <cell r="Y27">
            <v>8</v>
          </cell>
          <cell r="Z27">
            <v>10</v>
          </cell>
        </row>
      </sheetData>
      <sheetData sheetId="9">
        <row r="6">
          <cell r="F6">
            <v>12718.926262365594</v>
          </cell>
        </row>
        <row r="8">
          <cell r="N8">
            <v>53.319249649368864</v>
          </cell>
        </row>
        <row r="15">
          <cell r="M15">
            <v>36790.284946236556</v>
          </cell>
        </row>
      </sheetData>
      <sheetData sheetId="10" refreshError="1"/>
      <sheetData sheetId="11" refreshError="1"/>
      <sheetData sheetId="12">
        <row r="35">
          <cell r="AI35">
            <v>0.42348703809684618</v>
          </cell>
        </row>
      </sheetData>
      <sheetData sheetId="13" refreshError="1"/>
      <sheetData sheetId="14" refreshError="1"/>
      <sheetData sheetId="15">
        <row r="38">
          <cell r="AH38">
            <v>0.33162288327097511</v>
          </cell>
        </row>
      </sheetData>
      <sheetData sheetId="16">
        <row r="9">
          <cell r="J9">
            <v>8</v>
          </cell>
        </row>
      </sheetData>
      <sheetData sheetId="17">
        <row r="23">
          <cell r="K23" t="str">
            <v/>
          </cell>
        </row>
      </sheetData>
      <sheetData sheetId="18" refreshError="1"/>
      <sheetData sheetId="19">
        <row r="1">
          <cell r="A1" t="str">
            <v>ID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任务"/>
      <sheetName val="D_日常任务"/>
      <sheetName val="D_新手引导"/>
      <sheetName val="D_成就任务"/>
      <sheetName val="任务辅助表"/>
      <sheetName val="任务经验掉落配置表"/>
      <sheetName val="任务剧情配置表"/>
      <sheetName val="日常任务辅助表"/>
      <sheetName val="任务配置辅助表"/>
      <sheetName val="日常任务配置"/>
      <sheetName val="成就任务配置"/>
      <sheetName val="任务运算表"/>
      <sheetName val="日常任务运算表"/>
    </sheetNames>
    <sheetDataSet>
      <sheetData sheetId="0">
        <row r="2">
          <cell r="A2">
            <v>1001</v>
          </cell>
          <cell r="B2" t="str">
            <v>初入江湖</v>
          </cell>
        </row>
        <row r="3">
          <cell r="A3">
            <v>1002</v>
          </cell>
          <cell r="B3" t="str">
            <v>必备之物</v>
          </cell>
        </row>
        <row r="4">
          <cell r="A4">
            <v>1003</v>
          </cell>
          <cell r="B4" t="str">
            <v>勇闯西贡</v>
          </cell>
        </row>
        <row r="5">
          <cell r="A5">
            <v>1004</v>
          </cell>
          <cell r="B5" t="str">
            <v>习得技能</v>
          </cell>
        </row>
        <row r="6">
          <cell r="A6">
            <v>1005</v>
          </cell>
          <cell r="B6" t="str">
            <v>召见</v>
          </cell>
        </row>
        <row r="7">
          <cell r="A7">
            <v>1006</v>
          </cell>
          <cell r="B7" t="str">
            <v>戏逗小结巴</v>
          </cell>
        </row>
        <row r="8">
          <cell r="A8">
            <v>1008</v>
          </cell>
          <cell r="B8" t="str">
            <v>陷阱</v>
          </cell>
        </row>
        <row r="9">
          <cell r="A9">
            <v>1010</v>
          </cell>
          <cell r="B9" t="str">
            <v>追查线索</v>
          </cell>
        </row>
        <row r="10">
          <cell r="A10">
            <v>1011</v>
          </cell>
          <cell r="B10" t="str">
            <v>B哥遇害</v>
          </cell>
        </row>
        <row r="11">
          <cell r="A11">
            <v>1012</v>
          </cell>
          <cell r="B11" t="str">
            <v>截杀靓坤</v>
          </cell>
        </row>
        <row r="12">
          <cell r="A12">
            <v>1013</v>
          </cell>
          <cell r="B12" t="str">
            <v>猛龙过江</v>
          </cell>
        </row>
        <row r="13">
          <cell r="A13">
            <v>1014</v>
          </cell>
          <cell r="B13" t="str">
            <v>傲气冲天</v>
          </cell>
        </row>
        <row r="14">
          <cell r="A14">
            <v>1015</v>
          </cell>
          <cell r="B14" t="str">
            <v>伏击张议员</v>
          </cell>
        </row>
        <row r="15">
          <cell r="A15">
            <v>1016</v>
          </cell>
          <cell r="B15" t="str">
            <v>阴云密布</v>
          </cell>
        </row>
        <row r="16">
          <cell r="A16">
            <v>1017</v>
          </cell>
          <cell r="B16" t="str">
            <v>蒋生遇雷功</v>
          </cell>
        </row>
        <row r="17">
          <cell r="A17">
            <v>1018</v>
          </cell>
          <cell r="B17" t="str">
            <v>重返洪兴</v>
          </cell>
        </row>
        <row r="18">
          <cell r="A18">
            <v>1019</v>
          </cell>
          <cell r="B18" t="str">
            <v>以武服人</v>
          </cell>
        </row>
        <row r="19">
          <cell r="A19">
            <v>1020</v>
          </cell>
          <cell r="B19" t="str">
            <v>和谈</v>
          </cell>
        </row>
        <row r="20">
          <cell r="A20">
            <v>1021</v>
          </cell>
          <cell r="B20" t="str">
            <v>遭遇诬陷</v>
          </cell>
        </row>
        <row r="21">
          <cell r="A21">
            <v>1022</v>
          </cell>
          <cell r="B21" t="str">
            <v>力破阴谋</v>
          </cell>
        </row>
        <row r="22">
          <cell r="A22">
            <v>1023</v>
          </cell>
          <cell r="B22" t="str">
            <v>暂别山鸡</v>
          </cell>
        </row>
        <row r="23">
          <cell r="A23">
            <v>1024</v>
          </cell>
          <cell r="B23" t="str">
            <v>风起云涌</v>
          </cell>
        </row>
        <row r="24">
          <cell r="A24">
            <v>1025</v>
          </cell>
          <cell r="B24" t="str">
            <v>宴会波澜</v>
          </cell>
        </row>
        <row r="25">
          <cell r="A25">
            <v>1026</v>
          </cell>
          <cell r="B25" t="str">
            <v>调查酒吧</v>
          </cell>
        </row>
        <row r="26">
          <cell r="A26">
            <v>1027</v>
          </cell>
          <cell r="B26" t="str">
            <v>痛打笑面虎</v>
          </cell>
        </row>
        <row r="27">
          <cell r="A27">
            <v>1028</v>
          </cell>
          <cell r="B27" t="str">
            <v>护卫蒋生</v>
          </cell>
        </row>
        <row r="28">
          <cell r="A28">
            <v>1029</v>
          </cell>
          <cell r="B28" t="str">
            <v>蒋生遭袭</v>
          </cell>
        </row>
        <row r="29">
          <cell r="A29">
            <v>1030</v>
          </cell>
          <cell r="B29" t="str">
            <v>突围</v>
          </cell>
        </row>
        <row r="30">
          <cell r="A30">
            <v>1031</v>
          </cell>
          <cell r="B30" t="str">
            <v>营救准备</v>
          </cell>
        </row>
        <row r="31">
          <cell r="A31">
            <v>1032</v>
          </cell>
          <cell r="B31" t="str">
            <v>生死相随</v>
          </cell>
        </row>
        <row r="32">
          <cell r="A32">
            <v>1033</v>
          </cell>
          <cell r="B32" t="str">
            <v>双虎覆灭</v>
          </cell>
        </row>
        <row r="33">
          <cell r="A33">
            <v>1034</v>
          </cell>
          <cell r="B33" t="str">
            <v>探望浩南</v>
          </cell>
        </row>
        <row r="34">
          <cell r="A34">
            <v>1035</v>
          </cell>
          <cell r="B34" t="str">
            <v>龙头更替</v>
          </cell>
        </row>
        <row r="35">
          <cell r="A35">
            <v>1036</v>
          </cell>
          <cell r="B35" t="str">
            <v>趁虚而入</v>
          </cell>
        </row>
        <row r="36">
          <cell r="A36">
            <v>1037</v>
          </cell>
          <cell r="B36" t="str">
            <v>屯门之位</v>
          </cell>
        </row>
        <row r="37">
          <cell r="A37">
            <v>1038</v>
          </cell>
          <cell r="B37" t="str">
            <v>竞争</v>
          </cell>
        </row>
        <row r="38">
          <cell r="A38">
            <v>1039</v>
          </cell>
          <cell r="B38" t="str">
            <v>协助山鸡</v>
          </cell>
        </row>
        <row r="39">
          <cell r="A39">
            <v>1040</v>
          </cell>
          <cell r="B39" t="str">
            <v>街头激斗</v>
          </cell>
        </row>
        <row r="40">
          <cell r="A40">
            <v>1041</v>
          </cell>
          <cell r="B40" t="str">
            <v>马失前蹄</v>
          </cell>
        </row>
        <row r="41">
          <cell r="A41">
            <v>1042</v>
          </cell>
          <cell r="B41" t="str">
            <v>营救大天二</v>
          </cell>
        </row>
        <row r="42">
          <cell r="A42">
            <v>1043</v>
          </cell>
          <cell r="B42" t="str">
            <v>痛失战友</v>
          </cell>
        </row>
        <row r="43">
          <cell r="A43">
            <v>1044</v>
          </cell>
          <cell r="B43" t="str">
            <v>一决雌雄</v>
          </cell>
        </row>
        <row r="44">
          <cell r="A44">
            <v>1045</v>
          </cell>
          <cell r="B44" t="str">
            <v>成长</v>
          </cell>
        </row>
        <row r="45">
          <cell r="A45">
            <v>1046</v>
          </cell>
          <cell r="B45" t="str">
            <v>风起铜锣湾</v>
          </cell>
        </row>
        <row r="46">
          <cell r="A46">
            <v>1047</v>
          </cell>
          <cell r="B46" t="str">
            <v>前哨战</v>
          </cell>
        </row>
        <row r="47">
          <cell r="A47">
            <v>1048</v>
          </cell>
          <cell r="B47" t="str">
            <v>禁止通行</v>
          </cell>
        </row>
        <row r="48">
          <cell r="A48">
            <v>1049</v>
          </cell>
          <cell r="B48" t="str">
            <v>联络十三妹</v>
          </cell>
        </row>
        <row r="49">
          <cell r="A49">
            <v>1050</v>
          </cell>
          <cell r="B49" t="str">
            <v>冲突</v>
          </cell>
        </row>
        <row r="50">
          <cell r="A50">
            <v>1051</v>
          </cell>
          <cell r="B50" t="str">
            <v>战书</v>
          </cell>
        </row>
        <row r="51">
          <cell r="A51">
            <v>1052</v>
          </cell>
          <cell r="B51" t="str">
            <v>应战</v>
          </cell>
        </row>
        <row r="52">
          <cell r="A52">
            <v>1053</v>
          </cell>
          <cell r="B52" t="str">
            <v>力克强敌</v>
          </cell>
        </row>
        <row r="53">
          <cell r="A53">
            <v>1054</v>
          </cell>
          <cell r="B53" t="str">
            <v>龙争虎斗</v>
          </cell>
        </row>
        <row r="54">
          <cell r="A54">
            <v>1055</v>
          </cell>
          <cell r="B54" t="str">
            <v>山鸡大婚</v>
          </cell>
        </row>
        <row r="55">
          <cell r="A55">
            <v>1056</v>
          </cell>
          <cell r="B55" t="str">
            <v>远渡重洋</v>
          </cell>
        </row>
        <row r="56">
          <cell r="A56">
            <v>1057</v>
          </cell>
          <cell r="B56" t="str">
            <v>神秘访客</v>
          </cell>
        </row>
        <row r="57">
          <cell r="A57">
            <v>1058</v>
          </cell>
          <cell r="B57" t="str">
            <v>阴谋</v>
          </cell>
        </row>
        <row r="58">
          <cell r="A58">
            <v>1059</v>
          </cell>
          <cell r="B58" t="str">
            <v>协力合作</v>
          </cell>
        </row>
        <row r="59">
          <cell r="A59">
            <v>1060</v>
          </cell>
          <cell r="B59" t="str">
            <v>突破点</v>
          </cell>
        </row>
        <row r="60">
          <cell r="A60">
            <v>1061</v>
          </cell>
          <cell r="B60" t="str">
            <v>强者之战</v>
          </cell>
        </row>
        <row r="61">
          <cell r="A61">
            <v>1062</v>
          </cell>
          <cell r="B61" t="str">
            <v>阔别重逢</v>
          </cell>
        </row>
        <row r="62">
          <cell r="A62">
            <v>1063</v>
          </cell>
          <cell r="B62" t="str">
            <v>风暴前夕</v>
          </cell>
        </row>
        <row r="63">
          <cell r="A63">
            <v>1064</v>
          </cell>
          <cell r="B63" t="str">
            <v>讨伐</v>
          </cell>
        </row>
        <row r="64">
          <cell r="A64">
            <v>1065</v>
          </cell>
          <cell r="B64" t="str">
            <v>僵局</v>
          </cell>
        </row>
        <row r="65">
          <cell r="A65">
            <v>1066</v>
          </cell>
          <cell r="B65" t="str">
            <v>深入虎穴</v>
          </cell>
        </row>
        <row r="66">
          <cell r="A66">
            <v>1067</v>
          </cell>
          <cell r="B66" t="str">
            <v>激战东京1</v>
          </cell>
        </row>
        <row r="67">
          <cell r="A67">
            <v>1068</v>
          </cell>
          <cell r="B67" t="str">
            <v>激战东京2</v>
          </cell>
        </row>
        <row r="68">
          <cell r="A68">
            <v>1069</v>
          </cell>
          <cell r="B68" t="str">
            <v>激战东京3</v>
          </cell>
        </row>
        <row r="69">
          <cell r="A69">
            <v>1070</v>
          </cell>
          <cell r="B69" t="str">
            <v>激战东京4</v>
          </cell>
        </row>
        <row r="70">
          <cell r="A70">
            <v>1071</v>
          </cell>
          <cell r="B70" t="str">
            <v>蓄势待发</v>
          </cell>
        </row>
        <row r="71">
          <cell r="A71">
            <v>1072</v>
          </cell>
          <cell r="B71" t="str">
            <v>渔翁得利</v>
          </cell>
        </row>
        <row r="72">
          <cell r="A72">
            <v>1073</v>
          </cell>
          <cell r="B72" t="str">
            <v>破晓</v>
          </cell>
        </row>
        <row r="73">
          <cell r="A73">
            <v>1074</v>
          </cell>
          <cell r="B73" t="str">
            <v>再相会</v>
          </cell>
        </row>
        <row r="74">
          <cell r="A74">
            <v>1075</v>
          </cell>
          <cell r="B74" t="str">
            <v>宿敌逆袭</v>
          </cell>
        </row>
        <row r="75">
          <cell r="A75">
            <v>1076</v>
          </cell>
          <cell r="B75" t="str">
            <v>冤家路窄</v>
          </cell>
        </row>
        <row r="76">
          <cell r="A76">
            <v>1077</v>
          </cell>
          <cell r="B76" t="str">
            <v>强敌涌现</v>
          </cell>
        </row>
        <row r="77">
          <cell r="A77">
            <v>1078</v>
          </cell>
          <cell r="B77" t="str">
            <v>再会浩南</v>
          </cell>
        </row>
        <row r="78">
          <cell r="A78">
            <v>1079</v>
          </cell>
          <cell r="B78" t="str">
            <v>携手抗敌</v>
          </cell>
        </row>
        <row r="79">
          <cell r="A79">
            <v>1080</v>
          </cell>
          <cell r="B79" t="str">
            <v>友情岁月</v>
          </cell>
        </row>
        <row r="80">
          <cell r="A80">
            <v>1081</v>
          </cell>
          <cell r="B80" t="str">
            <v>血战宝岛</v>
          </cell>
        </row>
        <row r="81">
          <cell r="A81">
            <v>2201</v>
          </cell>
          <cell r="B81" t="str">
            <v>精英副本</v>
          </cell>
        </row>
        <row r="82">
          <cell r="A82">
            <v>3001</v>
          </cell>
          <cell r="B82" t="str">
            <v>狩猎巴闭</v>
          </cell>
        </row>
        <row r="83">
          <cell r="A83">
            <v>3003</v>
          </cell>
          <cell r="B83" t="str">
            <v>实力检测</v>
          </cell>
        </row>
        <row r="84">
          <cell r="A84">
            <v>9999</v>
          </cell>
          <cell r="B84" t="str">
            <v>最后主线</v>
          </cell>
        </row>
        <row r="85">
          <cell r="A85">
            <v>3004</v>
          </cell>
          <cell r="B85" t="str">
            <v>联络蒋生</v>
          </cell>
        </row>
        <row r="86">
          <cell r="A86">
            <v>3005</v>
          </cell>
          <cell r="B86" t="str">
            <v>正面交锋</v>
          </cell>
        </row>
        <row r="87">
          <cell r="A87">
            <v>3006</v>
          </cell>
          <cell r="B87" t="str">
            <v>愈战愈勇</v>
          </cell>
        </row>
        <row r="88">
          <cell r="A88">
            <v>3007</v>
          </cell>
          <cell r="B88" t="str">
            <v>恶战</v>
          </cell>
        </row>
        <row r="89">
          <cell r="A89">
            <v>3008</v>
          </cell>
          <cell r="B89" t="str">
            <v>战况升级</v>
          </cell>
        </row>
        <row r="90">
          <cell r="A90">
            <v>3009</v>
          </cell>
          <cell r="B90" t="str">
            <v>罪恶之巢</v>
          </cell>
        </row>
        <row r="91">
          <cell r="A91">
            <v>3010</v>
          </cell>
          <cell r="B91" t="str">
            <v>斩破黑暗</v>
          </cell>
        </row>
        <row r="92">
          <cell r="A92">
            <v>3011</v>
          </cell>
          <cell r="B92" t="str">
            <v>自甘堕落</v>
          </cell>
        </row>
        <row r="93">
          <cell r="A93">
            <v>3012</v>
          </cell>
          <cell r="B93" t="str">
            <v>阴魂不散</v>
          </cell>
        </row>
        <row r="94">
          <cell r="A94">
            <v>3013</v>
          </cell>
          <cell r="B94" t="str">
            <v>意外强敌</v>
          </cell>
        </row>
        <row r="95">
          <cell r="A95">
            <v>10001</v>
          </cell>
          <cell r="B95" t="str">
            <v>精英巴闭</v>
          </cell>
        </row>
        <row r="96">
          <cell r="A96">
            <v>10002</v>
          </cell>
          <cell r="B96" t="str">
            <v>精英大傻保镖</v>
          </cell>
        </row>
        <row r="97">
          <cell r="A97">
            <v>10003</v>
          </cell>
          <cell r="B97" t="str">
            <v>精英偷车贼</v>
          </cell>
        </row>
        <row r="98">
          <cell r="A98">
            <v>10004</v>
          </cell>
          <cell r="B98" t="str">
            <v>精英丧彪手下</v>
          </cell>
        </row>
        <row r="99">
          <cell r="A99">
            <v>10005</v>
          </cell>
          <cell r="B99" t="str">
            <v>精英丧彪</v>
          </cell>
        </row>
        <row r="100">
          <cell r="A100">
            <v>10006</v>
          </cell>
          <cell r="B100" t="str">
            <v>精英拦截者</v>
          </cell>
        </row>
        <row r="101">
          <cell r="A101">
            <v>10007</v>
          </cell>
          <cell r="B101" t="str">
            <v>精英靓坤手下</v>
          </cell>
        </row>
        <row r="102">
          <cell r="A102">
            <v>10008</v>
          </cell>
          <cell r="B102" t="str">
            <v>精英阿强</v>
          </cell>
        </row>
        <row r="103">
          <cell r="A103">
            <v>10009</v>
          </cell>
          <cell r="B103" t="str">
            <v>精英靓坤</v>
          </cell>
        </row>
        <row r="104">
          <cell r="A104">
            <v>10010</v>
          </cell>
          <cell r="B104" t="str">
            <v>精英议员保镖</v>
          </cell>
        </row>
        <row r="105">
          <cell r="A105">
            <v>10011</v>
          </cell>
          <cell r="B105" t="str">
            <v>精英张议员</v>
          </cell>
        </row>
        <row r="106">
          <cell r="A106">
            <v>10012</v>
          </cell>
          <cell r="B106" t="str">
            <v>精英枪手</v>
          </cell>
        </row>
        <row r="107">
          <cell r="A107">
            <v>10013</v>
          </cell>
          <cell r="B107" t="str">
            <v>精英大飞手下</v>
          </cell>
        </row>
        <row r="108">
          <cell r="A108">
            <v>10014</v>
          </cell>
          <cell r="B108" t="str">
            <v>精英大飞弟子</v>
          </cell>
        </row>
        <row r="109">
          <cell r="A109">
            <v>10015</v>
          </cell>
          <cell r="B109" t="str">
            <v>精英追踪者</v>
          </cell>
        </row>
        <row r="110">
          <cell r="A110">
            <v>10016</v>
          </cell>
          <cell r="B110" t="str">
            <v>精英雷公保镖</v>
          </cell>
        </row>
        <row r="111">
          <cell r="A111">
            <v>10017</v>
          </cell>
          <cell r="B111" t="str">
            <v>精英赌场警卫</v>
          </cell>
        </row>
        <row r="112">
          <cell r="A112">
            <v>10018</v>
          </cell>
          <cell r="B112" t="str">
            <v>精英丁瑶护卫</v>
          </cell>
        </row>
        <row r="113">
          <cell r="A113">
            <v>10019</v>
          </cell>
          <cell r="B113" t="str">
            <v>精英乌鸦手下</v>
          </cell>
        </row>
        <row r="114">
          <cell r="A114">
            <v>10020</v>
          </cell>
          <cell r="B114" t="str">
            <v>精英笑面虎</v>
          </cell>
        </row>
        <row r="115">
          <cell r="A115">
            <v>10021</v>
          </cell>
          <cell r="B115" t="str">
            <v>精英东星杀手</v>
          </cell>
        </row>
        <row r="116">
          <cell r="A116">
            <v>10022</v>
          </cell>
          <cell r="B116" t="str">
            <v>精英赏金猎手</v>
          </cell>
        </row>
        <row r="117">
          <cell r="A117">
            <v>10023</v>
          </cell>
          <cell r="B117" t="str">
            <v>精英追杀者</v>
          </cell>
        </row>
        <row r="118">
          <cell r="A118">
            <v>10024</v>
          </cell>
          <cell r="B118" t="str">
            <v>精英弹药守卫</v>
          </cell>
        </row>
        <row r="119">
          <cell r="A119">
            <v>10025</v>
          </cell>
          <cell r="B119" t="str">
            <v>精英人质看守</v>
          </cell>
        </row>
        <row r="120">
          <cell r="A120">
            <v>10026</v>
          </cell>
          <cell r="B120" t="str">
            <v>精英乌鸦心腹</v>
          </cell>
        </row>
        <row r="121">
          <cell r="A121">
            <v>10027</v>
          </cell>
          <cell r="B121" t="str">
            <v>精英乌鸦</v>
          </cell>
        </row>
        <row r="122">
          <cell r="A122">
            <v>10028</v>
          </cell>
          <cell r="B122" t="str">
            <v>精英袭击者</v>
          </cell>
        </row>
        <row r="123">
          <cell r="A123">
            <v>10029</v>
          </cell>
          <cell r="B123" t="str">
            <v>精英生番手下</v>
          </cell>
        </row>
        <row r="124">
          <cell r="A124">
            <v>10030</v>
          </cell>
          <cell r="B124" t="str">
            <v>精英混混头目</v>
          </cell>
        </row>
        <row r="125">
          <cell r="A125">
            <v>10031</v>
          </cell>
          <cell r="B125" t="str">
            <v>精英黑星</v>
          </cell>
        </row>
        <row r="126">
          <cell r="A126">
            <v>10032</v>
          </cell>
          <cell r="B126" t="str">
            <v>精英生番</v>
          </cell>
        </row>
        <row r="127">
          <cell r="A127">
            <v>10033</v>
          </cell>
          <cell r="B127" t="str">
            <v>精英毒贩头目</v>
          </cell>
        </row>
        <row r="128">
          <cell r="A128">
            <v>10034</v>
          </cell>
          <cell r="B128" t="str">
            <v>精英耀阳手下</v>
          </cell>
        </row>
        <row r="129">
          <cell r="A129">
            <v>10035</v>
          </cell>
          <cell r="B129" t="str">
            <v>精英东星拳师</v>
          </cell>
        </row>
        <row r="130">
          <cell r="A130">
            <v>10036</v>
          </cell>
          <cell r="B130" t="str">
            <v>精英耀阳</v>
          </cell>
        </row>
        <row r="131">
          <cell r="A131">
            <v>10037</v>
          </cell>
          <cell r="B131" t="str">
            <v>精英司徒手下</v>
          </cell>
        </row>
        <row r="132">
          <cell r="A132">
            <v>10038</v>
          </cell>
          <cell r="B132" t="str">
            <v>精英破坏分子</v>
          </cell>
        </row>
      </sheetData>
      <sheetData sheetId="1"/>
      <sheetData sheetId="2"/>
      <sheetData sheetId="3">
        <row r="8">
          <cell r="G8">
            <v>1001</v>
          </cell>
        </row>
      </sheetData>
      <sheetData sheetId="4"/>
      <sheetData sheetId="5">
        <row r="3">
          <cell r="D3" t="str">
            <v>任务名称</v>
          </cell>
        </row>
      </sheetData>
      <sheetData sheetId="6"/>
      <sheetData sheetId="7">
        <row r="6">
          <cell r="H6">
            <v>619.27545087976534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怪物表"/>
      <sheetName val="怪物信息配置表"/>
      <sheetName val="远征副本等级难度系数控制"/>
      <sheetName val="英雄之路怪物"/>
      <sheetName val="配置说明"/>
      <sheetName val="怪物信息表"/>
      <sheetName val="人物成长模拟表"/>
      <sheetName val="人物&amp;怪物成长分析"/>
      <sheetName val="副本难度推算"/>
      <sheetName val="怪物并表"/>
      <sheetName val="普通副本怪物"/>
      <sheetName val="精英副本怪物"/>
      <sheetName val="金币副本怪物"/>
      <sheetName val="材料副本怪物"/>
      <sheetName val="马仔经验副本怪物"/>
      <sheetName val="命运副本怪物"/>
      <sheetName val="BOSS副本怪物"/>
      <sheetName val="BOSS副本数值"/>
    </sheetNames>
    <sheetDataSet>
      <sheetData sheetId="0">
        <row r="1">
          <cell r="I1" t="str">
            <v>ID</v>
          </cell>
          <cell r="AH1" t="str">
            <v>战斗力</v>
          </cell>
        </row>
        <row r="2">
          <cell r="I2">
            <v>111101</v>
          </cell>
          <cell r="AH2">
            <v>71.787732189725716</v>
          </cell>
        </row>
        <row r="3">
          <cell r="I3">
            <v>111102</v>
          </cell>
          <cell r="AH3">
            <v>71.787732189725716</v>
          </cell>
        </row>
        <row r="4">
          <cell r="I4">
            <v>111103</v>
          </cell>
          <cell r="AH4">
            <v>71.787732189725716</v>
          </cell>
        </row>
        <row r="5">
          <cell r="I5">
            <v>111104</v>
          </cell>
          <cell r="AH5">
            <v>108.51143573747215</v>
          </cell>
        </row>
        <row r="6">
          <cell r="I6">
            <v>111108</v>
          </cell>
          <cell r="AH6">
            <v>71.787732189725716</v>
          </cell>
        </row>
        <row r="7">
          <cell r="I7">
            <v>111109</v>
          </cell>
          <cell r="AH7">
            <v>71.787732189725716</v>
          </cell>
        </row>
        <row r="8">
          <cell r="I8">
            <v>111105</v>
          </cell>
          <cell r="AH8">
            <v>434.04574294988862</v>
          </cell>
        </row>
        <row r="9">
          <cell r="I9">
            <v>111106</v>
          </cell>
          <cell r="AH9">
            <v>434.04574294988862</v>
          </cell>
        </row>
        <row r="10">
          <cell r="I10">
            <v>111107</v>
          </cell>
          <cell r="AH10">
            <v>434.04574294988862</v>
          </cell>
        </row>
        <row r="11">
          <cell r="I11">
            <v>111110</v>
          </cell>
          <cell r="AH11">
            <v>130396.32213720265</v>
          </cell>
        </row>
        <row r="12">
          <cell r="I12">
            <v>111111</v>
          </cell>
          <cell r="AH12">
            <v>71.787732189725716</v>
          </cell>
        </row>
        <row r="13">
          <cell r="I13">
            <v>111112</v>
          </cell>
          <cell r="AH13">
            <v>71.787732189725716</v>
          </cell>
        </row>
        <row r="14">
          <cell r="I14">
            <v>111113</v>
          </cell>
          <cell r="AH14">
            <v>71.787732189725716</v>
          </cell>
        </row>
        <row r="15">
          <cell r="I15">
            <v>111114</v>
          </cell>
          <cell r="AH15">
            <v>63.276399114688139</v>
          </cell>
        </row>
        <row r="16">
          <cell r="I16">
            <v>111115</v>
          </cell>
          <cell r="AH16">
            <v>63.276399114688139</v>
          </cell>
        </row>
        <row r="17">
          <cell r="I17">
            <v>111116</v>
          </cell>
          <cell r="AH17">
            <v>138949.41612933006</v>
          </cell>
        </row>
        <row r="18">
          <cell r="I18">
            <v>111117</v>
          </cell>
          <cell r="AH18">
            <v>127679.37564350011</v>
          </cell>
        </row>
        <row r="19">
          <cell r="I19">
            <v>111118</v>
          </cell>
          <cell r="AH19">
            <v>142706.0962912734</v>
          </cell>
        </row>
        <row r="20">
          <cell r="I20">
            <v>112101</v>
          </cell>
          <cell r="AH20">
            <v>68.427092474029052</v>
          </cell>
        </row>
        <row r="21">
          <cell r="I21">
            <v>112102</v>
          </cell>
          <cell r="AH21">
            <v>80.006946040601491</v>
          </cell>
        </row>
        <row r="22">
          <cell r="I22">
            <v>112103</v>
          </cell>
          <cell r="AH22">
            <v>80.006946040601491</v>
          </cell>
        </row>
        <row r="23">
          <cell r="I23">
            <v>112104</v>
          </cell>
          <cell r="AH23">
            <v>122.56940176138151</v>
          </cell>
        </row>
        <row r="24">
          <cell r="I24">
            <v>113101</v>
          </cell>
          <cell r="AH24">
            <v>72.100947837209546</v>
          </cell>
        </row>
        <row r="25">
          <cell r="I25">
            <v>113102</v>
          </cell>
          <cell r="AH25">
            <v>61.684391056652892</v>
          </cell>
        </row>
        <row r="26">
          <cell r="I26">
            <v>113103</v>
          </cell>
          <cell r="AH26">
            <v>72.100947837209546</v>
          </cell>
        </row>
        <row r="27">
          <cell r="I27">
            <v>113104</v>
          </cell>
          <cell r="AH27">
            <v>111.00194336351566</v>
          </cell>
        </row>
        <row r="28">
          <cell r="I28">
            <v>113105</v>
          </cell>
          <cell r="AH28">
            <v>72.100947837209546</v>
          </cell>
        </row>
        <row r="29">
          <cell r="I29">
            <v>113106</v>
          </cell>
          <cell r="AH29">
            <v>72.100947837209546</v>
          </cell>
        </row>
        <row r="30">
          <cell r="I30">
            <v>114101</v>
          </cell>
          <cell r="AH30">
            <v>78.880676843905576</v>
          </cell>
        </row>
        <row r="31">
          <cell r="I31">
            <v>114102</v>
          </cell>
          <cell r="AH31">
            <v>78.880676843905576</v>
          </cell>
        </row>
        <row r="32">
          <cell r="I32">
            <v>114103</v>
          </cell>
          <cell r="AH32">
            <v>78.880676843905576</v>
          </cell>
        </row>
        <row r="33">
          <cell r="I33">
            <v>114104</v>
          </cell>
          <cell r="AH33">
            <v>122.32261994481547</v>
          </cell>
        </row>
        <row r="34">
          <cell r="I34">
            <v>115101</v>
          </cell>
          <cell r="AH34">
            <v>142.33684102543583</v>
          </cell>
        </row>
        <row r="35">
          <cell r="I35">
            <v>115102</v>
          </cell>
          <cell r="AH35">
            <v>123.10692128507894</v>
          </cell>
        </row>
        <row r="36">
          <cell r="I36">
            <v>115103</v>
          </cell>
          <cell r="AH36">
            <v>142.33684102543583</v>
          </cell>
        </row>
        <row r="37">
          <cell r="I37">
            <v>115104</v>
          </cell>
          <cell r="AH37">
            <v>216.40391252209577</v>
          </cell>
        </row>
        <row r="38">
          <cell r="I38">
            <v>116101</v>
          </cell>
          <cell r="AH38">
            <v>176.30777884627963</v>
          </cell>
        </row>
        <row r="39">
          <cell r="I39">
            <v>116102</v>
          </cell>
          <cell r="AH39">
            <v>176.30777884627963</v>
          </cell>
        </row>
        <row r="40">
          <cell r="I40">
            <v>116103</v>
          </cell>
          <cell r="AH40">
            <v>176.30777884627963</v>
          </cell>
        </row>
        <row r="41">
          <cell r="I41">
            <v>116104</v>
          </cell>
          <cell r="AH41">
            <v>263.79566654419597</v>
          </cell>
        </row>
        <row r="42">
          <cell r="I42">
            <v>116105</v>
          </cell>
          <cell r="AH42">
            <v>263.79566654419597</v>
          </cell>
        </row>
        <row r="43">
          <cell r="I43">
            <v>116106</v>
          </cell>
          <cell r="AH43">
            <v>263.79566654419597</v>
          </cell>
        </row>
        <row r="44">
          <cell r="I44">
            <v>117101</v>
          </cell>
          <cell r="AH44">
            <v>207.10695165786808</v>
          </cell>
        </row>
        <row r="45">
          <cell r="I45">
            <v>117102</v>
          </cell>
          <cell r="AH45">
            <v>207.10695165786808</v>
          </cell>
        </row>
        <row r="46">
          <cell r="I46">
            <v>117103</v>
          </cell>
          <cell r="AH46">
            <v>207.10695165786808</v>
          </cell>
        </row>
        <row r="47">
          <cell r="I47">
            <v>117104</v>
          </cell>
          <cell r="AH47">
            <v>309.15122746399788</v>
          </cell>
        </row>
        <row r="48">
          <cell r="I48">
            <v>118101</v>
          </cell>
          <cell r="AH48">
            <v>278.96609441413523</v>
          </cell>
        </row>
        <row r="49">
          <cell r="I49">
            <v>118102</v>
          </cell>
          <cell r="AH49">
            <v>245.85342128585825</v>
          </cell>
        </row>
        <row r="50">
          <cell r="I50">
            <v>118103</v>
          </cell>
          <cell r="AH50">
            <v>278.96609441413523</v>
          </cell>
        </row>
        <row r="51">
          <cell r="I51">
            <v>118104</v>
          </cell>
          <cell r="AH51">
            <v>410.1141029653179</v>
          </cell>
        </row>
        <row r="52">
          <cell r="I52">
            <v>119101</v>
          </cell>
          <cell r="AH52">
            <v>372.54755090325011</v>
          </cell>
        </row>
        <row r="53">
          <cell r="I53">
            <v>119102</v>
          </cell>
          <cell r="AH53">
            <v>372.54755090325011</v>
          </cell>
        </row>
        <row r="54">
          <cell r="I54">
            <v>119103</v>
          </cell>
          <cell r="AH54">
            <v>372.54755090325011</v>
          </cell>
        </row>
        <row r="55">
          <cell r="I55">
            <v>119104</v>
          </cell>
          <cell r="AH55">
            <v>526.41788049586808</v>
          </cell>
        </row>
        <row r="56">
          <cell r="I56">
            <v>119105</v>
          </cell>
          <cell r="AH56">
            <v>526.41788049586808</v>
          </cell>
        </row>
        <row r="57">
          <cell r="I57">
            <v>119106</v>
          </cell>
          <cell r="AH57">
            <v>526.41788049586808</v>
          </cell>
        </row>
        <row r="58">
          <cell r="I58">
            <v>121101</v>
          </cell>
          <cell r="AH58">
            <v>411.95404769030466</v>
          </cell>
        </row>
        <row r="59">
          <cell r="I59">
            <v>121102</v>
          </cell>
          <cell r="AH59">
            <v>411.95404769030466</v>
          </cell>
        </row>
        <row r="60">
          <cell r="I60">
            <v>121103</v>
          </cell>
          <cell r="AH60">
            <v>411.95404769030466</v>
          </cell>
        </row>
        <row r="61">
          <cell r="I61">
            <v>121104</v>
          </cell>
          <cell r="AH61">
            <v>591.50538979356247</v>
          </cell>
        </row>
        <row r="62">
          <cell r="I62">
            <v>122101</v>
          </cell>
          <cell r="AH62">
            <v>443.83296602670936</v>
          </cell>
        </row>
        <row r="63">
          <cell r="I63">
            <v>122102</v>
          </cell>
          <cell r="AH63">
            <v>498.03173069680491</v>
          </cell>
        </row>
        <row r="64">
          <cell r="I64">
            <v>122103</v>
          </cell>
          <cell r="AH64">
            <v>498.03173069680491</v>
          </cell>
        </row>
        <row r="65">
          <cell r="I65">
            <v>122104</v>
          </cell>
          <cell r="AH65">
            <v>699.57184938069281</v>
          </cell>
        </row>
        <row r="66">
          <cell r="I66">
            <v>123101</v>
          </cell>
          <cell r="AH66">
            <v>518.37951167661799</v>
          </cell>
        </row>
        <row r="67">
          <cell r="I67">
            <v>123102</v>
          </cell>
          <cell r="AH67">
            <v>581.01343582340257</v>
          </cell>
        </row>
        <row r="68">
          <cell r="I68">
            <v>123103</v>
          </cell>
          <cell r="AH68">
            <v>581.01343582340257</v>
          </cell>
        </row>
        <row r="69">
          <cell r="I69">
            <v>123104</v>
          </cell>
          <cell r="AH69">
            <v>811.67823032586011</v>
          </cell>
        </row>
        <row r="70">
          <cell r="I70">
            <v>124101</v>
          </cell>
          <cell r="AH70">
            <v>673.79735020293526</v>
          </cell>
        </row>
        <row r="71">
          <cell r="I71">
            <v>124102</v>
          </cell>
          <cell r="AH71">
            <v>673.79735020293526</v>
          </cell>
        </row>
        <row r="72">
          <cell r="I72">
            <v>124103</v>
          </cell>
          <cell r="AH72">
            <v>673.79735020293526</v>
          </cell>
        </row>
        <row r="73">
          <cell r="I73">
            <v>124104</v>
          </cell>
          <cell r="AH73">
            <v>944.94516607122637</v>
          </cell>
        </row>
        <row r="74">
          <cell r="I74">
            <v>125101</v>
          </cell>
          <cell r="AH74">
            <v>792.3713833124765</v>
          </cell>
        </row>
        <row r="75">
          <cell r="I75">
            <v>125102</v>
          </cell>
          <cell r="AH75">
            <v>792.3713833124765</v>
          </cell>
        </row>
        <row r="76">
          <cell r="I76">
            <v>125103</v>
          </cell>
          <cell r="AH76">
            <v>708.323747312308</v>
          </cell>
        </row>
        <row r="77">
          <cell r="I77">
            <v>125104</v>
          </cell>
          <cell r="AH77">
            <v>1107.7143035839861</v>
          </cell>
        </row>
        <row r="78">
          <cell r="I78">
            <v>126101</v>
          </cell>
          <cell r="AH78">
            <v>896.90793186641031</v>
          </cell>
        </row>
        <row r="79">
          <cell r="I79">
            <v>126102</v>
          </cell>
          <cell r="AH79">
            <v>896.90793186641031</v>
          </cell>
        </row>
        <row r="80">
          <cell r="I80">
            <v>126103</v>
          </cell>
          <cell r="AH80">
            <v>896.90793186641031</v>
          </cell>
        </row>
        <row r="81">
          <cell r="I81">
            <v>126104</v>
          </cell>
          <cell r="AH81">
            <v>1260.2851063301271</v>
          </cell>
        </row>
        <row r="82">
          <cell r="I82">
            <v>127101</v>
          </cell>
          <cell r="AH82">
            <v>1018.5817985832664</v>
          </cell>
        </row>
        <row r="83">
          <cell r="I83">
            <v>127102</v>
          </cell>
          <cell r="AH83">
            <v>1018.5817985832664</v>
          </cell>
        </row>
        <row r="84">
          <cell r="I84">
            <v>127103</v>
          </cell>
          <cell r="AH84">
            <v>1018.5817985832664</v>
          </cell>
        </row>
        <row r="85">
          <cell r="I85">
            <v>127104</v>
          </cell>
          <cell r="AH85">
            <v>1433.9595375525059</v>
          </cell>
        </row>
        <row r="86">
          <cell r="I86">
            <v>127105</v>
          </cell>
          <cell r="AH86">
            <v>1018.5817985832664</v>
          </cell>
        </row>
        <row r="87">
          <cell r="I87">
            <v>128101</v>
          </cell>
          <cell r="AH87">
            <v>1157.5702831252556</v>
          </cell>
        </row>
        <row r="88">
          <cell r="I88">
            <v>128102</v>
          </cell>
          <cell r="AH88">
            <v>1157.5702831252556</v>
          </cell>
        </row>
        <row r="89">
          <cell r="I89">
            <v>128103</v>
          </cell>
          <cell r="AH89">
            <v>1034.860286244794</v>
          </cell>
        </row>
        <row r="90">
          <cell r="I90">
            <v>128104</v>
          </cell>
          <cell r="AH90">
            <v>1629.0421693943435</v>
          </cell>
        </row>
        <row r="91">
          <cell r="I91">
            <v>129101</v>
          </cell>
          <cell r="AH91">
            <v>1446.5853196657035</v>
          </cell>
        </row>
        <row r="92">
          <cell r="I92">
            <v>129102</v>
          </cell>
          <cell r="AH92">
            <v>1446.5853196657035</v>
          </cell>
        </row>
        <row r="93">
          <cell r="I93">
            <v>129103</v>
          </cell>
          <cell r="AH93">
            <v>1446.5853196657035</v>
          </cell>
        </row>
        <row r="94">
          <cell r="I94">
            <v>129104</v>
          </cell>
          <cell r="AH94">
            <v>2060.1440073223212</v>
          </cell>
        </row>
        <row r="95">
          <cell r="I95">
            <v>131101</v>
          </cell>
          <cell r="AH95">
            <v>1278.0779788936952</v>
          </cell>
        </row>
        <row r="96">
          <cell r="I96">
            <v>131102</v>
          </cell>
          <cell r="AH96">
            <v>1431.2133975301626</v>
          </cell>
        </row>
        <row r="97">
          <cell r="I97">
            <v>131103</v>
          </cell>
          <cell r="AH97">
            <v>1431.2133975301626</v>
          </cell>
        </row>
        <row r="98">
          <cell r="I98">
            <v>131104</v>
          </cell>
          <cell r="AH98">
            <v>2027.6641459993193</v>
          </cell>
        </row>
        <row r="99">
          <cell r="I99">
            <v>132101</v>
          </cell>
          <cell r="AH99">
            <v>1602.2360476713761</v>
          </cell>
        </row>
        <row r="100">
          <cell r="I100">
            <v>132102</v>
          </cell>
          <cell r="AH100">
            <v>1602.2360476713761</v>
          </cell>
        </row>
        <row r="101">
          <cell r="I101">
            <v>132103</v>
          </cell>
          <cell r="AH101">
            <v>1602.2360476713761</v>
          </cell>
        </row>
        <row r="102">
          <cell r="I102">
            <v>132104</v>
          </cell>
          <cell r="AH102">
            <v>2267.8268874707737</v>
          </cell>
        </row>
        <row r="103">
          <cell r="I103">
            <v>133101</v>
          </cell>
          <cell r="AH103">
            <v>1755.3095875109298</v>
          </cell>
        </row>
        <row r="104">
          <cell r="I104">
            <v>133102</v>
          </cell>
          <cell r="AH104">
            <v>1755.3095875109298</v>
          </cell>
        </row>
        <row r="105">
          <cell r="I105">
            <v>133103</v>
          </cell>
          <cell r="AH105">
            <v>1567.7918826955802</v>
          </cell>
        </row>
        <row r="106">
          <cell r="I106">
            <v>133104</v>
          </cell>
          <cell r="AH106">
            <v>2494.6449290658434</v>
          </cell>
        </row>
        <row r="107">
          <cell r="I107">
            <v>134101</v>
          </cell>
          <cell r="AH107">
            <v>1953.4844015148321</v>
          </cell>
        </row>
        <row r="108">
          <cell r="I108">
            <v>134102</v>
          </cell>
          <cell r="AH108">
            <v>1743.3816272399738</v>
          </cell>
        </row>
        <row r="109">
          <cell r="I109">
            <v>134103</v>
          </cell>
          <cell r="AH109">
            <v>1953.4844015148321</v>
          </cell>
        </row>
        <row r="110">
          <cell r="I110">
            <v>134104</v>
          </cell>
          <cell r="AH110">
            <v>2786.5442509735149</v>
          </cell>
        </row>
        <row r="111">
          <cell r="I111">
            <v>135101</v>
          </cell>
          <cell r="AH111">
            <v>2180.4654498489826</v>
          </cell>
        </row>
        <row r="112">
          <cell r="I112">
            <v>135102</v>
          </cell>
          <cell r="AH112">
            <v>1946.3680100586007</v>
          </cell>
        </row>
        <row r="113">
          <cell r="I113">
            <v>135103</v>
          </cell>
          <cell r="AH113">
            <v>1946.3680100586007</v>
          </cell>
        </row>
        <row r="114">
          <cell r="I114">
            <v>135104</v>
          </cell>
          <cell r="AH114">
            <v>3113.6388403837168</v>
          </cell>
        </row>
        <row r="115">
          <cell r="I115">
            <v>136101</v>
          </cell>
          <cell r="AH115">
            <v>2388.5201362316825</v>
          </cell>
        </row>
        <row r="116">
          <cell r="I116">
            <v>136102</v>
          </cell>
          <cell r="AH116">
            <v>2388.5201362316825</v>
          </cell>
        </row>
        <row r="117">
          <cell r="I117">
            <v>136103</v>
          </cell>
          <cell r="AH117">
            <v>2388.5201362316825</v>
          </cell>
        </row>
        <row r="118">
          <cell r="I118">
            <v>136104</v>
          </cell>
          <cell r="AH118">
            <v>3428.373375727002</v>
          </cell>
        </row>
        <row r="119">
          <cell r="I119">
            <v>136105</v>
          </cell>
          <cell r="AH119">
            <v>3428.373375727002</v>
          </cell>
        </row>
        <row r="120">
          <cell r="I120">
            <v>137101</v>
          </cell>
          <cell r="AH120">
            <v>2663.2820939794101</v>
          </cell>
        </row>
        <row r="121">
          <cell r="I121">
            <v>137102</v>
          </cell>
          <cell r="AH121">
            <v>2373.1865319299341</v>
          </cell>
        </row>
        <row r="122">
          <cell r="I122">
            <v>137103</v>
          </cell>
          <cell r="AH122">
            <v>2663.2820939794101</v>
          </cell>
        </row>
        <row r="123">
          <cell r="I123">
            <v>137104</v>
          </cell>
          <cell r="AH123">
            <v>3831.1916850445796</v>
          </cell>
        </row>
        <row r="124">
          <cell r="I124">
            <v>138101</v>
          </cell>
          <cell r="AH124">
            <v>2935.7548011045487</v>
          </cell>
        </row>
        <row r="125">
          <cell r="I125">
            <v>138102</v>
          </cell>
          <cell r="AH125">
            <v>2613.2811227236252</v>
          </cell>
        </row>
        <row r="126">
          <cell r="I126">
            <v>138103</v>
          </cell>
          <cell r="AH126">
            <v>2613.2811227236252</v>
          </cell>
        </row>
        <row r="127">
          <cell r="I127">
            <v>138104</v>
          </cell>
          <cell r="AH127">
            <v>4239.9946598047673</v>
          </cell>
        </row>
        <row r="128">
          <cell r="I128">
            <v>139101</v>
          </cell>
          <cell r="AH128">
            <v>3630.3427784054397</v>
          </cell>
        </row>
        <row r="129">
          <cell r="I129">
            <v>139102</v>
          </cell>
          <cell r="AH129">
            <v>3630.3427784054397</v>
          </cell>
        </row>
        <row r="130">
          <cell r="I130">
            <v>139103</v>
          </cell>
          <cell r="AH130">
            <v>3630.3427784054397</v>
          </cell>
        </row>
        <row r="131">
          <cell r="I131">
            <v>139104</v>
          </cell>
          <cell r="AH131">
            <v>5312.8233923948701</v>
          </cell>
        </row>
        <row r="132">
          <cell r="I132">
            <v>139105</v>
          </cell>
          <cell r="AH132">
            <v>5312.8233923948701</v>
          </cell>
        </row>
        <row r="133">
          <cell r="I133">
            <v>141101</v>
          </cell>
          <cell r="AH133">
            <v>3538.2057128423921</v>
          </cell>
        </row>
        <row r="134">
          <cell r="I134">
            <v>141102</v>
          </cell>
          <cell r="AH134">
            <v>3145.3304842104071</v>
          </cell>
        </row>
        <row r="135">
          <cell r="I135">
            <v>141103</v>
          </cell>
          <cell r="AH135">
            <v>3538.2057128423921</v>
          </cell>
        </row>
        <row r="136">
          <cell r="I136">
            <v>141104</v>
          </cell>
          <cell r="AH136">
            <v>5140.806182844608</v>
          </cell>
        </row>
        <row r="137">
          <cell r="I137">
            <v>142101</v>
          </cell>
          <cell r="AH137">
            <v>3897.4599193962908</v>
          </cell>
        </row>
        <row r="138">
          <cell r="I138">
            <v>142102</v>
          </cell>
          <cell r="AH138">
            <v>3897.4599193962908</v>
          </cell>
        </row>
        <row r="139">
          <cell r="I139">
            <v>142103</v>
          </cell>
          <cell r="AH139">
            <v>3461.0804784745542</v>
          </cell>
        </row>
        <row r="140">
          <cell r="I140">
            <v>142104</v>
          </cell>
          <cell r="AH140">
            <v>5684.5953811131858</v>
          </cell>
        </row>
        <row r="141">
          <cell r="I141">
            <v>143101</v>
          </cell>
          <cell r="AH141">
            <v>4321.8454286873948</v>
          </cell>
        </row>
        <row r="142">
          <cell r="I142">
            <v>143102</v>
          </cell>
          <cell r="AH142">
            <v>4321.8454286873948</v>
          </cell>
        </row>
        <row r="143">
          <cell r="I143">
            <v>143103</v>
          </cell>
          <cell r="AH143">
            <v>4321.8454286873948</v>
          </cell>
        </row>
        <row r="144">
          <cell r="I144">
            <v>143104</v>
          </cell>
          <cell r="AH144">
            <v>6328.5716232018549</v>
          </cell>
        </row>
        <row r="145">
          <cell r="I145">
            <v>144101</v>
          </cell>
          <cell r="AH145">
            <v>4761.3685414388528</v>
          </cell>
        </row>
        <row r="146">
          <cell r="I146">
            <v>144102</v>
          </cell>
          <cell r="AH146">
            <v>4218.5046363720403</v>
          </cell>
        </row>
        <row r="147">
          <cell r="I147">
            <v>144103</v>
          </cell>
          <cell r="AH147">
            <v>4761.3685414388528</v>
          </cell>
        </row>
        <row r="148">
          <cell r="I148">
            <v>144104</v>
          </cell>
          <cell r="AH148">
            <v>7005.8540207601336</v>
          </cell>
        </row>
        <row r="149">
          <cell r="I149">
            <v>145101</v>
          </cell>
          <cell r="AH149">
            <v>5232.8176429628675</v>
          </cell>
        </row>
        <row r="150">
          <cell r="I150">
            <v>145102</v>
          </cell>
          <cell r="AH150">
            <v>5232.8176429628675</v>
          </cell>
        </row>
        <row r="151">
          <cell r="I151">
            <v>145103</v>
          </cell>
          <cell r="AH151">
            <v>5232.8176429628675</v>
          </cell>
        </row>
        <row r="152">
          <cell r="I152">
            <v>145104</v>
          </cell>
          <cell r="AH152">
            <v>7733.2815898789049</v>
          </cell>
        </row>
        <row r="153">
          <cell r="I153">
            <v>146101</v>
          </cell>
          <cell r="AH153">
            <v>5084.8983671055121</v>
          </cell>
        </row>
        <row r="154">
          <cell r="I154">
            <v>146102</v>
          </cell>
          <cell r="AH154">
            <v>5750.2243331840646</v>
          </cell>
        </row>
        <row r="155">
          <cell r="I155">
            <v>146103</v>
          </cell>
          <cell r="AH155">
            <v>5750.2243331840646</v>
          </cell>
        </row>
        <row r="156">
          <cell r="I156">
            <v>146104</v>
          </cell>
          <cell r="AH156">
            <v>8525.6697704439139</v>
          </cell>
        </row>
        <row r="157">
          <cell r="I157">
            <v>147101</v>
          </cell>
          <cell r="AH157">
            <v>6293.639792397782</v>
          </cell>
        </row>
        <row r="158">
          <cell r="I158">
            <v>147102</v>
          </cell>
          <cell r="AH158">
            <v>5560.7709225588424</v>
          </cell>
        </row>
        <row r="159">
          <cell r="I159">
            <v>147103</v>
          </cell>
          <cell r="AH159">
            <v>6293.639792397782</v>
          </cell>
        </row>
        <row r="160">
          <cell r="I160">
            <v>147104</v>
          </cell>
          <cell r="AH160">
            <v>9363.8681077968758</v>
          </cell>
        </row>
        <row r="161">
          <cell r="I161">
            <v>148101</v>
          </cell>
          <cell r="AH161">
            <v>6863.1352194311676</v>
          </cell>
        </row>
        <row r="162">
          <cell r="I162">
            <v>148102</v>
          </cell>
          <cell r="AH162">
            <v>6863.1352194311676</v>
          </cell>
        </row>
        <row r="163">
          <cell r="I163">
            <v>148103</v>
          </cell>
          <cell r="AH163">
            <v>6863.1352194311676</v>
          </cell>
        </row>
        <row r="164">
          <cell r="I164">
            <v>148104</v>
          </cell>
          <cell r="AH164">
            <v>10248.760780071741</v>
          </cell>
        </row>
        <row r="165">
          <cell r="I165">
            <v>149101</v>
          </cell>
          <cell r="AH165">
            <v>7602.8852544122219</v>
          </cell>
        </row>
        <row r="166">
          <cell r="I166">
            <v>149102</v>
          </cell>
          <cell r="AH166">
            <v>8537.6094717466149</v>
          </cell>
        </row>
        <row r="167">
          <cell r="I167">
            <v>149103</v>
          </cell>
          <cell r="AH167">
            <v>8537.6094717466149</v>
          </cell>
        </row>
        <row r="168">
          <cell r="I168">
            <v>149104</v>
          </cell>
          <cell r="AH168">
            <v>12885.269103343344</v>
          </cell>
        </row>
        <row r="169">
          <cell r="I169">
            <v>151101</v>
          </cell>
          <cell r="AH169">
            <v>8191.2048488330447</v>
          </cell>
        </row>
        <row r="170">
          <cell r="I170">
            <v>151102</v>
          </cell>
          <cell r="AH170">
            <v>7221.8939824368499</v>
          </cell>
        </row>
        <row r="171">
          <cell r="I171">
            <v>151103</v>
          </cell>
          <cell r="AH171">
            <v>8191.2048488330447</v>
          </cell>
        </row>
        <row r="172">
          <cell r="I172">
            <v>151104</v>
          </cell>
          <cell r="AH172">
            <v>12286.083787979598</v>
          </cell>
        </row>
        <row r="173">
          <cell r="I173">
            <v>152101</v>
          </cell>
          <cell r="AH173">
            <v>8902.3965109912824</v>
          </cell>
        </row>
        <row r="174">
          <cell r="I174">
            <v>152102</v>
          </cell>
          <cell r="AH174">
            <v>7842.5980396199902</v>
          </cell>
        </row>
        <row r="175">
          <cell r="I175">
            <v>152103</v>
          </cell>
          <cell r="AH175">
            <v>8902.3965109912824</v>
          </cell>
        </row>
        <row r="176">
          <cell r="I176">
            <v>152104</v>
          </cell>
          <cell r="AH176">
            <v>13388.105606124338</v>
          </cell>
        </row>
        <row r="177">
          <cell r="I177">
            <v>153101</v>
          </cell>
          <cell r="AH177">
            <v>9741.9301267446972</v>
          </cell>
        </row>
        <row r="178">
          <cell r="I178">
            <v>153102</v>
          </cell>
          <cell r="AH178">
            <v>9741.9301267446972</v>
          </cell>
        </row>
        <row r="179">
          <cell r="I179">
            <v>153103</v>
          </cell>
          <cell r="AH179">
            <v>9741.9301267446972</v>
          </cell>
        </row>
        <row r="180">
          <cell r="I180">
            <v>153104</v>
          </cell>
          <cell r="AH180">
            <v>14688.095948433649</v>
          </cell>
        </row>
        <row r="181">
          <cell r="I181">
            <v>154101</v>
          </cell>
          <cell r="AH181">
            <v>10627.980439455936</v>
          </cell>
        </row>
        <row r="182">
          <cell r="I182">
            <v>154102</v>
          </cell>
          <cell r="AH182">
            <v>10627.980439455936</v>
          </cell>
        </row>
        <row r="183">
          <cell r="I183">
            <v>154103</v>
          </cell>
          <cell r="AH183">
            <v>9347.4532911163187</v>
          </cell>
        </row>
        <row r="184">
          <cell r="I184">
            <v>154104</v>
          </cell>
          <cell r="AH184">
            <v>16066.535894834653</v>
          </cell>
        </row>
        <row r="185">
          <cell r="I185">
            <v>155101</v>
          </cell>
          <cell r="AH185">
            <v>11592.964941527171</v>
          </cell>
        </row>
        <row r="186">
          <cell r="I186">
            <v>155102</v>
          </cell>
          <cell r="AH186">
            <v>11592.964941527171</v>
          </cell>
        </row>
        <row r="187">
          <cell r="I187">
            <v>155103</v>
          </cell>
          <cell r="AH187">
            <v>11592.964941527171</v>
          </cell>
        </row>
        <row r="188">
          <cell r="I188">
            <v>155104</v>
          </cell>
          <cell r="AH188">
            <v>17557.178011933211</v>
          </cell>
        </row>
        <row r="189">
          <cell r="I189">
            <v>155105</v>
          </cell>
          <cell r="AH189">
            <v>49047.534035799625</v>
          </cell>
        </row>
        <row r="190">
          <cell r="I190">
            <v>156101</v>
          </cell>
          <cell r="AH190">
            <v>12631.382769057465</v>
          </cell>
        </row>
        <row r="191">
          <cell r="I191">
            <v>156102</v>
          </cell>
          <cell r="AH191">
            <v>11099.651375643291</v>
          </cell>
        </row>
        <row r="192">
          <cell r="I192">
            <v>156103</v>
          </cell>
          <cell r="AH192">
            <v>12631.382769057465</v>
          </cell>
        </row>
        <row r="193">
          <cell r="I193">
            <v>156104</v>
          </cell>
          <cell r="AH193">
            <v>19155.886950051092</v>
          </cell>
        </row>
        <row r="194">
          <cell r="I194">
            <v>157101</v>
          </cell>
          <cell r="AH194">
            <v>13701.817586059587</v>
          </cell>
        </row>
        <row r="195">
          <cell r="I195">
            <v>157102</v>
          </cell>
          <cell r="AH195">
            <v>13701.817586059587</v>
          </cell>
        </row>
        <row r="196">
          <cell r="I196">
            <v>157103</v>
          </cell>
          <cell r="AH196">
            <v>12032.237895212887</v>
          </cell>
        </row>
        <row r="197">
          <cell r="I197">
            <v>157104</v>
          </cell>
          <cell r="AH197">
            <v>20822.642902727559</v>
          </cell>
        </row>
        <row r="198">
          <cell r="I198">
            <v>158101</v>
          </cell>
          <cell r="AH198">
            <v>14873.9406103819</v>
          </cell>
        </row>
        <row r="199">
          <cell r="I199">
            <v>158102</v>
          </cell>
          <cell r="AH199">
            <v>14873.9406103819</v>
          </cell>
        </row>
        <row r="200">
          <cell r="I200">
            <v>158103</v>
          </cell>
          <cell r="AH200">
            <v>14873.9406103819</v>
          </cell>
        </row>
        <row r="201">
          <cell r="I201">
            <v>158104</v>
          </cell>
          <cell r="AH201">
            <v>22628.54523550078</v>
          </cell>
        </row>
        <row r="202">
          <cell r="I202">
            <v>158105</v>
          </cell>
          <cell r="AH202">
            <v>63551.635706502333</v>
          </cell>
        </row>
        <row r="203">
          <cell r="I203">
            <v>159101</v>
          </cell>
          <cell r="AH203">
            <v>18520.242619462369</v>
          </cell>
        </row>
        <row r="204">
          <cell r="I204">
            <v>159102</v>
          </cell>
          <cell r="AH204">
            <v>16405.904647370044</v>
          </cell>
        </row>
        <row r="205">
          <cell r="I205">
            <v>159103</v>
          </cell>
          <cell r="AH205">
            <v>18520.242619462369</v>
          </cell>
        </row>
        <row r="206">
          <cell r="I206">
            <v>159104</v>
          </cell>
          <cell r="AH206">
            <v>28381.556339331633</v>
          </cell>
        </row>
        <row r="207">
          <cell r="I207">
            <v>161101</v>
          </cell>
          <cell r="AH207">
            <v>17374.393136331455</v>
          </cell>
        </row>
        <row r="208">
          <cell r="I208">
            <v>161102</v>
          </cell>
          <cell r="AH208">
            <v>17374.393136331455</v>
          </cell>
        </row>
        <row r="209">
          <cell r="I209">
            <v>161103</v>
          </cell>
          <cell r="AH209">
            <v>17374.393136331455</v>
          </cell>
        </row>
        <row r="210">
          <cell r="I210">
            <v>161104</v>
          </cell>
          <cell r="AH210">
            <v>26514.805402831797</v>
          </cell>
        </row>
        <row r="211">
          <cell r="I211">
            <v>162101</v>
          </cell>
          <cell r="AH211">
            <v>18772.532230733224</v>
          </cell>
        </row>
        <row r="212">
          <cell r="I212">
            <v>162102</v>
          </cell>
          <cell r="AH212">
            <v>16461.76793502488</v>
          </cell>
        </row>
        <row r="213">
          <cell r="I213">
            <v>162103</v>
          </cell>
          <cell r="AH213">
            <v>18772.532230733224</v>
          </cell>
        </row>
        <row r="214">
          <cell r="I214">
            <v>162104</v>
          </cell>
          <cell r="AH214">
            <v>28667.993064543844</v>
          </cell>
        </row>
        <row r="215">
          <cell r="I215">
            <v>163101</v>
          </cell>
          <cell r="AH215">
            <v>20269.985903123146</v>
          </cell>
        </row>
        <row r="216">
          <cell r="I216">
            <v>163102</v>
          </cell>
          <cell r="AH216">
            <v>20269.985903123146</v>
          </cell>
        </row>
        <row r="217">
          <cell r="I217">
            <v>163103</v>
          </cell>
          <cell r="AH217">
            <v>20269.985903123146</v>
          </cell>
        </row>
        <row r="218">
          <cell r="I218">
            <v>163104</v>
          </cell>
          <cell r="AH218">
            <v>30963.995374460759</v>
          </cell>
        </row>
        <row r="219">
          <cell r="I219">
            <v>164101</v>
          </cell>
          <cell r="AH219">
            <v>21892.472750082336</v>
          </cell>
        </row>
        <row r="220">
          <cell r="I220">
            <v>164102</v>
          </cell>
          <cell r="AH220">
            <v>19184.317758164292</v>
          </cell>
        </row>
        <row r="221">
          <cell r="I221">
            <v>164103</v>
          </cell>
          <cell r="AH221">
            <v>21892.472750082336</v>
          </cell>
        </row>
        <row r="222">
          <cell r="I222">
            <v>164104</v>
          </cell>
          <cell r="AH222">
            <v>33506.032928287532</v>
          </cell>
        </row>
        <row r="223">
          <cell r="I223">
            <v>165101</v>
          </cell>
          <cell r="AH223">
            <v>23534.100682424109</v>
          </cell>
        </row>
        <row r="224">
          <cell r="I224">
            <v>165102</v>
          </cell>
          <cell r="AH224">
            <v>23534.100682424109</v>
          </cell>
        </row>
        <row r="225">
          <cell r="I225">
            <v>165103</v>
          </cell>
          <cell r="AH225">
            <v>23534.100682424109</v>
          </cell>
        </row>
        <row r="226">
          <cell r="I226">
            <v>165104</v>
          </cell>
          <cell r="AH226">
            <v>35921.113632883927</v>
          </cell>
        </row>
        <row r="227">
          <cell r="I227">
            <v>166101</v>
          </cell>
          <cell r="AH227">
            <v>25589.253851474994</v>
          </cell>
        </row>
        <row r="228">
          <cell r="I228">
            <v>166102</v>
          </cell>
          <cell r="AH228">
            <v>25589.253851474994</v>
          </cell>
        </row>
        <row r="229">
          <cell r="I229">
            <v>166103</v>
          </cell>
          <cell r="AH229">
            <v>25589.253851474994</v>
          </cell>
        </row>
        <row r="230">
          <cell r="I230">
            <v>166104</v>
          </cell>
          <cell r="AH230">
            <v>39206.681386997348</v>
          </cell>
        </row>
        <row r="231">
          <cell r="I231">
            <v>167101</v>
          </cell>
          <cell r="AH231">
            <v>27531.731399731281</v>
          </cell>
        </row>
        <row r="232">
          <cell r="I232">
            <v>167102</v>
          </cell>
          <cell r="AH232">
            <v>24107.295608568642</v>
          </cell>
        </row>
        <row r="233">
          <cell r="I233">
            <v>167103</v>
          </cell>
          <cell r="AH233">
            <v>27531.731399731281</v>
          </cell>
        </row>
        <row r="234">
          <cell r="I234">
            <v>167104</v>
          </cell>
          <cell r="AH234">
            <v>42237.546087316492</v>
          </cell>
        </row>
        <row r="235">
          <cell r="I235">
            <v>168101</v>
          </cell>
          <cell r="AH235">
            <v>29593.9632620638</v>
          </cell>
        </row>
        <row r="236">
          <cell r="I236">
            <v>168102</v>
          </cell>
          <cell r="AH236">
            <v>29593.9632620638</v>
          </cell>
        </row>
        <row r="237">
          <cell r="I237">
            <v>168103</v>
          </cell>
          <cell r="AH237">
            <v>29593.9632620638</v>
          </cell>
        </row>
        <row r="238">
          <cell r="I238">
            <v>168104</v>
          </cell>
          <cell r="AH238">
            <v>45448.591890002688</v>
          </cell>
        </row>
        <row r="239">
          <cell r="I239">
            <v>169101</v>
          </cell>
          <cell r="AH239">
            <v>36771.636829307783</v>
          </cell>
        </row>
        <row r="240">
          <cell r="I240">
            <v>169102</v>
          </cell>
          <cell r="AH240">
            <v>36771.636829307783</v>
          </cell>
        </row>
        <row r="241">
          <cell r="I241">
            <v>169103</v>
          </cell>
          <cell r="AH241">
            <v>36771.636829307783</v>
          </cell>
        </row>
        <row r="242">
          <cell r="I242">
            <v>169104</v>
          </cell>
          <cell r="AH242">
            <v>56797.492949240543</v>
          </cell>
        </row>
        <row r="243">
          <cell r="I243">
            <v>171101</v>
          </cell>
          <cell r="AH243">
            <v>34167.695363134742</v>
          </cell>
        </row>
        <row r="244">
          <cell r="I244">
            <v>171102</v>
          </cell>
          <cell r="AH244">
            <v>29899.025635007576</v>
          </cell>
        </row>
        <row r="245">
          <cell r="I245">
            <v>171103</v>
          </cell>
          <cell r="AH245">
            <v>34167.695363134742</v>
          </cell>
        </row>
        <row r="246">
          <cell r="I246">
            <v>171104</v>
          </cell>
          <cell r="AH246">
            <v>52509.894432676127</v>
          </cell>
        </row>
        <row r="247">
          <cell r="I247">
            <v>172101</v>
          </cell>
          <cell r="AH247">
            <v>36649.602388159059</v>
          </cell>
        </row>
        <row r="248">
          <cell r="I248">
            <v>172102</v>
          </cell>
          <cell r="AH248">
            <v>36649.602388159059</v>
          </cell>
        </row>
        <row r="249">
          <cell r="I249">
            <v>172103</v>
          </cell>
          <cell r="AH249">
            <v>36649.602388159059</v>
          </cell>
        </row>
        <row r="250">
          <cell r="I250">
            <v>172104</v>
          </cell>
          <cell r="AH250">
            <v>56335.013798769003</v>
          </cell>
        </row>
        <row r="251">
          <cell r="I251">
            <v>173101</v>
          </cell>
          <cell r="AH251">
            <v>39215.090919587536</v>
          </cell>
        </row>
        <row r="252">
          <cell r="I252">
            <v>173102</v>
          </cell>
          <cell r="AH252">
            <v>39215.090919587536</v>
          </cell>
        </row>
        <row r="253">
          <cell r="I253">
            <v>173103</v>
          </cell>
          <cell r="AH253">
            <v>39215.090919587536</v>
          </cell>
        </row>
        <row r="254">
          <cell r="I254">
            <v>173104</v>
          </cell>
          <cell r="AH254">
            <v>60313.055849984332</v>
          </cell>
        </row>
        <row r="255">
          <cell r="I255">
            <v>174101</v>
          </cell>
          <cell r="AH255">
            <v>41982.299728659316</v>
          </cell>
        </row>
        <row r="256">
          <cell r="I256">
            <v>174102</v>
          </cell>
          <cell r="AH256">
            <v>41982.299728659316</v>
          </cell>
        </row>
        <row r="257">
          <cell r="I257">
            <v>174103</v>
          </cell>
          <cell r="AH257">
            <v>41982.299728659316</v>
          </cell>
        </row>
        <row r="258">
          <cell r="I258">
            <v>174104</v>
          </cell>
          <cell r="AH258">
            <v>64564.518251224581</v>
          </cell>
        </row>
        <row r="259">
          <cell r="I259">
            <v>175101</v>
          </cell>
          <cell r="AH259">
            <v>45062.016228302826</v>
          </cell>
        </row>
        <row r="260">
          <cell r="I260">
            <v>175102</v>
          </cell>
          <cell r="AH260">
            <v>45062.016228302826</v>
          </cell>
        </row>
        <row r="261">
          <cell r="I261">
            <v>175103</v>
          </cell>
          <cell r="AH261">
            <v>45062.016228302826</v>
          </cell>
        </row>
        <row r="262">
          <cell r="I262">
            <v>175104</v>
          </cell>
          <cell r="AH262">
            <v>69321.521555422602</v>
          </cell>
        </row>
        <row r="263">
          <cell r="I263">
            <v>176101</v>
          </cell>
          <cell r="AH263">
            <v>48343.643668221965</v>
          </cell>
        </row>
        <row r="264">
          <cell r="I264">
            <v>176102</v>
          </cell>
          <cell r="AH264">
            <v>48343.643668221965</v>
          </cell>
        </row>
        <row r="265">
          <cell r="I265">
            <v>176103</v>
          </cell>
          <cell r="AH265">
            <v>48343.643668221965</v>
          </cell>
        </row>
        <row r="266">
          <cell r="I266">
            <v>176104</v>
          </cell>
          <cell r="AH266">
            <v>74367.024039006486</v>
          </cell>
        </row>
        <row r="267">
          <cell r="I267">
            <v>177101</v>
          </cell>
          <cell r="AH267">
            <v>51731.748631236209</v>
          </cell>
        </row>
        <row r="268">
          <cell r="I268">
            <v>177102</v>
          </cell>
          <cell r="AH268">
            <v>51731.748631236209</v>
          </cell>
        </row>
        <row r="269">
          <cell r="I269">
            <v>177103</v>
          </cell>
          <cell r="AH269">
            <v>51731.748631236209</v>
          </cell>
        </row>
        <row r="270">
          <cell r="I270">
            <v>177104</v>
          </cell>
          <cell r="AH270">
            <v>79608.53131996427</v>
          </cell>
        </row>
        <row r="271">
          <cell r="I271">
            <v>178101</v>
          </cell>
          <cell r="AH271">
            <v>55386.143667722325</v>
          </cell>
        </row>
        <row r="272">
          <cell r="I272">
            <v>178102</v>
          </cell>
          <cell r="AH272">
            <v>55386.143667722325</v>
          </cell>
        </row>
        <row r="273">
          <cell r="I273">
            <v>178103</v>
          </cell>
          <cell r="AH273">
            <v>55386.143667722325</v>
          </cell>
        </row>
        <row r="274">
          <cell r="I274">
            <v>178104</v>
          </cell>
          <cell r="AH274">
            <v>85208.865217122715</v>
          </cell>
        </row>
        <row r="275">
          <cell r="I275">
            <v>179101</v>
          </cell>
          <cell r="AH275">
            <v>68697.063712039191</v>
          </cell>
        </row>
        <row r="276">
          <cell r="I276">
            <v>179102</v>
          </cell>
          <cell r="AH276">
            <v>68697.063712039191</v>
          </cell>
        </row>
        <row r="277">
          <cell r="I277">
            <v>179103</v>
          </cell>
          <cell r="AH277">
            <v>68697.063712039191</v>
          </cell>
        </row>
        <row r="278">
          <cell r="I278">
            <v>179104</v>
          </cell>
          <cell r="AH278">
            <v>106173.78848931458</v>
          </cell>
        </row>
        <row r="279">
          <cell r="I279">
            <v>181101</v>
          </cell>
          <cell r="AH279">
            <v>63182.351767910128</v>
          </cell>
        </row>
        <row r="280">
          <cell r="I280">
            <v>181102</v>
          </cell>
          <cell r="AH280">
            <v>63182.351767910128</v>
          </cell>
        </row>
        <row r="281">
          <cell r="I281">
            <v>181103</v>
          </cell>
          <cell r="AH281">
            <v>55247.806974926374</v>
          </cell>
        </row>
        <row r="282">
          <cell r="I282">
            <v>181104</v>
          </cell>
          <cell r="AH282">
            <v>97186.962411997767</v>
          </cell>
        </row>
        <row r="283">
          <cell r="I283">
            <v>182101</v>
          </cell>
          <cell r="AH283">
            <v>67337.123778777575</v>
          </cell>
        </row>
        <row r="284">
          <cell r="I284">
            <v>182102</v>
          </cell>
          <cell r="AH284">
            <v>67337.123778777575</v>
          </cell>
        </row>
        <row r="285">
          <cell r="I285">
            <v>182103</v>
          </cell>
          <cell r="AH285">
            <v>58873.619790226126</v>
          </cell>
        </row>
        <row r="286">
          <cell r="I286">
            <v>182104</v>
          </cell>
          <cell r="AH286">
            <v>103584.07508897009</v>
          </cell>
        </row>
        <row r="287">
          <cell r="I287">
            <v>183101</v>
          </cell>
          <cell r="AH287">
            <v>71497.821867823761</v>
          </cell>
        </row>
        <row r="288">
          <cell r="I288">
            <v>183102</v>
          </cell>
          <cell r="AH288">
            <v>71497.821867823761</v>
          </cell>
        </row>
        <row r="289">
          <cell r="I289">
            <v>183103</v>
          </cell>
          <cell r="AH289">
            <v>62512.096243338456</v>
          </cell>
        </row>
        <row r="290">
          <cell r="I290">
            <v>183104</v>
          </cell>
          <cell r="AH290">
            <v>110026.97485681354</v>
          </cell>
        </row>
        <row r="291">
          <cell r="I291">
            <v>184101</v>
          </cell>
          <cell r="AH291">
            <v>75750.507750390461</v>
          </cell>
        </row>
        <row r="292">
          <cell r="I292">
            <v>184102</v>
          </cell>
          <cell r="AH292">
            <v>75750.507750390461</v>
          </cell>
        </row>
        <row r="293">
          <cell r="I293">
            <v>184103</v>
          </cell>
          <cell r="AH293">
            <v>66219.944818438235</v>
          </cell>
        </row>
        <row r="294">
          <cell r="I294">
            <v>184104</v>
          </cell>
          <cell r="AH294">
            <v>116661.88760937534</v>
          </cell>
        </row>
        <row r="295">
          <cell r="I295">
            <v>185101</v>
          </cell>
          <cell r="AH295">
            <v>80217.432338273487</v>
          </cell>
        </row>
        <row r="296">
          <cell r="I296">
            <v>185102</v>
          </cell>
          <cell r="AH296">
            <v>80217.432338273487</v>
          </cell>
        </row>
        <row r="297">
          <cell r="I297">
            <v>185103</v>
          </cell>
          <cell r="AH297">
            <v>80217.432338273487</v>
          </cell>
        </row>
        <row r="298">
          <cell r="I298">
            <v>185104</v>
          </cell>
          <cell r="AH298">
            <v>123613.88726725976</v>
          </cell>
        </row>
        <row r="299">
          <cell r="I299">
            <v>186101</v>
          </cell>
          <cell r="AH299">
            <v>85244.790147319756</v>
          </cell>
        </row>
        <row r="300">
          <cell r="I300">
            <v>186102</v>
          </cell>
          <cell r="AH300">
            <v>74513.497516823641</v>
          </cell>
        </row>
        <row r="301">
          <cell r="I301">
            <v>186103</v>
          </cell>
          <cell r="AH301">
            <v>85244.790147319756</v>
          </cell>
        </row>
        <row r="302">
          <cell r="I302">
            <v>186104</v>
          </cell>
          <cell r="AH302">
            <v>131406.23838037983</v>
          </cell>
        </row>
        <row r="303">
          <cell r="I303">
            <v>187101</v>
          </cell>
          <cell r="AH303">
            <v>90317.508482813224</v>
          </cell>
        </row>
        <row r="304">
          <cell r="I304">
            <v>187102</v>
          </cell>
          <cell r="AH304">
            <v>90317.508482813224</v>
          </cell>
        </row>
        <row r="305">
          <cell r="I305">
            <v>187103</v>
          </cell>
          <cell r="AH305">
            <v>78926.153417011927</v>
          </cell>
        </row>
        <row r="306">
          <cell r="I306">
            <v>187104</v>
          </cell>
          <cell r="AH306">
            <v>139364.85835961206</v>
          </cell>
        </row>
        <row r="307">
          <cell r="I307">
            <v>188101</v>
          </cell>
          <cell r="AH307">
            <v>95717.069818370263</v>
          </cell>
        </row>
        <row r="308">
          <cell r="I308">
            <v>188102</v>
          </cell>
          <cell r="AH308">
            <v>95717.069818370263</v>
          </cell>
        </row>
        <row r="309">
          <cell r="I309">
            <v>188103</v>
          </cell>
          <cell r="AH309">
            <v>95717.069818370263</v>
          </cell>
        </row>
        <row r="310">
          <cell r="I310">
            <v>188104</v>
          </cell>
          <cell r="AH310">
            <v>147774.6302039093</v>
          </cell>
        </row>
        <row r="311">
          <cell r="I311">
            <v>189101</v>
          </cell>
          <cell r="AH311">
            <v>118131.33243131469</v>
          </cell>
        </row>
        <row r="312">
          <cell r="I312">
            <v>189102</v>
          </cell>
          <cell r="AH312">
            <v>103979.69282154427</v>
          </cell>
        </row>
        <row r="313">
          <cell r="I313">
            <v>189103</v>
          </cell>
          <cell r="AH313">
            <v>118131.33243131469</v>
          </cell>
        </row>
        <row r="314">
          <cell r="I314">
            <v>189104</v>
          </cell>
          <cell r="AH314">
            <v>183161.0127218886</v>
          </cell>
        </row>
        <row r="315">
          <cell r="I315">
            <v>211201</v>
          </cell>
          <cell r="AH315">
            <v>41887.417952139869</v>
          </cell>
        </row>
        <row r="316">
          <cell r="I316">
            <v>211001</v>
          </cell>
          <cell r="AH316">
            <v>588.12067884129851</v>
          </cell>
        </row>
        <row r="317">
          <cell r="I317">
            <v>211002</v>
          </cell>
          <cell r="AH317">
            <v>588.12067884129851</v>
          </cell>
        </row>
        <row r="318">
          <cell r="I318">
            <v>211003</v>
          </cell>
          <cell r="AH318">
            <v>524.77603039272424</v>
          </cell>
        </row>
        <row r="319">
          <cell r="I319">
            <v>211004</v>
          </cell>
          <cell r="AH319">
            <v>820.2069219473351</v>
          </cell>
        </row>
        <row r="320">
          <cell r="I320">
            <v>212001</v>
          </cell>
          <cell r="AH320">
            <v>616.61769790973801</v>
          </cell>
        </row>
        <row r="321">
          <cell r="I321">
            <v>212002</v>
          </cell>
          <cell r="AH321">
            <v>690.43757274221332</v>
          </cell>
        </row>
        <row r="322">
          <cell r="I322">
            <v>212003</v>
          </cell>
          <cell r="AH322">
            <v>690.43757274221332</v>
          </cell>
        </row>
        <row r="323">
          <cell r="I323">
            <v>212004</v>
          </cell>
          <cell r="AH323">
            <v>967.29865728708785</v>
          </cell>
        </row>
        <row r="324">
          <cell r="I324">
            <v>213001</v>
          </cell>
          <cell r="AH324">
            <v>821.24261843773706</v>
          </cell>
        </row>
        <row r="325">
          <cell r="I325">
            <v>213002</v>
          </cell>
          <cell r="AH325">
            <v>736.02463032263358</v>
          </cell>
        </row>
        <row r="326">
          <cell r="I326">
            <v>213003</v>
          </cell>
          <cell r="AH326">
            <v>821.24261843773706</v>
          </cell>
        </row>
        <row r="327">
          <cell r="I327">
            <v>213004</v>
          </cell>
          <cell r="AH327">
            <v>1148.0128445221376</v>
          </cell>
        </row>
        <row r="328">
          <cell r="I328">
            <v>214001</v>
          </cell>
          <cell r="AH328">
            <v>941.02918095807945</v>
          </cell>
        </row>
        <row r="329">
          <cell r="I329">
            <v>214002</v>
          </cell>
          <cell r="AH329">
            <v>941.02918095807945</v>
          </cell>
        </row>
        <row r="330">
          <cell r="I330">
            <v>214003</v>
          </cell>
          <cell r="AH330">
            <v>941.02918095807945</v>
          </cell>
        </row>
        <row r="331">
          <cell r="I331">
            <v>214004</v>
          </cell>
          <cell r="AH331">
            <v>1323.1710211516433</v>
          </cell>
        </row>
        <row r="332">
          <cell r="I332">
            <v>215001</v>
          </cell>
          <cell r="AH332">
            <v>1081.3072859576541</v>
          </cell>
        </row>
        <row r="333">
          <cell r="I333">
            <v>215002</v>
          </cell>
          <cell r="AH333">
            <v>1081.3072859576541</v>
          </cell>
        </row>
        <row r="334">
          <cell r="I334">
            <v>215003</v>
          </cell>
          <cell r="AH334">
            <v>1081.3072859576541</v>
          </cell>
        </row>
        <row r="335">
          <cell r="I335">
            <v>215004</v>
          </cell>
          <cell r="AH335">
            <v>1524.6217059941519</v>
          </cell>
        </row>
        <row r="336">
          <cell r="I336">
            <v>216001</v>
          </cell>
          <cell r="AH336">
            <v>1242.6039694432402</v>
          </cell>
        </row>
        <row r="337">
          <cell r="I337">
            <v>216002</v>
          </cell>
          <cell r="AH337">
            <v>1242.6039694432402</v>
          </cell>
        </row>
        <row r="338">
          <cell r="I338">
            <v>216003</v>
          </cell>
          <cell r="AH338">
            <v>1242.6039694432402</v>
          </cell>
        </row>
        <row r="339">
          <cell r="I339">
            <v>216004</v>
          </cell>
          <cell r="AH339">
            <v>1753.2407801142419</v>
          </cell>
        </row>
        <row r="340">
          <cell r="I340">
            <v>217001</v>
          </cell>
          <cell r="AH340">
            <v>1398.8454202997282</v>
          </cell>
        </row>
        <row r="341">
          <cell r="I341">
            <v>217002</v>
          </cell>
          <cell r="AH341">
            <v>1398.8454202997282</v>
          </cell>
        </row>
        <row r="342">
          <cell r="I342">
            <v>217003</v>
          </cell>
          <cell r="AH342">
            <v>1398.8454202997282</v>
          </cell>
        </row>
        <row r="343">
          <cell r="I343">
            <v>217004</v>
          </cell>
          <cell r="AH343">
            <v>1982.590027255209</v>
          </cell>
        </row>
        <row r="344">
          <cell r="I344">
            <v>218001</v>
          </cell>
          <cell r="AH344">
            <v>1585.8156905756896</v>
          </cell>
        </row>
        <row r="345">
          <cell r="I345">
            <v>218002</v>
          </cell>
          <cell r="AH345">
            <v>1585.8156905756896</v>
          </cell>
        </row>
        <row r="346">
          <cell r="I346">
            <v>218003</v>
          </cell>
          <cell r="AH346">
            <v>1585.8156905756896</v>
          </cell>
        </row>
        <row r="347">
          <cell r="I347">
            <v>218004</v>
          </cell>
          <cell r="AH347">
            <v>2253.4675612218325</v>
          </cell>
        </row>
        <row r="348">
          <cell r="I348">
            <v>219001</v>
          </cell>
          <cell r="AH348">
            <v>1789.4828658840363</v>
          </cell>
        </row>
        <row r="349">
          <cell r="I349">
            <v>219002</v>
          </cell>
          <cell r="AH349">
            <v>1789.4828658840363</v>
          </cell>
        </row>
        <row r="350">
          <cell r="I350">
            <v>219003</v>
          </cell>
          <cell r="AH350">
            <v>1789.4828658840363</v>
          </cell>
        </row>
        <row r="351">
          <cell r="I351">
            <v>219004</v>
          </cell>
          <cell r="AH351">
            <v>2544.4992094031682</v>
          </cell>
        </row>
        <row r="352">
          <cell r="I352">
            <v>221001</v>
          </cell>
          <cell r="AH352">
            <v>1781.6561236760269</v>
          </cell>
        </row>
        <row r="353">
          <cell r="I353">
            <v>221002</v>
          </cell>
          <cell r="AH353">
            <v>1781.6561236760269</v>
          </cell>
        </row>
        <row r="354">
          <cell r="I354">
            <v>221003</v>
          </cell>
          <cell r="AH354">
            <v>1781.6561236760269</v>
          </cell>
        </row>
        <row r="355">
          <cell r="I355">
            <v>221004</v>
          </cell>
          <cell r="AH355">
            <v>2526.2607724639602</v>
          </cell>
        </row>
        <row r="356">
          <cell r="I356">
            <v>222001</v>
          </cell>
          <cell r="AH356">
            <v>1793.8763646816424</v>
          </cell>
        </row>
        <row r="357">
          <cell r="I357">
            <v>222002</v>
          </cell>
          <cell r="AH357">
            <v>2007.6442495933036</v>
          </cell>
        </row>
        <row r="358">
          <cell r="I358">
            <v>222003</v>
          </cell>
          <cell r="AH358">
            <v>2007.6442495933036</v>
          </cell>
        </row>
        <row r="359">
          <cell r="I359">
            <v>222004</v>
          </cell>
          <cell r="AH359">
            <v>2859.8419485243739</v>
          </cell>
        </row>
        <row r="360">
          <cell r="I360">
            <v>223001</v>
          </cell>
          <cell r="AH360">
            <v>2029.3159492143909</v>
          </cell>
        </row>
        <row r="361">
          <cell r="I361">
            <v>223002</v>
          </cell>
          <cell r="AH361">
            <v>2268.3989183434269</v>
          </cell>
        </row>
        <row r="362">
          <cell r="I362">
            <v>223003</v>
          </cell>
          <cell r="AH362">
            <v>2268.3989183434269</v>
          </cell>
        </row>
        <row r="363">
          <cell r="I363">
            <v>223004</v>
          </cell>
          <cell r="AH363">
            <v>3237.9470412912865</v>
          </cell>
        </row>
        <row r="364">
          <cell r="I364">
            <v>224001</v>
          </cell>
          <cell r="AH364">
            <v>2516.7445464356342</v>
          </cell>
        </row>
        <row r="365">
          <cell r="I365">
            <v>224002</v>
          </cell>
          <cell r="AH365">
            <v>2516.7445464356342</v>
          </cell>
        </row>
        <row r="366">
          <cell r="I366">
            <v>224003</v>
          </cell>
          <cell r="AH366">
            <v>2516.7445464356342</v>
          </cell>
        </row>
        <row r="367">
          <cell r="I367">
            <v>224004</v>
          </cell>
          <cell r="AH367">
            <v>3613.9320818438073</v>
          </cell>
        </row>
        <row r="368">
          <cell r="I368">
            <v>225001</v>
          </cell>
          <cell r="AH368">
            <v>2841.1221350414935</v>
          </cell>
        </row>
        <row r="369">
          <cell r="I369">
            <v>225002</v>
          </cell>
          <cell r="AH369">
            <v>2841.1221350414935</v>
          </cell>
        </row>
        <row r="370">
          <cell r="I370">
            <v>225003</v>
          </cell>
          <cell r="AH370">
            <v>2542.2356331922147</v>
          </cell>
        </row>
        <row r="371">
          <cell r="I371">
            <v>225004</v>
          </cell>
          <cell r="AH371">
            <v>4092.4622036735991</v>
          </cell>
        </row>
        <row r="372">
          <cell r="I372">
            <v>226001</v>
          </cell>
          <cell r="AH372">
            <v>3171.9985283258925</v>
          </cell>
        </row>
        <row r="373">
          <cell r="I373">
            <v>226002</v>
          </cell>
          <cell r="AH373">
            <v>3171.9985283258925</v>
          </cell>
        </row>
        <row r="374">
          <cell r="I374">
            <v>226003</v>
          </cell>
          <cell r="AH374">
            <v>3171.9985283258925</v>
          </cell>
        </row>
        <row r="375">
          <cell r="I375">
            <v>226004</v>
          </cell>
          <cell r="AH375">
            <v>4590.8390613604515</v>
          </cell>
        </row>
        <row r="376">
          <cell r="I376">
            <v>227001</v>
          </cell>
          <cell r="AH376">
            <v>3510.1933981803832</v>
          </cell>
        </row>
        <row r="377">
          <cell r="I377">
            <v>227002</v>
          </cell>
          <cell r="AH377">
            <v>3510.1933981803832</v>
          </cell>
        </row>
        <row r="378">
          <cell r="I378">
            <v>227003</v>
          </cell>
          <cell r="AH378">
            <v>3510.1933981803832</v>
          </cell>
        </row>
        <row r="379">
          <cell r="I379">
            <v>227004</v>
          </cell>
          <cell r="AH379">
            <v>5108.3222807111579</v>
          </cell>
        </row>
        <row r="380">
          <cell r="I380">
            <v>228001</v>
          </cell>
          <cell r="AH380">
            <v>3958.5497621387158</v>
          </cell>
        </row>
        <row r="381">
          <cell r="I381">
            <v>228002</v>
          </cell>
          <cell r="AH381">
            <v>3958.5497621387158</v>
          </cell>
        </row>
        <row r="382">
          <cell r="I382">
            <v>228003</v>
          </cell>
          <cell r="AH382">
            <v>3543.4852233936317</v>
          </cell>
        </row>
        <row r="383">
          <cell r="I383">
            <v>228004</v>
          </cell>
          <cell r="AH383">
            <v>5762.8110857330939</v>
          </cell>
        </row>
        <row r="384">
          <cell r="I384">
            <v>229001</v>
          </cell>
          <cell r="AH384">
            <v>4403.7296310816982</v>
          </cell>
        </row>
        <row r="385">
          <cell r="I385">
            <v>229002</v>
          </cell>
          <cell r="AH385">
            <v>4403.7296310816982</v>
          </cell>
        </row>
        <row r="386">
          <cell r="I386">
            <v>229003</v>
          </cell>
          <cell r="AH386">
            <v>4403.7296310816982</v>
          </cell>
        </row>
        <row r="387">
          <cell r="I387">
            <v>229004</v>
          </cell>
          <cell r="AH387">
            <v>6443.0105964646145</v>
          </cell>
        </row>
        <row r="388">
          <cell r="I388">
            <v>231001</v>
          </cell>
          <cell r="AH388">
            <v>3906.5639686550098</v>
          </cell>
        </row>
        <row r="389">
          <cell r="I389">
            <v>231002</v>
          </cell>
          <cell r="AH389">
            <v>4402.2376969046509</v>
          </cell>
        </row>
        <row r="390">
          <cell r="I390">
            <v>231003</v>
          </cell>
          <cell r="AH390">
            <v>4402.2376969046509</v>
          </cell>
        </row>
        <row r="391">
          <cell r="I391">
            <v>231004</v>
          </cell>
          <cell r="AH391">
            <v>6425.0423450625622</v>
          </cell>
        </row>
        <row r="392">
          <cell r="I392">
            <v>232001</v>
          </cell>
          <cell r="AH392">
            <v>4360.2415710795467</v>
          </cell>
        </row>
        <row r="393">
          <cell r="I393">
            <v>232002</v>
          </cell>
          <cell r="AH393">
            <v>4914.7812379771494</v>
          </cell>
        </row>
        <row r="394">
          <cell r="I394">
            <v>232003</v>
          </cell>
          <cell r="AH394">
            <v>4360.2415710795467</v>
          </cell>
        </row>
        <row r="395">
          <cell r="I395">
            <v>232004</v>
          </cell>
          <cell r="AH395">
            <v>7213.9863929808189</v>
          </cell>
        </row>
        <row r="396">
          <cell r="I396">
            <v>233001</v>
          </cell>
          <cell r="AH396">
            <v>4855.7648831724864</v>
          </cell>
        </row>
        <row r="397">
          <cell r="I397">
            <v>233002</v>
          </cell>
          <cell r="AH397">
            <v>4855.7648831724864</v>
          </cell>
        </row>
        <row r="398">
          <cell r="I398">
            <v>233003</v>
          </cell>
          <cell r="AH398">
            <v>4855.7648831724864</v>
          </cell>
        </row>
        <row r="399">
          <cell r="I399">
            <v>233004</v>
          </cell>
          <cell r="AH399">
            <v>8076.5817593300271</v>
          </cell>
        </row>
        <row r="400">
          <cell r="I400">
            <v>234001</v>
          </cell>
          <cell r="AH400">
            <v>6095.3300133890216</v>
          </cell>
        </row>
        <row r="401">
          <cell r="I401">
            <v>234002</v>
          </cell>
          <cell r="AH401">
            <v>5408.4095255232405</v>
          </cell>
        </row>
        <row r="402">
          <cell r="I402">
            <v>234003</v>
          </cell>
          <cell r="AH402">
            <v>6095.3300133890216</v>
          </cell>
        </row>
        <row r="403">
          <cell r="I403">
            <v>234004</v>
          </cell>
          <cell r="AH403">
            <v>9030.1700553516985</v>
          </cell>
        </row>
        <row r="404">
          <cell r="I404">
            <v>235001</v>
          </cell>
          <cell r="AH404">
            <v>6760.5234689519602</v>
          </cell>
        </row>
        <row r="405">
          <cell r="I405">
            <v>235002</v>
          </cell>
          <cell r="AH405">
            <v>5999.5385270966262</v>
          </cell>
        </row>
        <row r="406">
          <cell r="I406">
            <v>235003</v>
          </cell>
          <cell r="AH406">
            <v>6760.5234689519602</v>
          </cell>
        </row>
        <row r="407">
          <cell r="I407">
            <v>235004</v>
          </cell>
          <cell r="AH407">
            <v>10058.266335485017</v>
          </cell>
        </row>
        <row r="408">
          <cell r="I408">
            <v>236001</v>
          </cell>
          <cell r="AH408">
            <v>7471.2889659662442</v>
          </cell>
        </row>
        <row r="409">
          <cell r="I409">
            <v>236002</v>
          </cell>
          <cell r="AH409">
            <v>7471.2889659662442</v>
          </cell>
        </row>
        <row r="410">
          <cell r="I410">
            <v>236003</v>
          </cell>
          <cell r="AH410">
            <v>7471.2889659662442</v>
          </cell>
        </row>
        <row r="411">
          <cell r="I411">
            <v>236004</v>
          </cell>
          <cell r="AH411">
            <v>11164.563140419237</v>
          </cell>
        </row>
        <row r="412">
          <cell r="I412">
            <v>237001</v>
          </cell>
          <cell r="AH412">
            <v>8245.5213858187235</v>
          </cell>
        </row>
        <row r="413">
          <cell r="I413">
            <v>237002</v>
          </cell>
          <cell r="AH413">
            <v>7318.5933322454275</v>
          </cell>
        </row>
        <row r="414">
          <cell r="I414">
            <v>237003</v>
          </cell>
          <cell r="AH414">
            <v>8245.5213858187235</v>
          </cell>
        </row>
        <row r="415">
          <cell r="I415">
            <v>237004</v>
          </cell>
          <cell r="AH415">
            <v>12370.190065577661</v>
          </cell>
        </row>
        <row r="416">
          <cell r="I416">
            <v>238001</v>
          </cell>
          <cell r="AH416">
            <v>9267.1007410007951</v>
          </cell>
        </row>
        <row r="417">
          <cell r="I417">
            <v>238002</v>
          </cell>
          <cell r="AH417">
            <v>8230.2758831286628</v>
          </cell>
        </row>
        <row r="418">
          <cell r="I418">
            <v>238003</v>
          </cell>
          <cell r="AH418">
            <v>9267.1007410007951</v>
          </cell>
        </row>
        <row r="419">
          <cell r="I419">
            <v>238004</v>
          </cell>
          <cell r="AH419">
            <v>13894.716908638973</v>
          </cell>
        </row>
        <row r="420">
          <cell r="I420">
            <v>239001</v>
          </cell>
          <cell r="AH420">
            <v>10174.943731783756</v>
          </cell>
        </row>
        <row r="421">
          <cell r="I421">
            <v>239002</v>
          </cell>
          <cell r="AH421">
            <v>10174.943731783756</v>
          </cell>
        </row>
        <row r="422">
          <cell r="I422">
            <v>239003</v>
          </cell>
          <cell r="AH422">
            <v>10174.943731783756</v>
          </cell>
        </row>
        <row r="423">
          <cell r="I423">
            <v>239004</v>
          </cell>
          <cell r="AH423">
            <v>15314.216597002642</v>
          </cell>
        </row>
        <row r="424">
          <cell r="I424">
            <v>241001</v>
          </cell>
          <cell r="AH424">
            <v>8770.7667939308758</v>
          </cell>
        </row>
        <row r="425">
          <cell r="I425">
            <v>241002</v>
          </cell>
          <cell r="AH425">
            <v>8770.7667939308758</v>
          </cell>
        </row>
        <row r="426">
          <cell r="I426">
            <v>241003</v>
          </cell>
          <cell r="AH426">
            <v>9958.9844776477075</v>
          </cell>
        </row>
        <row r="427">
          <cell r="I427">
            <v>241004</v>
          </cell>
          <cell r="AH427">
            <v>14948.561169517263</v>
          </cell>
        </row>
        <row r="428">
          <cell r="I428">
            <v>242001</v>
          </cell>
          <cell r="AH428">
            <v>11023.645696184452</v>
          </cell>
        </row>
        <row r="429">
          <cell r="I429">
            <v>242002</v>
          </cell>
          <cell r="AH429">
            <v>9710.5785793489704</v>
          </cell>
        </row>
        <row r="430">
          <cell r="I430">
            <v>242003</v>
          </cell>
          <cell r="AH430">
            <v>9710.5785793489704</v>
          </cell>
        </row>
        <row r="431">
          <cell r="I431">
            <v>242004</v>
          </cell>
          <cell r="AH431">
            <v>16602.230099099317</v>
          </cell>
        </row>
        <row r="432">
          <cell r="I432">
            <v>243001</v>
          </cell>
          <cell r="AH432">
            <v>12199.660677969923</v>
          </cell>
        </row>
        <row r="433">
          <cell r="I433">
            <v>243002</v>
          </cell>
          <cell r="AH433">
            <v>12199.660677969923</v>
          </cell>
        </row>
        <row r="434">
          <cell r="I434">
            <v>243003</v>
          </cell>
          <cell r="AH434">
            <v>10751.846728995652</v>
          </cell>
        </row>
        <row r="435">
          <cell r="I435">
            <v>243004</v>
          </cell>
          <cell r="AH435">
            <v>18419.199915022382</v>
          </cell>
        </row>
        <row r="436">
          <cell r="I436">
            <v>244001</v>
          </cell>
          <cell r="AH436">
            <v>13484.824441787796</v>
          </cell>
        </row>
        <row r="437">
          <cell r="I437">
            <v>244002</v>
          </cell>
          <cell r="AH437">
            <v>11891.753061146834</v>
          </cell>
        </row>
        <row r="438">
          <cell r="I438">
            <v>244003</v>
          </cell>
          <cell r="AH438">
            <v>13484.824441787796</v>
          </cell>
        </row>
        <row r="439">
          <cell r="I439">
            <v>244004</v>
          </cell>
          <cell r="AH439">
            <v>20400.536689163451</v>
          </cell>
        </row>
        <row r="440">
          <cell r="I440">
            <v>245001</v>
          </cell>
          <cell r="AH440">
            <v>13091.738302371859</v>
          </cell>
        </row>
        <row r="441">
          <cell r="I441">
            <v>245002</v>
          </cell>
          <cell r="AH441">
            <v>13091.738302371859</v>
          </cell>
        </row>
        <row r="442">
          <cell r="I442">
            <v>245003</v>
          </cell>
          <cell r="AH442">
            <v>13091.738302371859</v>
          </cell>
        </row>
        <row r="443">
          <cell r="I443">
            <v>245004</v>
          </cell>
          <cell r="AH443">
            <v>22511.735964698273</v>
          </cell>
        </row>
        <row r="444">
          <cell r="I444">
            <v>246001</v>
          </cell>
          <cell r="AH444">
            <v>14424.51285486272</v>
          </cell>
        </row>
        <row r="445">
          <cell r="I445">
            <v>246002</v>
          </cell>
          <cell r="AH445">
            <v>14424.51285486272</v>
          </cell>
        </row>
        <row r="446">
          <cell r="I446">
            <v>246003</v>
          </cell>
          <cell r="AH446">
            <v>14424.51285486272</v>
          </cell>
        </row>
        <row r="447">
          <cell r="I447">
            <v>246004</v>
          </cell>
          <cell r="AH447">
            <v>24829.738665407916</v>
          </cell>
        </row>
        <row r="448">
          <cell r="I448">
            <v>247001</v>
          </cell>
          <cell r="AH448">
            <v>17896.942646355386</v>
          </cell>
        </row>
        <row r="449">
          <cell r="I449">
            <v>247002</v>
          </cell>
          <cell r="AH449">
            <v>15806.684954709741</v>
          </cell>
        </row>
        <row r="450">
          <cell r="I450">
            <v>247003</v>
          </cell>
          <cell r="AH450">
            <v>17896.942646355386</v>
          </cell>
        </row>
        <row r="451">
          <cell r="I451">
            <v>247004</v>
          </cell>
          <cell r="AH451">
            <v>27250.770191806721</v>
          </cell>
        </row>
        <row r="452">
          <cell r="I452">
            <v>248001</v>
          </cell>
          <cell r="AH452">
            <v>17599.027712944684</v>
          </cell>
        </row>
        <row r="453">
          <cell r="I453">
            <v>248002</v>
          </cell>
          <cell r="AH453">
            <v>17599.027712944684</v>
          </cell>
        </row>
        <row r="454">
          <cell r="I454">
            <v>248003</v>
          </cell>
          <cell r="AH454">
            <v>17599.027712944684</v>
          </cell>
        </row>
        <row r="455">
          <cell r="I455">
            <v>248004</v>
          </cell>
          <cell r="AH455">
            <v>30296.698026546859</v>
          </cell>
        </row>
        <row r="456">
          <cell r="I456">
            <v>249001</v>
          </cell>
          <cell r="AH456">
            <v>19205.879778606857</v>
          </cell>
        </row>
        <row r="457">
          <cell r="I457">
            <v>249002</v>
          </cell>
          <cell r="AH457">
            <v>19205.879778606857</v>
          </cell>
        </row>
        <row r="458">
          <cell r="I458">
            <v>249003</v>
          </cell>
          <cell r="AH458">
            <v>19205.879778606857</v>
          </cell>
        </row>
        <row r="459">
          <cell r="I459">
            <v>249004</v>
          </cell>
          <cell r="AH459">
            <v>33116.234168133116</v>
          </cell>
        </row>
        <row r="460">
          <cell r="I460">
            <v>251001</v>
          </cell>
          <cell r="AH460">
            <v>20822.526405453682</v>
          </cell>
        </row>
        <row r="461">
          <cell r="I461">
            <v>251002</v>
          </cell>
          <cell r="AH461">
            <v>18271.912559820175</v>
          </cell>
        </row>
        <row r="462">
          <cell r="I462">
            <v>251003</v>
          </cell>
          <cell r="AH462">
            <v>20822.526405453682</v>
          </cell>
        </row>
        <row r="463">
          <cell r="I463">
            <v>251004</v>
          </cell>
          <cell r="AH463">
            <v>31627.043977257399</v>
          </cell>
        </row>
        <row r="464">
          <cell r="I464">
            <v>252001</v>
          </cell>
          <cell r="AH464">
            <v>22834.682108031906</v>
          </cell>
        </row>
        <row r="465">
          <cell r="I465">
            <v>252002</v>
          </cell>
          <cell r="AH465">
            <v>20044.193644579373</v>
          </cell>
        </row>
        <row r="466">
          <cell r="I466">
            <v>252003</v>
          </cell>
          <cell r="AH466">
            <v>22834.682108031906</v>
          </cell>
        </row>
        <row r="467">
          <cell r="I467">
            <v>252004</v>
          </cell>
          <cell r="AH467">
            <v>34769.719666838952</v>
          </cell>
        </row>
        <row r="468">
          <cell r="I468">
            <v>253001</v>
          </cell>
          <cell r="AH468">
            <v>24920.090731815035</v>
          </cell>
        </row>
        <row r="469">
          <cell r="I469">
            <v>253002</v>
          </cell>
          <cell r="AH469">
            <v>24920.090731815035</v>
          </cell>
        </row>
        <row r="470">
          <cell r="I470">
            <v>253003</v>
          </cell>
          <cell r="AH470">
            <v>24920.090731815035</v>
          </cell>
        </row>
        <row r="471">
          <cell r="I471">
            <v>253004</v>
          </cell>
          <cell r="AH471">
            <v>37868.062400480339</v>
          </cell>
        </row>
        <row r="472">
          <cell r="I472">
            <v>254001</v>
          </cell>
          <cell r="AH472">
            <v>27502.991906907468</v>
          </cell>
        </row>
        <row r="473">
          <cell r="I473">
            <v>254002</v>
          </cell>
          <cell r="AH473">
            <v>27502.991906907468</v>
          </cell>
        </row>
        <row r="474">
          <cell r="I474">
            <v>254003</v>
          </cell>
          <cell r="AH474">
            <v>24179.155907358905</v>
          </cell>
        </row>
        <row r="475">
          <cell r="I475">
            <v>254004</v>
          </cell>
          <cell r="AH475">
            <v>41972.796799750933</v>
          </cell>
        </row>
        <row r="476">
          <cell r="I476">
            <v>255001</v>
          </cell>
          <cell r="AH476">
            <v>30039.025810314401</v>
          </cell>
        </row>
        <row r="477">
          <cell r="I477">
            <v>255002</v>
          </cell>
          <cell r="AH477">
            <v>30039.025810314401</v>
          </cell>
        </row>
        <row r="478">
          <cell r="I478">
            <v>255003</v>
          </cell>
          <cell r="AH478">
            <v>30039.025810314401</v>
          </cell>
        </row>
        <row r="479">
          <cell r="I479">
            <v>255004</v>
          </cell>
          <cell r="AH479">
            <v>45923.596240603489</v>
          </cell>
        </row>
        <row r="480">
          <cell r="I480">
            <v>256001</v>
          </cell>
          <cell r="AH480">
            <v>32775.047835805322</v>
          </cell>
        </row>
        <row r="481">
          <cell r="I481">
            <v>256002</v>
          </cell>
          <cell r="AH481">
            <v>28839.241890166424</v>
          </cell>
        </row>
        <row r="482">
          <cell r="I482">
            <v>256003</v>
          </cell>
          <cell r="AH482">
            <v>32775.047835805322</v>
          </cell>
        </row>
        <row r="483">
          <cell r="I483">
            <v>256004</v>
          </cell>
          <cell r="AH483">
            <v>50180.000354125128</v>
          </cell>
        </row>
        <row r="484">
          <cell r="I484">
            <v>257001</v>
          </cell>
          <cell r="AH484">
            <v>35572.432224871241</v>
          </cell>
        </row>
        <row r="485">
          <cell r="I485">
            <v>257002</v>
          </cell>
          <cell r="AH485">
            <v>35572.432224871241</v>
          </cell>
        </row>
        <row r="486">
          <cell r="I486">
            <v>257003</v>
          </cell>
          <cell r="AH486">
            <v>31317.75334680004</v>
          </cell>
        </row>
        <row r="487">
          <cell r="I487">
            <v>257004</v>
          </cell>
          <cell r="AH487">
            <v>54570.212063383289</v>
          </cell>
        </row>
        <row r="488">
          <cell r="I488">
            <v>258001</v>
          </cell>
          <cell r="AH488">
            <v>39602.7172134871</v>
          </cell>
        </row>
        <row r="489">
          <cell r="I489">
            <v>258002</v>
          </cell>
          <cell r="AH489">
            <v>39602.7172134871</v>
          </cell>
        </row>
        <row r="490">
          <cell r="I490">
            <v>258003</v>
          </cell>
          <cell r="AH490">
            <v>39602.7172134871</v>
          </cell>
        </row>
        <row r="491">
          <cell r="I491">
            <v>258004</v>
          </cell>
          <cell r="AH491">
            <v>60516.347324746341</v>
          </cell>
        </row>
        <row r="492">
          <cell r="I492">
            <v>259001</v>
          </cell>
          <cell r="AH492">
            <v>42866.786747187958</v>
          </cell>
        </row>
        <row r="493">
          <cell r="I493">
            <v>259002</v>
          </cell>
          <cell r="AH493">
            <v>37798.491491010762</v>
          </cell>
        </row>
        <row r="494">
          <cell r="I494">
            <v>259003</v>
          </cell>
          <cell r="AH494">
            <v>42866.786747187958</v>
          </cell>
        </row>
        <row r="495">
          <cell r="I495">
            <v>259004</v>
          </cell>
          <cell r="AH495">
            <v>65618.454935801536</v>
          </cell>
        </row>
        <row r="496">
          <cell r="I496">
            <v>261001</v>
          </cell>
          <cell r="AH496">
            <v>40478.251851303088</v>
          </cell>
        </row>
        <row r="497">
          <cell r="I497">
            <v>261002</v>
          </cell>
          <cell r="AH497">
            <v>40478.251851303088</v>
          </cell>
        </row>
        <row r="498">
          <cell r="I498">
            <v>261003</v>
          </cell>
          <cell r="AH498">
            <v>40478.251851303088</v>
          </cell>
        </row>
        <row r="499">
          <cell r="I499">
            <v>261004</v>
          </cell>
          <cell r="AH499">
            <v>61828.848968043007</v>
          </cell>
        </row>
        <row r="500">
          <cell r="I500">
            <v>262001</v>
          </cell>
          <cell r="AH500">
            <v>44018.645496509227</v>
          </cell>
        </row>
        <row r="501">
          <cell r="I501">
            <v>262002</v>
          </cell>
          <cell r="AH501">
            <v>38577.046049678567</v>
          </cell>
        </row>
        <row r="502">
          <cell r="I502">
            <v>262003</v>
          </cell>
          <cell r="AH502">
            <v>44018.645496509227</v>
          </cell>
        </row>
        <row r="503">
          <cell r="I503">
            <v>262004</v>
          </cell>
          <cell r="AH503">
            <v>67270.0377709639</v>
          </cell>
        </row>
        <row r="504">
          <cell r="I504">
            <v>263001</v>
          </cell>
          <cell r="AH504">
            <v>47989.822346294473</v>
          </cell>
        </row>
        <row r="505">
          <cell r="I505">
            <v>263002</v>
          </cell>
          <cell r="AH505">
            <v>47989.822346294473</v>
          </cell>
        </row>
        <row r="506">
          <cell r="I506">
            <v>263003</v>
          </cell>
          <cell r="AH506">
            <v>47989.822346294473</v>
          </cell>
        </row>
        <row r="507">
          <cell r="I507">
            <v>263004</v>
          </cell>
          <cell r="AH507">
            <v>73398.082524575962</v>
          </cell>
        </row>
        <row r="508">
          <cell r="I508">
            <v>264001</v>
          </cell>
          <cell r="AH508">
            <v>52284.00499990362</v>
          </cell>
        </row>
        <row r="509">
          <cell r="I509">
            <v>264002</v>
          </cell>
          <cell r="AH509">
            <v>45889.706750266414</v>
          </cell>
        </row>
        <row r="510">
          <cell r="I510">
            <v>264003</v>
          </cell>
          <cell r="AH510">
            <v>52284.00499990362</v>
          </cell>
        </row>
        <row r="511">
          <cell r="I511">
            <v>264004</v>
          </cell>
          <cell r="AH511">
            <v>80002.355437652019</v>
          </cell>
        </row>
        <row r="512">
          <cell r="I512">
            <v>265001</v>
          </cell>
          <cell r="AH512">
            <v>56815.659517159918</v>
          </cell>
        </row>
        <row r="513">
          <cell r="I513">
            <v>265002</v>
          </cell>
          <cell r="AH513">
            <v>56815.659517159918</v>
          </cell>
        </row>
        <row r="514">
          <cell r="I514">
            <v>265003</v>
          </cell>
          <cell r="AH514">
            <v>56815.659517159918</v>
          </cell>
        </row>
        <row r="515">
          <cell r="I515">
            <v>265004</v>
          </cell>
          <cell r="AH515">
            <v>87005.396673076029</v>
          </cell>
        </row>
        <row r="516">
          <cell r="I516">
            <v>266001</v>
          </cell>
          <cell r="AH516">
            <v>61755.058831652903</v>
          </cell>
        </row>
        <row r="517">
          <cell r="I517">
            <v>266002</v>
          </cell>
          <cell r="AH517">
            <v>61755.058831652903</v>
          </cell>
        </row>
        <row r="518">
          <cell r="I518">
            <v>266003</v>
          </cell>
          <cell r="AH518">
            <v>61755.058831652903</v>
          </cell>
        </row>
        <row r="519">
          <cell r="I519">
            <v>266004</v>
          </cell>
          <cell r="AH519">
            <v>94585.862245594282</v>
          </cell>
        </row>
        <row r="520">
          <cell r="I520">
            <v>267001</v>
          </cell>
          <cell r="AH520">
            <v>66561.816318436075</v>
          </cell>
        </row>
        <row r="521">
          <cell r="I521">
            <v>267002</v>
          </cell>
          <cell r="AH521">
            <v>58528.341353254051</v>
          </cell>
        </row>
        <row r="522">
          <cell r="I522">
            <v>267003</v>
          </cell>
          <cell r="AH522">
            <v>66561.816318436075</v>
          </cell>
        </row>
        <row r="523">
          <cell r="I523">
            <v>267004</v>
          </cell>
          <cell r="AH523">
            <v>102128.36639797353</v>
          </cell>
        </row>
        <row r="524">
          <cell r="I524">
            <v>268001</v>
          </cell>
          <cell r="AH524">
            <v>73950.655376874784</v>
          </cell>
        </row>
        <row r="525">
          <cell r="I525">
            <v>268002</v>
          </cell>
          <cell r="AH525">
            <v>73950.655376874784</v>
          </cell>
        </row>
        <row r="526">
          <cell r="I526">
            <v>268003</v>
          </cell>
          <cell r="AH526">
            <v>73950.655376874784</v>
          </cell>
        </row>
        <row r="527">
          <cell r="I527">
            <v>268004</v>
          </cell>
          <cell r="AH527">
            <v>112879.80719432612</v>
          </cell>
        </row>
        <row r="528">
          <cell r="I528">
            <v>269001</v>
          </cell>
          <cell r="AH528">
            <v>79504.587348935223</v>
          </cell>
        </row>
        <row r="529">
          <cell r="I529">
            <v>269002</v>
          </cell>
          <cell r="AH529">
            <v>79504.587348935223</v>
          </cell>
        </row>
        <row r="530">
          <cell r="I530">
            <v>269003</v>
          </cell>
          <cell r="AH530">
            <v>79504.587348935223</v>
          </cell>
        </row>
        <row r="531">
          <cell r="I531">
            <v>269004</v>
          </cell>
          <cell r="AH531">
            <v>121561.5821149667</v>
          </cell>
        </row>
        <row r="532">
          <cell r="I532">
            <v>271001</v>
          </cell>
          <cell r="AH532">
            <v>74116.283852894514</v>
          </cell>
        </row>
        <row r="533">
          <cell r="I533">
            <v>271002</v>
          </cell>
          <cell r="AH533">
            <v>64868.712029902134</v>
          </cell>
        </row>
        <row r="534">
          <cell r="I534">
            <v>271003</v>
          </cell>
          <cell r="AH534">
            <v>74116.283852894514</v>
          </cell>
        </row>
        <row r="535">
          <cell r="I535">
            <v>271004</v>
          </cell>
          <cell r="AH535">
            <v>113169.12923889844</v>
          </cell>
        </row>
        <row r="536">
          <cell r="I536">
            <v>272001</v>
          </cell>
          <cell r="AH536">
            <v>79775.140704012694</v>
          </cell>
        </row>
        <row r="537">
          <cell r="I537">
            <v>272002</v>
          </cell>
          <cell r="AH537">
            <v>79775.140704012694</v>
          </cell>
        </row>
        <row r="538">
          <cell r="I538">
            <v>272003</v>
          </cell>
          <cell r="AH538">
            <v>79775.140704012694</v>
          </cell>
        </row>
        <row r="539">
          <cell r="I539">
            <v>272004</v>
          </cell>
          <cell r="AH539">
            <v>121969.61689725424</v>
          </cell>
        </row>
        <row r="540">
          <cell r="I540">
            <v>273001</v>
          </cell>
          <cell r="AH540">
            <v>85807.188482106896</v>
          </cell>
        </row>
        <row r="541">
          <cell r="I541">
            <v>273002</v>
          </cell>
          <cell r="AH541">
            <v>85807.188482106896</v>
          </cell>
        </row>
        <row r="542">
          <cell r="I542">
            <v>273003</v>
          </cell>
          <cell r="AH542">
            <v>85807.188482106896</v>
          </cell>
        </row>
        <row r="543">
          <cell r="I543">
            <v>273004</v>
          </cell>
          <cell r="AH543">
            <v>131337.81376068798</v>
          </cell>
        </row>
        <row r="544">
          <cell r="I544">
            <v>274001</v>
          </cell>
          <cell r="AH544">
            <v>92596.665547300683</v>
          </cell>
        </row>
        <row r="545">
          <cell r="I545">
            <v>274002</v>
          </cell>
          <cell r="AH545">
            <v>92596.665547300683</v>
          </cell>
        </row>
        <row r="546">
          <cell r="I546">
            <v>274003</v>
          </cell>
          <cell r="AH546">
            <v>92596.665547300683</v>
          </cell>
        </row>
        <row r="547">
          <cell r="I547">
            <v>274004</v>
          </cell>
          <cell r="AH547">
            <v>141852.6822440376</v>
          </cell>
        </row>
        <row r="548">
          <cell r="I548">
            <v>275001</v>
          </cell>
          <cell r="AH548">
            <v>99624.454047224644</v>
          </cell>
        </row>
        <row r="549">
          <cell r="I549">
            <v>275002</v>
          </cell>
          <cell r="AH549">
            <v>99624.454047224644</v>
          </cell>
        </row>
        <row r="550">
          <cell r="I550">
            <v>275003</v>
          </cell>
          <cell r="AH550">
            <v>99624.454047224644</v>
          </cell>
        </row>
        <row r="551">
          <cell r="I551">
            <v>275004</v>
          </cell>
          <cell r="AH551">
            <v>152837.90065866132</v>
          </cell>
        </row>
        <row r="552">
          <cell r="I552">
            <v>276001</v>
          </cell>
          <cell r="AH552">
            <v>107184.48830548624</v>
          </cell>
        </row>
        <row r="553">
          <cell r="I553">
            <v>276002</v>
          </cell>
          <cell r="AH553">
            <v>107184.48830548624</v>
          </cell>
        </row>
        <row r="554">
          <cell r="I554">
            <v>276003</v>
          </cell>
          <cell r="AH554">
            <v>107184.48830548624</v>
          </cell>
        </row>
        <row r="555">
          <cell r="I555">
            <v>276004</v>
          </cell>
          <cell r="AH555">
            <v>164597.96909316687</v>
          </cell>
        </row>
        <row r="556">
          <cell r="I556">
            <v>277001</v>
          </cell>
          <cell r="AH556">
            <v>114554.45768332641</v>
          </cell>
        </row>
        <row r="557">
          <cell r="I557">
            <v>277002</v>
          </cell>
          <cell r="AH557">
            <v>114554.45768332641</v>
          </cell>
        </row>
        <row r="558">
          <cell r="I558">
            <v>277003</v>
          </cell>
          <cell r="AH558">
            <v>114554.45768332641</v>
          </cell>
        </row>
        <row r="559">
          <cell r="I559">
            <v>277004</v>
          </cell>
          <cell r="AH559">
            <v>176267.28287139442</v>
          </cell>
        </row>
        <row r="560">
          <cell r="I560">
            <v>278001</v>
          </cell>
          <cell r="AH560">
            <v>126116.90760792597</v>
          </cell>
        </row>
        <row r="561">
          <cell r="I561">
            <v>278002</v>
          </cell>
          <cell r="AH561">
            <v>126116.90760792597</v>
          </cell>
        </row>
        <row r="562">
          <cell r="I562">
            <v>278003</v>
          </cell>
          <cell r="AH562">
            <v>126116.90760792597</v>
          </cell>
        </row>
        <row r="563">
          <cell r="I563">
            <v>278004</v>
          </cell>
          <cell r="AH563">
            <v>193194.65622224114</v>
          </cell>
        </row>
        <row r="564">
          <cell r="I564">
            <v>279001</v>
          </cell>
          <cell r="AH564">
            <v>134382.62214317772</v>
          </cell>
        </row>
        <row r="565">
          <cell r="I565">
            <v>279002</v>
          </cell>
          <cell r="AH565">
            <v>134382.62214317772</v>
          </cell>
        </row>
        <row r="566">
          <cell r="I566">
            <v>279003</v>
          </cell>
          <cell r="AH566">
            <v>134382.62214317772</v>
          </cell>
        </row>
        <row r="567">
          <cell r="I567">
            <v>279004</v>
          </cell>
          <cell r="AH567">
            <v>206311.7837994158</v>
          </cell>
        </row>
        <row r="568">
          <cell r="I568">
            <v>281001</v>
          </cell>
          <cell r="AH568">
            <v>124583.77256401366</v>
          </cell>
        </row>
        <row r="569">
          <cell r="I569">
            <v>281002</v>
          </cell>
          <cell r="AH569">
            <v>124583.77256401366</v>
          </cell>
        </row>
        <row r="570">
          <cell r="I570">
            <v>281003</v>
          </cell>
          <cell r="AH570">
            <v>108986.75373218235</v>
          </cell>
        </row>
        <row r="571">
          <cell r="I571">
            <v>281004</v>
          </cell>
          <cell r="AH571">
            <v>190923.20573856449</v>
          </cell>
        </row>
        <row r="572">
          <cell r="I572">
            <v>282001</v>
          </cell>
          <cell r="AH572">
            <v>133342.5691417295</v>
          </cell>
        </row>
        <row r="573">
          <cell r="I573">
            <v>282002</v>
          </cell>
          <cell r="AH573">
            <v>133342.5691417295</v>
          </cell>
        </row>
        <row r="574">
          <cell r="I574">
            <v>282003</v>
          </cell>
          <cell r="AH574">
            <v>116699.81747969474</v>
          </cell>
        </row>
        <row r="575">
          <cell r="I575">
            <v>282004</v>
          </cell>
          <cell r="AH575">
            <v>204661.03684354413</v>
          </cell>
        </row>
        <row r="576">
          <cell r="I576">
            <v>283001</v>
          </cell>
          <cell r="AH576">
            <v>142897.3251399695</v>
          </cell>
        </row>
        <row r="577">
          <cell r="I577">
            <v>283002</v>
          </cell>
          <cell r="AH577">
            <v>142897.3251399695</v>
          </cell>
        </row>
        <row r="578">
          <cell r="I578">
            <v>283003</v>
          </cell>
          <cell r="AH578">
            <v>125152.02661314521</v>
          </cell>
        </row>
        <row r="579">
          <cell r="I579">
            <v>283004</v>
          </cell>
          <cell r="AH579">
            <v>219483.64745498652</v>
          </cell>
        </row>
        <row r="580">
          <cell r="I580">
            <v>284001</v>
          </cell>
          <cell r="AH580">
            <v>153275.5825023161</v>
          </cell>
        </row>
        <row r="581">
          <cell r="I581">
            <v>284002</v>
          </cell>
          <cell r="AH581">
            <v>153275.5825023161</v>
          </cell>
        </row>
        <row r="582">
          <cell r="I582">
            <v>284003</v>
          </cell>
          <cell r="AH582">
            <v>134368.33526555309</v>
          </cell>
        </row>
        <row r="583">
          <cell r="I583">
            <v>284004</v>
          </cell>
          <cell r="AH583">
            <v>235431.04743334715</v>
          </cell>
        </row>
        <row r="584">
          <cell r="I584">
            <v>285001</v>
          </cell>
          <cell r="AH584">
            <v>163819.86366255043</v>
          </cell>
        </row>
        <row r="585">
          <cell r="I585">
            <v>285002</v>
          </cell>
          <cell r="AH585">
            <v>163819.86366255043</v>
          </cell>
        </row>
        <row r="586">
          <cell r="I586">
            <v>285003</v>
          </cell>
          <cell r="AH586">
            <v>163819.86366255043</v>
          </cell>
        </row>
        <row r="587">
          <cell r="I587">
            <v>285004</v>
          </cell>
          <cell r="AH587">
            <v>252121.42740948644</v>
          </cell>
        </row>
        <row r="588">
          <cell r="I588">
            <v>286001</v>
          </cell>
          <cell r="AH588">
            <v>189058.88441106875</v>
          </cell>
        </row>
        <row r="589">
          <cell r="I589">
            <v>286002</v>
          </cell>
          <cell r="AH589">
            <v>166105.85327044124</v>
          </cell>
        </row>
        <row r="590">
          <cell r="I590">
            <v>286003</v>
          </cell>
          <cell r="AH590">
            <v>189058.88441106875</v>
          </cell>
        </row>
        <row r="591">
          <cell r="I591">
            <v>286004</v>
          </cell>
          <cell r="AH591">
            <v>286674.58584052871</v>
          </cell>
        </row>
        <row r="592">
          <cell r="I592">
            <v>287001</v>
          </cell>
          <cell r="AH592">
            <v>201402.01641343406</v>
          </cell>
        </row>
        <row r="593">
          <cell r="I593">
            <v>287002</v>
          </cell>
          <cell r="AH593">
            <v>201402.01641343406</v>
          </cell>
        </row>
        <row r="594">
          <cell r="I594">
            <v>287003</v>
          </cell>
          <cell r="AH594">
            <v>176968.61152658067</v>
          </cell>
        </row>
        <row r="595">
          <cell r="I595">
            <v>287004</v>
          </cell>
          <cell r="AH595">
            <v>305991.02859174018</v>
          </cell>
        </row>
        <row r="596">
          <cell r="I596">
            <v>288001</v>
          </cell>
          <cell r="AH596">
            <v>222963.35206663029</v>
          </cell>
        </row>
        <row r="597">
          <cell r="I597">
            <v>288002</v>
          </cell>
          <cell r="AH597">
            <v>222963.35206663029</v>
          </cell>
        </row>
        <row r="598">
          <cell r="I598">
            <v>288003</v>
          </cell>
          <cell r="AH598">
            <v>222963.35206663029</v>
          </cell>
        </row>
        <row r="599">
          <cell r="I599">
            <v>288004</v>
          </cell>
          <cell r="AH599">
            <v>336617.16213491373</v>
          </cell>
        </row>
        <row r="600">
          <cell r="I600">
            <v>289001</v>
          </cell>
          <cell r="AH600">
            <v>237303.24534491621</v>
          </cell>
        </row>
        <row r="601">
          <cell r="I601">
            <v>289002</v>
          </cell>
          <cell r="AH601">
            <v>208761.44355160065</v>
          </cell>
        </row>
        <row r="602">
          <cell r="I602">
            <v>289003</v>
          </cell>
          <cell r="AH602">
            <v>237303.24534491621</v>
          </cell>
        </row>
        <row r="603">
          <cell r="I603">
            <v>289004</v>
          </cell>
          <cell r="AH603">
            <v>358835.14533910272</v>
          </cell>
        </row>
        <row r="604">
          <cell r="I604">
            <v>301101</v>
          </cell>
          <cell r="AH604">
            <v>2432.2695296288066</v>
          </cell>
        </row>
        <row r="605">
          <cell r="I605">
            <v>302101</v>
          </cell>
          <cell r="AH605">
            <v>6471.7406747961013</v>
          </cell>
        </row>
        <row r="606">
          <cell r="I606">
            <v>303101</v>
          </cell>
          <cell r="AH606">
            <v>15993.459839711415</v>
          </cell>
        </row>
        <row r="607">
          <cell r="I607">
            <v>304101</v>
          </cell>
          <cell r="AH607">
            <v>43029.98086324388</v>
          </cell>
        </row>
        <row r="608">
          <cell r="I608">
            <v>305101</v>
          </cell>
          <cell r="AH608">
            <v>114180.82058876024</v>
          </cell>
        </row>
        <row r="609">
          <cell r="I609">
            <v>306101</v>
          </cell>
          <cell r="AH609">
            <v>287685.5276236324</v>
          </cell>
        </row>
        <row r="610">
          <cell r="I610">
            <v>401101</v>
          </cell>
          <cell r="AH610">
            <v>4334.2205727477121</v>
          </cell>
        </row>
        <row r="611">
          <cell r="I611">
            <v>401102</v>
          </cell>
          <cell r="AH611">
            <v>5008.1906355480123</v>
          </cell>
        </row>
        <row r="612">
          <cell r="I612">
            <v>401103</v>
          </cell>
          <cell r="AH612">
            <v>7318.3123102404215</v>
          </cell>
        </row>
        <row r="613">
          <cell r="I613">
            <v>402101</v>
          </cell>
          <cell r="AH613">
            <v>8704.2551770975424</v>
          </cell>
        </row>
        <row r="614">
          <cell r="I614">
            <v>402102</v>
          </cell>
          <cell r="AH614">
            <v>8704.2551770975424</v>
          </cell>
        </row>
        <row r="615">
          <cell r="I615">
            <v>402103</v>
          </cell>
          <cell r="AH615">
            <v>13028.90583844285</v>
          </cell>
        </row>
        <row r="616">
          <cell r="I616">
            <v>403101</v>
          </cell>
          <cell r="AH616">
            <v>17374.393136331455</v>
          </cell>
        </row>
        <row r="617">
          <cell r="I617">
            <v>403102</v>
          </cell>
          <cell r="AH617">
            <v>17374.393136331455</v>
          </cell>
        </row>
        <row r="618">
          <cell r="I618">
            <v>403103</v>
          </cell>
          <cell r="AH618">
            <v>26514.805402831797</v>
          </cell>
        </row>
        <row r="619">
          <cell r="I619">
            <v>404101</v>
          </cell>
          <cell r="AH619">
            <v>31825.411052781572</v>
          </cell>
        </row>
        <row r="620">
          <cell r="I620">
            <v>404102</v>
          </cell>
          <cell r="AH620">
            <v>31825.411052781572</v>
          </cell>
        </row>
        <row r="621">
          <cell r="I621">
            <v>404103</v>
          </cell>
          <cell r="AH621">
            <v>48891.433616075599</v>
          </cell>
        </row>
        <row r="622">
          <cell r="I622">
            <v>405101</v>
          </cell>
          <cell r="AH622">
            <v>55386.143667722325</v>
          </cell>
        </row>
        <row r="623">
          <cell r="I623">
            <v>405102</v>
          </cell>
          <cell r="AH623">
            <v>55386.143667722325</v>
          </cell>
        </row>
        <row r="624">
          <cell r="I624">
            <v>405103</v>
          </cell>
          <cell r="AH624">
            <v>85208.865217122715</v>
          </cell>
        </row>
        <row r="625">
          <cell r="I625">
            <v>406101</v>
          </cell>
          <cell r="AH625">
            <v>90317.508482813224</v>
          </cell>
        </row>
        <row r="626">
          <cell r="I626">
            <v>406102</v>
          </cell>
          <cell r="AH626">
            <v>90317.508482813224</v>
          </cell>
        </row>
        <row r="627">
          <cell r="I627">
            <v>406103</v>
          </cell>
          <cell r="AH627">
            <v>139364.85835961206</v>
          </cell>
        </row>
        <row r="628">
          <cell r="I628">
            <v>501101</v>
          </cell>
          <cell r="AH628">
            <v>349.29875143695796</v>
          </cell>
        </row>
        <row r="629">
          <cell r="I629">
            <v>501102</v>
          </cell>
          <cell r="AH629">
            <v>349.29875143695796</v>
          </cell>
        </row>
        <row r="630">
          <cell r="I630">
            <v>501103</v>
          </cell>
          <cell r="AH630">
            <v>349.29875143695796</v>
          </cell>
        </row>
        <row r="631">
          <cell r="I631">
            <v>501104</v>
          </cell>
          <cell r="AH631">
            <v>349.29875143695796</v>
          </cell>
        </row>
        <row r="632">
          <cell r="I632">
            <v>501105</v>
          </cell>
          <cell r="AH632">
            <v>79550.057472603963</v>
          </cell>
        </row>
        <row r="633">
          <cell r="I633">
            <v>501106</v>
          </cell>
          <cell r="AH633">
            <v>614.76704981735975</v>
          </cell>
        </row>
        <row r="634">
          <cell r="I634">
            <v>502101</v>
          </cell>
          <cell r="AH634">
            <v>3329.170910601893</v>
          </cell>
        </row>
        <row r="635">
          <cell r="I635">
            <v>502102</v>
          </cell>
          <cell r="AH635">
            <v>3329.170910601893</v>
          </cell>
        </row>
        <row r="636">
          <cell r="I636">
            <v>502103</v>
          </cell>
          <cell r="AH636">
            <v>3329.170910601893</v>
          </cell>
        </row>
        <row r="637">
          <cell r="I637">
            <v>502104</v>
          </cell>
          <cell r="AH637">
            <v>3329.170910601893</v>
          </cell>
        </row>
        <row r="638">
          <cell r="I638">
            <v>502105</v>
          </cell>
          <cell r="AH638">
            <v>623294.17577473354</v>
          </cell>
        </row>
        <row r="639">
          <cell r="I639">
            <v>502106</v>
          </cell>
          <cell r="AH639">
            <v>4879.4345051648907</v>
          </cell>
        </row>
        <row r="640">
          <cell r="I640">
            <v>503101</v>
          </cell>
          <cell r="AH640">
            <v>8478.1512467636858</v>
          </cell>
        </row>
        <row r="641">
          <cell r="I641">
            <v>503102</v>
          </cell>
          <cell r="AH641">
            <v>8478.1512467636858</v>
          </cell>
        </row>
        <row r="642">
          <cell r="I642">
            <v>503103</v>
          </cell>
          <cell r="AH642">
            <v>8478.1512467636858</v>
          </cell>
        </row>
        <row r="643">
          <cell r="I643">
            <v>503104</v>
          </cell>
          <cell r="AH643">
            <v>8478.1512467636858</v>
          </cell>
        </row>
        <row r="644">
          <cell r="I644">
            <v>503105</v>
          </cell>
          <cell r="AH644">
            <v>1679990.2444236095</v>
          </cell>
        </row>
        <row r="645">
          <cell r="I645">
            <v>503106</v>
          </cell>
          <cell r="AH645">
            <v>12644.241629490731</v>
          </cell>
        </row>
        <row r="646">
          <cell r="I646">
            <v>504101</v>
          </cell>
          <cell r="AH646">
            <v>19459.717417960292</v>
          </cell>
        </row>
        <row r="647">
          <cell r="I647">
            <v>504102</v>
          </cell>
          <cell r="AH647">
            <v>19459.717417960292</v>
          </cell>
        </row>
        <row r="648">
          <cell r="I648">
            <v>504103</v>
          </cell>
          <cell r="AH648">
            <v>19459.717417960292</v>
          </cell>
        </row>
        <row r="649">
          <cell r="I649">
            <v>504104</v>
          </cell>
          <cell r="AH649">
            <v>19459.717417960292</v>
          </cell>
        </row>
        <row r="650">
          <cell r="I650">
            <v>504105</v>
          </cell>
          <cell r="AH650">
            <v>4025315.2729342347</v>
          </cell>
        </row>
        <row r="651">
          <cell r="I651">
            <v>504106</v>
          </cell>
          <cell r="AH651">
            <v>29368.435152894897</v>
          </cell>
        </row>
        <row r="652">
          <cell r="I652">
            <v>505101</v>
          </cell>
          <cell r="AH652">
            <v>40712.008666627778</v>
          </cell>
        </row>
        <row r="653">
          <cell r="I653">
            <v>505102</v>
          </cell>
          <cell r="AH653">
            <v>40712.008666627778</v>
          </cell>
        </row>
        <row r="654">
          <cell r="I654">
            <v>505103</v>
          </cell>
          <cell r="AH654">
            <v>40712.008666627778</v>
          </cell>
        </row>
        <row r="655">
          <cell r="I655">
            <v>505104</v>
          </cell>
          <cell r="AH655">
            <v>40712.008666627778</v>
          </cell>
        </row>
        <row r="656">
          <cell r="I656">
            <v>505105</v>
          </cell>
          <cell r="AH656">
            <v>8628034.5734830815</v>
          </cell>
        </row>
        <row r="657">
          <cell r="I657">
            <v>505106</v>
          </cell>
          <cell r="AH657">
            <v>61787.590489887218</v>
          </cell>
        </row>
        <row r="658">
          <cell r="I658">
            <v>506101</v>
          </cell>
          <cell r="AH658">
            <v>78742.731881903805</v>
          </cell>
        </row>
        <row r="659">
          <cell r="I659">
            <v>506102</v>
          </cell>
          <cell r="AH659">
            <v>78742.731881903805</v>
          </cell>
        </row>
        <row r="660">
          <cell r="I660">
            <v>506103</v>
          </cell>
          <cell r="AH660">
            <v>78742.731881903805</v>
          </cell>
        </row>
        <row r="661">
          <cell r="I661">
            <v>506104</v>
          </cell>
          <cell r="AH661">
            <v>78742.731881903805</v>
          </cell>
        </row>
        <row r="662">
          <cell r="I662">
            <v>506105</v>
          </cell>
          <cell r="AH662">
            <v>16900596.71996047</v>
          </cell>
        </row>
        <row r="663">
          <cell r="I663">
            <v>506106</v>
          </cell>
          <cell r="AH663">
            <v>119739.20479973646</v>
          </cell>
        </row>
        <row r="664">
          <cell r="I664">
            <v>601101</v>
          </cell>
          <cell r="AH664">
            <v>2910.3553345227137</v>
          </cell>
        </row>
        <row r="665">
          <cell r="I665">
            <v>601102</v>
          </cell>
          <cell r="AH665">
            <v>2910.3553345227137</v>
          </cell>
        </row>
        <row r="666">
          <cell r="I666">
            <v>601103</v>
          </cell>
          <cell r="AH666">
            <v>2506.1936494028078</v>
          </cell>
        </row>
        <row r="667">
          <cell r="I667">
            <v>601104</v>
          </cell>
          <cell r="AH667">
            <v>2506.1936494028078</v>
          </cell>
        </row>
        <row r="668">
          <cell r="I668">
            <v>601105</v>
          </cell>
          <cell r="AH668">
            <v>2506.1936494028078</v>
          </cell>
        </row>
        <row r="669">
          <cell r="I669">
            <v>602101</v>
          </cell>
          <cell r="AH669">
            <v>7914.7052303840283</v>
          </cell>
        </row>
        <row r="670">
          <cell r="I670">
            <v>602102</v>
          </cell>
          <cell r="AH670">
            <v>7914.7052303840283</v>
          </cell>
        </row>
        <row r="671">
          <cell r="I671">
            <v>602103</v>
          </cell>
          <cell r="AH671">
            <v>6781.623260246748</v>
          </cell>
        </row>
        <row r="672">
          <cell r="I672">
            <v>602104</v>
          </cell>
          <cell r="AH672">
            <v>6781.623260246748</v>
          </cell>
        </row>
        <row r="673">
          <cell r="I673">
            <v>602105</v>
          </cell>
          <cell r="AH673">
            <v>6781.623260246748</v>
          </cell>
        </row>
        <row r="674">
          <cell r="I674">
            <v>603101</v>
          </cell>
          <cell r="AH674">
            <v>19354.251394272553</v>
          </cell>
        </row>
        <row r="675">
          <cell r="I675">
            <v>603102</v>
          </cell>
          <cell r="AH675">
            <v>19354.251394272553</v>
          </cell>
        </row>
        <row r="676">
          <cell r="I676">
            <v>603103</v>
          </cell>
          <cell r="AH676">
            <v>16528.012154853484</v>
          </cell>
        </row>
        <row r="677">
          <cell r="I677">
            <v>603104</v>
          </cell>
          <cell r="AH677">
            <v>16528.012154853484</v>
          </cell>
        </row>
        <row r="678">
          <cell r="I678">
            <v>603105</v>
          </cell>
          <cell r="AH678">
            <v>16528.012154853484</v>
          </cell>
        </row>
        <row r="679">
          <cell r="I679">
            <v>604101</v>
          </cell>
          <cell r="AH679">
            <v>39402.953776975752</v>
          </cell>
        </row>
        <row r="680">
          <cell r="I680">
            <v>604102</v>
          </cell>
          <cell r="AH680">
            <v>39402.953776975752</v>
          </cell>
        </row>
        <row r="681">
          <cell r="I681">
            <v>604103</v>
          </cell>
          <cell r="AH681">
            <v>33650.264115060316</v>
          </cell>
        </row>
        <row r="682">
          <cell r="I682">
            <v>604104</v>
          </cell>
          <cell r="AH682">
            <v>33650.264115060316</v>
          </cell>
        </row>
        <row r="683">
          <cell r="I683">
            <v>604105</v>
          </cell>
          <cell r="AH683">
            <v>33650.264115060316</v>
          </cell>
        </row>
        <row r="684">
          <cell r="I684">
            <v>605101</v>
          </cell>
          <cell r="AH684">
            <v>74613.060057005932</v>
          </cell>
        </row>
        <row r="685">
          <cell r="I685">
            <v>605102</v>
          </cell>
          <cell r="AH685">
            <v>74613.060057005932</v>
          </cell>
        </row>
        <row r="686">
          <cell r="I686">
            <v>605103</v>
          </cell>
          <cell r="AH686">
            <v>63793.512939089429</v>
          </cell>
        </row>
        <row r="687">
          <cell r="I687">
            <v>605104</v>
          </cell>
          <cell r="AH687">
            <v>63793.512939089429</v>
          </cell>
        </row>
        <row r="688">
          <cell r="I688">
            <v>605105</v>
          </cell>
          <cell r="AH688">
            <v>63793.512939089429</v>
          </cell>
        </row>
        <row r="689">
          <cell r="I689">
            <v>606101</v>
          </cell>
          <cell r="AH689">
            <v>131568.48516249628</v>
          </cell>
        </row>
        <row r="690">
          <cell r="I690">
            <v>606102</v>
          </cell>
          <cell r="AH690">
            <v>131568.48516249628</v>
          </cell>
        </row>
        <row r="691">
          <cell r="I691">
            <v>606103</v>
          </cell>
          <cell r="AH691">
            <v>112643.72891573975</v>
          </cell>
        </row>
        <row r="692">
          <cell r="I692">
            <v>606104</v>
          </cell>
          <cell r="AH692">
            <v>112643.72891573975</v>
          </cell>
        </row>
        <row r="693">
          <cell r="I693">
            <v>606105</v>
          </cell>
          <cell r="AH693">
            <v>112643.72891573975</v>
          </cell>
        </row>
        <row r="694">
          <cell r="I694">
            <v>701101</v>
          </cell>
          <cell r="AH694">
            <v>57.926439114688137</v>
          </cell>
        </row>
        <row r="695">
          <cell r="I695">
            <v>701202</v>
          </cell>
          <cell r="AH695">
            <v>57.926439114688137</v>
          </cell>
        </row>
        <row r="696">
          <cell r="I696">
            <v>701303</v>
          </cell>
          <cell r="AH696">
            <v>57.926439114688137</v>
          </cell>
        </row>
        <row r="697">
          <cell r="I697">
            <v>701404</v>
          </cell>
          <cell r="AH697">
            <v>57.926439114688137</v>
          </cell>
        </row>
        <row r="698">
          <cell r="I698">
            <v>701505</v>
          </cell>
          <cell r="AH698">
            <v>57.926439114688137</v>
          </cell>
        </row>
        <row r="699">
          <cell r="I699">
            <v>701606</v>
          </cell>
          <cell r="AH699">
            <v>57.926439114688137</v>
          </cell>
        </row>
        <row r="700">
          <cell r="I700">
            <v>701707</v>
          </cell>
          <cell r="AH700">
            <v>57.926439114688137</v>
          </cell>
        </row>
        <row r="701">
          <cell r="I701">
            <v>701808</v>
          </cell>
          <cell r="AH701">
            <v>57.926439114688137</v>
          </cell>
        </row>
        <row r="702">
          <cell r="I702">
            <v>701909</v>
          </cell>
          <cell r="AH702">
            <v>57.926439114688137</v>
          </cell>
        </row>
        <row r="703">
          <cell r="I703">
            <v>702010</v>
          </cell>
          <cell r="AH703">
            <v>57.926439114688137</v>
          </cell>
        </row>
        <row r="704">
          <cell r="I704">
            <v>702111</v>
          </cell>
          <cell r="AH704">
            <v>57.926439114688137</v>
          </cell>
        </row>
        <row r="705">
          <cell r="I705">
            <v>702212</v>
          </cell>
          <cell r="AH705">
            <v>57.926439114688137</v>
          </cell>
        </row>
        <row r="706">
          <cell r="I706">
            <v>702313</v>
          </cell>
          <cell r="AH706">
            <v>57.926439114688137</v>
          </cell>
        </row>
        <row r="707">
          <cell r="I707">
            <v>702414</v>
          </cell>
          <cell r="AH707">
            <v>57.926439114688137</v>
          </cell>
        </row>
        <row r="708">
          <cell r="I708">
            <v>801101</v>
          </cell>
          <cell r="AH708">
            <v>2583.7110833577599</v>
          </cell>
        </row>
        <row r="709">
          <cell r="I709">
            <v>801102</v>
          </cell>
          <cell r="AH709">
            <v>1587.9942133701354</v>
          </cell>
        </row>
        <row r="710">
          <cell r="I710">
            <v>801203</v>
          </cell>
          <cell r="AH710">
            <v>2583.7110833577599</v>
          </cell>
        </row>
        <row r="711">
          <cell r="I711">
            <v>801204</v>
          </cell>
          <cell r="AH711">
            <v>1587.9942133701354</v>
          </cell>
        </row>
        <row r="712">
          <cell r="I712">
            <v>801305</v>
          </cell>
          <cell r="AH712">
            <v>2583.7110833577599</v>
          </cell>
        </row>
        <row r="713">
          <cell r="I713">
            <v>801306</v>
          </cell>
          <cell r="AH713">
            <v>1587.9942133701354</v>
          </cell>
        </row>
        <row r="714">
          <cell r="I714">
            <v>801407</v>
          </cell>
          <cell r="AH714">
            <v>2583.7110833577599</v>
          </cell>
        </row>
        <row r="715">
          <cell r="I715">
            <v>801408</v>
          </cell>
          <cell r="AH715">
            <v>1587.9942133701354</v>
          </cell>
        </row>
        <row r="716">
          <cell r="I716">
            <v>801509</v>
          </cell>
          <cell r="AH716">
            <v>2583.7110833577599</v>
          </cell>
        </row>
        <row r="717">
          <cell r="I717">
            <v>801510</v>
          </cell>
          <cell r="AH717">
            <v>1587.9942133701354</v>
          </cell>
        </row>
        <row r="718">
          <cell r="I718">
            <v>801611</v>
          </cell>
          <cell r="AH718">
            <v>2583.7110833577599</v>
          </cell>
        </row>
        <row r="719">
          <cell r="I719">
            <v>801612</v>
          </cell>
          <cell r="AH719">
            <v>1587.9942133701354</v>
          </cell>
        </row>
        <row r="720">
          <cell r="I720">
            <v>802113</v>
          </cell>
          <cell r="AH720">
            <v>1236.854065850217</v>
          </cell>
        </row>
        <row r="721">
          <cell r="I721">
            <v>802114</v>
          </cell>
          <cell r="AH721">
            <v>1236.854065850217</v>
          </cell>
        </row>
        <row r="722">
          <cell r="I722">
            <v>802115</v>
          </cell>
          <cell r="AH722">
            <v>1089.4100570279998</v>
          </cell>
        </row>
        <row r="723">
          <cell r="I723">
            <v>802116</v>
          </cell>
          <cell r="AH723">
            <v>1089.4100570279998</v>
          </cell>
        </row>
        <row r="724">
          <cell r="I724">
            <v>802117</v>
          </cell>
          <cell r="AH724">
            <v>1089.4100570279998</v>
          </cell>
        </row>
        <row r="725">
          <cell r="I725">
            <v>803118</v>
          </cell>
          <cell r="AH725">
            <v>1294.765908083315</v>
          </cell>
        </row>
        <row r="726">
          <cell r="I726">
            <v>803119</v>
          </cell>
          <cell r="AH726">
            <v>1449.364468340543</v>
          </cell>
        </row>
        <row r="727">
          <cell r="I727">
            <v>803120</v>
          </cell>
          <cell r="AH727">
            <v>1449.364468340543</v>
          </cell>
        </row>
        <row r="728">
          <cell r="I728">
            <v>803121</v>
          </cell>
          <cell r="AH728">
            <v>1267.663161628956</v>
          </cell>
        </row>
        <row r="729">
          <cell r="I729">
            <v>803122</v>
          </cell>
          <cell r="AH729">
            <v>1267.663161628956</v>
          </cell>
        </row>
        <row r="730">
          <cell r="I730">
            <v>804123</v>
          </cell>
          <cell r="AH730">
            <v>1256.5741551704996</v>
          </cell>
        </row>
        <row r="731">
          <cell r="I731">
            <v>804124</v>
          </cell>
          <cell r="AH731">
            <v>1256.5741551704996</v>
          </cell>
        </row>
        <row r="732">
          <cell r="I732">
            <v>804125</v>
          </cell>
          <cell r="AH732">
            <v>1256.5741551704996</v>
          </cell>
        </row>
        <row r="733">
          <cell r="I733">
            <v>804126</v>
          </cell>
          <cell r="AH733">
            <v>1256.5741551704996</v>
          </cell>
        </row>
        <row r="734">
          <cell r="I734">
            <v>804127</v>
          </cell>
          <cell r="AH734">
            <v>228051102.12143812</v>
          </cell>
        </row>
        <row r="735">
          <cell r="I735">
            <v>804128</v>
          </cell>
          <cell r="AH735">
            <v>1980.9842990968605</v>
          </cell>
        </row>
        <row r="736">
          <cell r="I736">
            <v>805129</v>
          </cell>
          <cell r="AH736">
            <v>3561.6795885641968</v>
          </cell>
        </row>
        <row r="737">
          <cell r="I737">
            <v>805130</v>
          </cell>
          <cell r="AH737">
            <v>1640.6718354256786</v>
          </cell>
        </row>
        <row r="738">
          <cell r="I738">
            <v>805131</v>
          </cell>
          <cell r="AH738">
            <v>1640.6718354256786</v>
          </cell>
        </row>
        <row r="739">
          <cell r="I739">
            <v>805132</v>
          </cell>
          <cell r="AH739">
            <v>1470.5804031231514</v>
          </cell>
        </row>
        <row r="740">
          <cell r="I740">
            <v>805133</v>
          </cell>
          <cell r="AH740">
            <v>1470.5804031231514</v>
          </cell>
        </row>
        <row r="741">
          <cell r="I741">
            <v>806134</v>
          </cell>
          <cell r="AH741">
            <v>1245.044428956978</v>
          </cell>
        </row>
        <row r="742">
          <cell r="I742">
            <v>806135</v>
          </cell>
          <cell r="AH742">
            <v>1245.044428956978</v>
          </cell>
        </row>
        <row r="743">
          <cell r="I743">
            <v>806136</v>
          </cell>
          <cell r="AH743">
            <v>1245.044428956978</v>
          </cell>
        </row>
        <row r="744">
          <cell r="I744">
            <v>806137</v>
          </cell>
          <cell r="AH744">
            <v>2057.2220388601208</v>
          </cell>
        </row>
        <row r="745">
          <cell r="I745">
            <v>806138</v>
          </cell>
          <cell r="AH745">
            <v>2458.7419963054881</v>
          </cell>
        </row>
        <row r="746">
          <cell r="I746">
            <v>806139</v>
          </cell>
          <cell r="AH746">
            <v>2458.7419963054881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5">
          <cell r="B5">
            <v>1</v>
          </cell>
          <cell r="C5">
            <v>1010</v>
          </cell>
          <cell r="J5">
            <v>13</v>
          </cell>
          <cell r="K5">
            <v>1201</v>
          </cell>
        </row>
        <row r="6">
          <cell r="B6">
            <v>2</v>
          </cell>
          <cell r="C6">
            <v>1001</v>
          </cell>
          <cell r="J6">
            <v>14</v>
          </cell>
          <cell r="K6">
            <v>1202</v>
          </cell>
        </row>
        <row r="7">
          <cell r="B7">
            <v>3</v>
          </cell>
          <cell r="C7">
            <v>1002</v>
          </cell>
          <cell r="J7">
            <v>15</v>
          </cell>
          <cell r="K7">
            <v>1203</v>
          </cell>
        </row>
        <row r="8">
          <cell r="B8">
            <v>4</v>
          </cell>
          <cell r="C8">
            <v>1003</v>
          </cell>
          <cell r="J8">
            <v>16</v>
          </cell>
          <cell r="K8">
            <v>1204</v>
          </cell>
        </row>
        <row r="9">
          <cell r="B9">
            <v>5</v>
          </cell>
          <cell r="C9">
            <v>1004</v>
          </cell>
          <cell r="J9">
            <v>17</v>
          </cell>
          <cell r="K9">
            <v>1205</v>
          </cell>
        </row>
        <row r="10">
          <cell r="B10">
            <v>6</v>
          </cell>
          <cell r="C10">
            <v>1005</v>
          </cell>
          <cell r="J10">
            <v>18</v>
          </cell>
          <cell r="K10">
            <v>1206</v>
          </cell>
        </row>
        <row r="11">
          <cell r="B11">
            <v>7</v>
          </cell>
          <cell r="C11">
            <v>1006</v>
          </cell>
          <cell r="J11">
            <v>19</v>
          </cell>
          <cell r="K11">
            <v>1207</v>
          </cell>
        </row>
        <row r="12">
          <cell r="B12">
            <v>8</v>
          </cell>
          <cell r="C12">
            <v>1007</v>
          </cell>
          <cell r="J12">
            <v>20</v>
          </cell>
          <cell r="K12">
            <v>1208</v>
          </cell>
        </row>
        <row r="13">
          <cell r="B13">
            <v>9</v>
          </cell>
          <cell r="C13">
            <v>1008</v>
          </cell>
          <cell r="J13">
            <v>21</v>
          </cell>
          <cell r="K13">
            <v>1209</v>
          </cell>
        </row>
        <row r="14">
          <cell r="B14">
            <v>10</v>
          </cell>
          <cell r="C14">
            <v>1009</v>
          </cell>
          <cell r="J14">
            <v>22</v>
          </cell>
          <cell r="K14">
            <v>2201</v>
          </cell>
        </row>
        <row r="15">
          <cell r="B15">
            <v>11</v>
          </cell>
          <cell r="C15">
            <v>2001</v>
          </cell>
          <cell r="J15">
            <v>23</v>
          </cell>
          <cell r="K15">
            <v>2202</v>
          </cell>
        </row>
        <row r="16">
          <cell r="B16">
            <v>12</v>
          </cell>
          <cell r="C16">
            <v>2002</v>
          </cell>
          <cell r="J16">
            <v>24</v>
          </cell>
          <cell r="K16">
            <v>2203</v>
          </cell>
        </row>
        <row r="17">
          <cell r="B17">
            <v>13</v>
          </cell>
          <cell r="C17">
            <v>2003</v>
          </cell>
          <cell r="J17">
            <v>25</v>
          </cell>
          <cell r="K17">
            <v>2204</v>
          </cell>
        </row>
        <row r="18">
          <cell r="B18">
            <v>14</v>
          </cell>
          <cell r="C18">
            <v>2004</v>
          </cell>
          <cell r="J18">
            <v>26</v>
          </cell>
          <cell r="K18">
            <v>2205</v>
          </cell>
        </row>
        <row r="19">
          <cell r="B19">
            <v>15</v>
          </cell>
          <cell r="C19">
            <v>2005</v>
          </cell>
          <cell r="J19">
            <v>27</v>
          </cell>
          <cell r="K19">
            <v>2206</v>
          </cell>
        </row>
        <row r="20">
          <cell r="B20">
            <v>16</v>
          </cell>
          <cell r="C20">
            <v>2006</v>
          </cell>
          <cell r="J20">
            <v>28</v>
          </cell>
          <cell r="K20">
            <v>2207</v>
          </cell>
        </row>
        <row r="21">
          <cell r="B21">
            <v>17</v>
          </cell>
          <cell r="C21">
            <v>2007</v>
          </cell>
          <cell r="J21">
            <v>29</v>
          </cell>
          <cell r="K21">
            <v>2208</v>
          </cell>
        </row>
        <row r="22">
          <cell r="B22">
            <v>18</v>
          </cell>
          <cell r="C22">
            <v>2008</v>
          </cell>
          <cell r="J22">
            <v>30</v>
          </cell>
          <cell r="K22">
            <v>2209</v>
          </cell>
        </row>
        <row r="23">
          <cell r="B23">
            <v>19</v>
          </cell>
          <cell r="C23">
            <v>2009</v>
          </cell>
          <cell r="J23">
            <v>31</v>
          </cell>
          <cell r="K23">
            <v>3201</v>
          </cell>
        </row>
        <row r="24">
          <cell r="B24">
            <v>20</v>
          </cell>
          <cell r="C24">
            <v>3001</v>
          </cell>
          <cell r="J24">
            <v>32</v>
          </cell>
          <cell r="K24">
            <v>3202</v>
          </cell>
        </row>
        <row r="25">
          <cell r="B25">
            <v>21</v>
          </cell>
          <cell r="C25">
            <v>3002</v>
          </cell>
          <cell r="J25">
            <v>33</v>
          </cell>
          <cell r="K25">
            <v>3203</v>
          </cell>
        </row>
        <row r="26">
          <cell r="B26">
            <v>22</v>
          </cell>
          <cell r="C26">
            <v>3003</v>
          </cell>
          <cell r="J26">
            <v>34</v>
          </cell>
          <cell r="K26">
            <v>3204</v>
          </cell>
        </row>
        <row r="27">
          <cell r="B27">
            <v>23</v>
          </cell>
          <cell r="C27">
            <v>3004</v>
          </cell>
          <cell r="J27">
            <v>35</v>
          </cell>
          <cell r="K27">
            <v>3205</v>
          </cell>
        </row>
        <row r="28">
          <cell r="B28">
            <v>24</v>
          </cell>
          <cell r="C28">
            <v>3005</v>
          </cell>
          <cell r="J28">
            <v>36</v>
          </cell>
          <cell r="K28">
            <v>3206</v>
          </cell>
        </row>
        <row r="29">
          <cell r="B29">
            <v>25</v>
          </cell>
          <cell r="C29">
            <v>3006</v>
          </cell>
          <cell r="J29">
            <v>37</v>
          </cell>
          <cell r="K29">
            <v>3207</v>
          </cell>
        </row>
        <row r="30">
          <cell r="B30">
            <v>26</v>
          </cell>
          <cell r="C30">
            <v>3007</v>
          </cell>
          <cell r="J30">
            <v>38</v>
          </cell>
          <cell r="K30">
            <v>3208</v>
          </cell>
        </row>
        <row r="31">
          <cell r="B31">
            <v>27</v>
          </cell>
          <cell r="C31">
            <v>3008</v>
          </cell>
          <cell r="J31">
            <v>39</v>
          </cell>
          <cell r="K31">
            <v>3209</v>
          </cell>
        </row>
        <row r="32">
          <cell r="B32">
            <v>28</v>
          </cell>
          <cell r="C32">
            <v>3009</v>
          </cell>
          <cell r="J32">
            <v>40</v>
          </cell>
          <cell r="K32">
            <v>4201</v>
          </cell>
        </row>
        <row r="33">
          <cell r="B33">
            <v>29</v>
          </cell>
          <cell r="C33">
            <v>4001</v>
          </cell>
          <cell r="J33">
            <v>41</v>
          </cell>
          <cell r="K33">
            <v>4202</v>
          </cell>
        </row>
        <row r="34">
          <cell r="B34">
            <v>30</v>
          </cell>
          <cell r="C34">
            <v>4002</v>
          </cell>
          <cell r="J34">
            <v>42</v>
          </cell>
          <cell r="K34">
            <v>4203</v>
          </cell>
        </row>
        <row r="35">
          <cell r="B35">
            <v>31</v>
          </cell>
          <cell r="C35">
            <v>4003</v>
          </cell>
          <cell r="J35">
            <v>43</v>
          </cell>
          <cell r="K35">
            <v>4204</v>
          </cell>
        </row>
        <row r="36">
          <cell r="B36">
            <v>32</v>
          </cell>
          <cell r="C36">
            <v>4004</v>
          </cell>
          <cell r="J36">
            <v>44</v>
          </cell>
          <cell r="K36">
            <v>4205</v>
          </cell>
        </row>
        <row r="37">
          <cell r="B37">
            <v>33</v>
          </cell>
          <cell r="C37">
            <v>4005</v>
          </cell>
          <cell r="J37">
            <v>45</v>
          </cell>
          <cell r="K37">
            <v>4206</v>
          </cell>
        </row>
        <row r="38">
          <cell r="B38">
            <v>34</v>
          </cell>
          <cell r="C38">
            <v>4006</v>
          </cell>
          <cell r="J38">
            <v>46</v>
          </cell>
          <cell r="K38">
            <v>4207</v>
          </cell>
        </row>
        <row r="39">
          <cell r="B39">
            <v>35</v>
          </cell>
          <cell r="C39">
            <v>4007</v>
          </cell>
          <cell r="J39">
            <v>47</v>
          </cell>
          <cell r="K39">
            <v>4208</v>
          </cell>
        </row>
        <row r="40">
          <cell r="B40">
            <v>36</v>
          </cell>
          <cell r="C40">
            <v>4008</v>
          </cell>
          <cell r="J40">
            <v>48</v>
          </cell>
          <cell r="K40">
            <v>4209</v>
          </cell>
        </row>
        <row r="41">
          <cell r="B41">
            <v>37</v>
          </cell>
          <cell r="C41">
            <v>4009</v>
          </cell>
          <cell r="J41">
            <v>49</v>
          </cell>
          <cell r="K41">
            <v>5201</v>
          </cell>
        </row>
        <row r="42">
          <cell r="B42">
            <v>38</v>
          </cell>
          <cell r="C42">
            <v>5001</v>
          </cell>
          <cell r="J42">
            <v>50</v>
          </cell>
          <cell r="K42">
            <v>5202</v>
          </cell>
        </row>
        <row r="43">
          <cell r="B43">
            <v>39</v>
          </cell>
          <cell r="C43">
            <v>5002</v>
          </cell>
          <cell r="J43">
            <v>51</v>
          </cell>
          <cell r="K43">
            <v>5203</v>
          </cell>
        </row>
        <row r="44">
          <cell r="B44">
            <v>40</v>
          </cell>
          <cell r="C44">
            <v>5003</v>
          </cell>
          <cell r="J44">
            <v>52</v>
          </cell>
          <cell r="K44">
            <v>5204</v>
          </cell>
        </row>
        <row r="45">
          <cell r="B45">
            <v>41</v>
          </cell>
          <cell r="C45">
            <v>5004</v>
          </cell>
          <cell r="J45">
            <v>53</v>
          </cell>
          <cell r="K45">
            <v>5205</v>
          </cell>
        </row>
        <row r="46">
          <cell r="B46">
            <v>42</v>
          </cell>
          <cell r="C46">
            <v>5005</v>
          </cell>
          <cell r="J46">
            <v>54</v>
          </cell>
          <cell r="K46">
            <v>5206</v>
          </cell>
        </row>
        <row r="47">
          <cell r="B47">
            <v>43</v>
          </cell>
          <cell r="C47">
            <v>5006</v>
          </cell>
          <cell r="J47">
            <v>55</v>
          </cell>
          <cell r="K47">
            <v>5207</v>
          </cell>
        </row>
        <row r="48">
          <cell r="B48">
            <v>44</v>
          </cell>
          <cell r="C48">
            <v>5007</v>
          </cell>
          <cell r="J48">
            <v>56</v>
          </cell>
          <cell r="K48">
            <v>5208</v>
          </cell>
        </row>
        <row r="49">
          <cell r="B49">
            <v>45</v>
          </cell>
          <cell r="C49">
            <v>5008</v>
          </cell>
          <cell r="J49">
            <v>57</v>
          </cell>
          <cell r="K49">
            <v>5209</v>
          </cell>
        </row>
        <row r="50">
          <cell r="B50">
            <v>46</v>
          </cell>
          <cell r="C50">
            <v>5009</v>
          </cell>
          <cell r="J50">
            <v>58</v>
          </cell>
          <cell r="K50">
            <v>6201</v>
          </cell>
        </row>
        <row r="51">
          <cell r="B51">
            <v>47</v>
          </cell>
          <cell r="C51">
            <v>6001</v>
          </cell>
          <cell r="J51">
            <v>59</v>
          </cell>
          <cell r="K51">
            <v>6202</v>
          </cell>
        </row>
        <row r="52">
          <cell r="B52">
            <v>48</v>
          </cell>
          <cell r="C52">
            <v>6002</v>
          </cell>
          <cell r="J52">
            <v>60</v>
          </cell>
          <cell r="K52">
            <v>6203</v>
          </cell>
        </row>
        <row r="53">
          <cell r="B53">
            <v>49</v>
          </cell>
          <cell r="C53">
            <v>6003</v>
          </cell>
          <cell r="J53">
            <v>61</v>
          </cell>
          <cell r="K53">
            <v>6204</v>
          </cell>
        </row>
        <row r="54">
          <cell r="B54">
            <v>50</v>
          </cell>
          <cell r="C54">
            <v>6004</v>
          </cell>
          <cell r="J54">
            <v>62</v>
          </cell>
          <cell r="K54">
            <v>6205</v>
          </cell>
        </row>
        <row r="55">
          <cell r="B55">
            <v>51</v>
          </cell>
          <cell r="C55">
            <v>6005</v>
          </cell>
          <cell r="J55">
            <v>63</v>
          </cell>
          <cell r="K55">
            <v>6206</v>
          </cell>
        </row>
        <row r="56">
          <cell r="B56">
            <v>52</v>
          </cell>
          <cell r="C56">
            <v>6006</v>
          </cell>
          <cell r="J56">
            <v>64</v>
          </cell>
          <cell r="K56">
            <v>6207</v>
          </cell>
        </row>
        <row r="57">
          <cell r="B57">
            <v>53</v>
          </cell>
          <cell r="C57">
            <v>6007</v>
          </cell>
          <cell r="J57">
            <v>65</v>
          </cell>
          <cell r="K57">
            <v>6208</v>
          </cell>
        </row>
        <row r="58">
          <cell r="B58">
            <v>54</v>
          </cell>
          <cell r="C58">
            <v>6008</v>
          </cell>
          <cell r="J58">
            <v>66</v>
          </cell>
          <cell r="K58">
            <v>6209</v>
          </cell>
        </row>
        <row r="59">
          <cell r="B59">
            <v>55</v>
          </cell>
          <cell r="C59">
            <v>6009</v>
          </cell>
          <cell r="J59">
            <v>67</v>
          </cell>
          <cell r="K59">
            <v>7201</v>
          </cell>
        </row>
        <row r="60">
          <cell r="B60">
            <v>56</v>
          </cell>
          <cell r="C60">
            <v>7001</v>
          </cell>
          <cell r="J60">
            <v>68</v>
          </cell>
          <cell r="K60">
            <v>7202</v>
          </cell>
        </row>
        <row r="61">
          <cell r="B61">
            <v>57</v>
          </cell>
          <cell r="C61">
            <v>7002</v>
          </cell>
          <cell r="J61">
            <v>69</v>
          </cell>
          <cell r="K61">
            <v>7203</v>
          </cell>
        </row>
        <row r="62">
          <cell r="B62">
            <v>58</v>
          </cell>
          <cell r="C62">
            <v>7003</v>
          </cell>
          <cell r="J62">
            <v>70</v>
          </cell>
          <cell r="K62">
            <v>7204</v>
          </cell>
        </row>
        <row r="63">
          <cell r="B63">
            <v>59</v>
          </cell>
          <cell r="C63">
            <v>7004</v>
          </cell>
          <cell r="J63">
            <v>71</v>
          </cell>
          <cell r="K63">
            <v>7205</v>
          </cell>
        </row>
        <row r="64">
          <cell r="B64">
            <v>60</v>
          </cell>
          <cell r="C64">
            <v>7005</v>
          </cell>
          <cell r="J64">
            <v>72</v>
          </cell>
          <cell r="K64">
            <v>7206</v>
          </cell>
        </row>
        <row r="65">
          <cell r="B65">
            <v>61</v>
          </cell>
          <cell r="C65">
            <v>7006</v>
          </cell>
          <cell r="J65">
            <v>73</v>
          </cell>
          <cell r="K65">
            <v>7207</v>
          </cell>
        </row>
        <row r="66">
          <cell r="B66">
            <v>62</v>
          </cell>
          <cell r="C66">
            <v>7007</v>
          </cell>
          <cell r="J66">
            <v>74</v>
          </cell>
          <cell r="K66">
            <v>7208</v>
          </cell>
        </row>
        <row r="67">
          <cell r="B67">
            <v>63</v>
          </cell>
          <cell r="C67">
            <v>7008</v>
          </cell>
          <cell r="J67">
            <v>75</v>
          </cell>
          <cell r="K67">
            <v>7209</v>
          </cell>
        </row>
        <row r="68">
          <cell r="B68">
            <v>64</v>
          </cell>
          <cell r="C68">
            <v>7009</v>
          </cell>
          <cell r="J68">
            <v>76</v>
          </cell>
          <cell r="K68">
            <v>8201</v>
          </cell>
        </row>
        <row r="69">
          <cell r="B69">
            <v>65</v>
          </cell>
          <cell r="C69">
            <v>8001</v>
          </cell>
          <cell r="J69">
            <v>77</v>
          </cell>
          <cell r="K69">
            <v>8202</v>
          </cell>
        </row>
        <row r="70">
          <cell r="B70">
            <v>66</v>
          </cell>
          <cell r="C70">
            <v>8002</v>
          </cell>
          <cell r="J70">
            <v>78</v>
          </cell>
          <cell r="K70">
            <v>8203</v>
          </cell>
        </row>
        <row r="71">
          <cell r="B71">
            <v>67</v>
          </cell>
          <cell r="C71">
            <v>8003</v>
          </cell>
          <cell r="J71">
            <v>79</v>
          </cell>
          <cell r="K71">
            <v>8204</v>
          </cell>
        </row>
        <row r="72">
          <cell r="B72">
            <v>68</v>
          </cell>
          <cell r="C72">
            <v>8004</v>
          </cell>
          <cell r="J72">
            <v>80</v>
          </cell>
          <cell r="K72">
            <v>8205</v>
          </cell>
        </row>
        <row r="73">
          <cell r="B73">
            <v>69</v>
          </cell>
          <cell r="C73">
            <v>8005</v>
          </cell>
          <cell r="J73">
            <v>81</v>
          </cell>
          <cell r="K73">
            <v>8206</v>
          </cell>
        </row>
        <row r="74">
          <cell r="B74">
            <v>70</v>
          </cell>
          <cell r="C74">
            <v>8006</v>
          </cell>
          <cell r="J74">
            <v>82</v>
          </cell>
          <cell r="K74">
            <v>8207</v>
          </cell>
        </row>
        <row r="75">
          <cell r="B75">
            <v>71</v>
          </cell>
          <cell r="C75">
            <v>8007</v>
          </cell>
          <cell r="J75">
            <v>83</v>
          </cell>
          <cell r="K75">
            <v>8208</v>
          </cell>
        </row>
        <row r="76">
          <cell r="B76">
            <v>72</v>
          </cell>
          <cell r="C76">
            <v>8008</v>
          </cell>
          <cell r="J76">
            <v>84</v>
          </cell>
          <cell r="K76">
            <v>8209</v>
          </cell>
        </row>
        <row r="77">
          <cell r="B77">
            <v>73</v>
          </cell>
          <cell r="C77">
            <v>8009</v>
          </cell>
        </row>
        <row r="83">
          <cell r="P83">
            <v>12</v>
          </cell>
        </row>
        <row r="84">
          <cell r="P84">
            <v>12</v>
          </cell>
        </row>
        <row r="85">
          <cell r="P85">
            <v>24</v>
          </cell>
        </row>
        <row r="86">
          <cell r="P86">
            <v>24</v>
          </cell>
        </row>
        <row r="87">
          <cell r="P87">
            <v>24</v>
          </cell>
        </row>
        <row r="88">
          <cell r="P88">
            <v>24</v>
          </cell>
        </row>
        <row r="89">
          <cell r="P89">
            <v>40</v>
          </cell>
        </row>
        <row r="90">
          <cell r="P90">
            <v>40</v>
          </cell>
        </row>
        <row r="91">
          <cell r="P91">
            <v>40</v>
          </cell>
        </row>
        <row r="92">
          <cell r="P92">
            <v>40</v>
          </cell>
        </row>
        <row r="93">
          <cell r="P93">
            <v>40</v>
          </cell>
        </row>
      </sheetData>
      <sheetData sheetId="6" refreshError="1"/>
      <sheetData sheetId="7" refreshError="1"/>
      <sheetData sheetId="8">
        <row r="5">
          <cell r="M5">
            <v>267.49800000000005</v>
          </cell>
        </row>
        <row r="6">
          <cell r="M6">
            <v>335.52698947247023</v>
          </cell>
        </row>
        <row r="7">
          <cell r="M7">
            <v>399.17105522470655</v>
          </cell>
        </row>
        <row r="8">
          <cell r="M8">
            <v>370.01076333953267</v>
          </cell>
        </row>
        <row r="9">
          <cell r="M9">
            <v>421.47626939502686</v>
          </cell>
        </row>
        <row r="10">
          <cell r="M10">
            <v>732.01350675237336</v>
          </cell>
        </row>
        <row r="11">
          <cell r="M11">
            <v>880.02023311957089</v>
          </cell>
        </row>
        <row r="12">
          <cell r="M12">
            <v>1044.0611633845615</v>
          </cell>
        </row>
        <row r="13">
          <cell r="M13">
            <v>1364.3071446938668</v>
          </cell>
        </row>
        <row r="14">
          <cell r="M14">
            <v>1727.6915361038548</v>
          </cell>
        </row>
        <row r="15">
          <cell r="M15">
            <v>2136.0148967569658</v>
          </cell>
        </row>
        <row r="16">
          <cell r="M16">
            <v>2591.0795735978022</v>
          </cell>
        </row>
        <row r="17">
          <cell r="M17">
            <v>3094.6851411110956</v>
          </cell>
        </row>
        <row r="18">
          <cell r="M18">
            <v>3648.6259147468172</v>
          </cell>
        </row>
        <row r="19">
          <cell r="M19">
            <v>4254.6896346215126</v>
          </cell>
        </row>
        <row r="20">
          <cell r="M20">
            <v>4914.6568278260884</v>
          </cell>
        </row>
        <row r="21">
          <cell r="M21">
            <v>5630.3005709109411</v>
          </cell>
        </row>
        <row r="22">
          <cell r="M22">
            <v>6403.3864898100719</v>
          </cell>
        </row>
        <row r="23">
          <cell r="M23">
            <v>7235.6728996934007</v>
          </cell>
        </row>
        <row r="24">
          <cell r="M24">
            <v>8128.911025210582</v>
          </cell>
        </row>
        <row r="25">
          <cell r="M25">
            <v>9084.8452642958327</v>
          </cell>
        </row>
        <row r="26">
          <cell r="M26">
            <v>10105.2134725859</v>
          </cell>
        </row>
        <row r="27">
          <cell r="M27">
            <v>11400.405805091281</v>
          </cell>
        </row>
        <row r="28">
          <cell r="M28">
            <v>12784.890390334218</v>
          </cell>
        </row>
        <row r="29">
          <cell r="M29">
            <v>14261.047881556851</v>
          </cell>
        </row>
        <row r="30">
          <cell r="M30">
            <v>16032.112972248326</v>
          </cell>
        </row>
        <row r="31">
          <cell r="M31">
            <v>17918.492082667442</v>
          </cell>
        </row>
        <row r="32">
          <cell r="M32">
            <v>19923.089614644672</v>
          </cell>
        </row>
        <row r="33">
          <cell r="M33">
            <v>22048.80155432774</v>
          </cell>
        </row>
        <row r="34">
          <cell r="M34">
            <v>24602.247262249399</v>
          </cell>
        </row>
        <row r="35">
          <cell r="M35">
            <v>27667.296632101697</v>
          </cell>
        </row>
        <row r="36">
          <cell r="M36">
            <v>30990.514434410816</v>
          </cell>
        </row>
        <row r="37">
          <cell r="M37">
            <v>34573.196392958278</v>
          </cell>
        </row>
        <row r="38">
          <cell r="M38">
            <v>38426.737014116785</v>
          </cell>
        </row>
        <row r="39">
          <cell r="M39">
            <v>42562.734823703468</v>
          </cell>
        </row>
        <row r="40">
          <cell r="M40">
            <v>46992.99239665216</v>
          </cell>
        </row>
        <row r="41">
          <cell r="M41">
            <v>51729.516364590025</v>
          </cell>
        </row>
        <row r="42">
          <cell r="M42">
            <v>56784.51740497836</v>
          </cell>
        </row>
        <row r="43">
          <cell r="M43">
            <v>62170.410214863972</v>
          </cell>
        </row>
        <row r="44">
          <cell r="M44">
            <v>68511.523503065546</v>
          </cell>
        </row>
        <row r="45">
          <cell r="M45">
            <v>75283.541885462531</v>
          </cell>
        </row>
        <row r="46">
          <cell r="M46">
            <v>82503.226288916951</v>
          </cell>
        </row>
        <row r="47">
          <cell r="M47">
            <v>90187.609011053428</v>
          </cell>
        </row>
        <row r="48">
          <cell r="M48">
            <v>98353.993690285599</v>
          </cell>
        </row>
        <row r="49">
          <cell r="M49">
            <v>107019.955261108</v>
          </cell>
        </row>
        <row r="50">
          <cell r="M50">
            <v>116203.33989693534</v>
          </cell>
        </row>
        <row r="51">
          <cell r="M51">
            <v>125922.2649424351</v>
          </cell>
        </row>
        <row r="52">
          <cell r="M52">
            <v>136195.11883701631</v>
          </cell>
        </row>
        <row r="53">
          <cell r="M53">
            <v>147040.56103089673</v>
          </cell>
        </row>
        <row r="54">
          <cell r="M54">
            <v>159520.13717059622</v>
          </cell>
        </row>
        <row r="55">
          <cell r="M55">
            <v>169633.39780854934</v>
          </cell>
        </row>
        <row r="56">
          <cell r="M56">
            <v>186638.13280369047</v>
          </cell>
        </row>
        <row r="57">
          <cell r="M57">
            <v>201324.31814386719</v>
          </cell>
        </row>
        <row r="58">
          <cell r="M58">
            <v>216794.36946781015</v>
          </cell>
        </row>
        <row r="59">
          <cell r="M59">
            <v>233073.01513015016</v>
          </cell>
        </row>
        <row r="60">
          <cell r="M60">
            <v>250185.32144305485</v>
          </cell>
        </row>
        <row r="61">
          <cell r="M61">
            <v>268156.69255101995</v>
          </cell>
        </row>
        <row r="62">
          <cell r="M62">
            <v>287012.87030293985</v>
          </cell>
        </row>
        <row r="63">
          <cell r="M63">
            <v>306779.93412203423</v>
          </cell>
        </row>
        <row r="64">
          <cell r="M64">
            <v>329097.52403114893</v>
          </cell>
        </row>
        <row r="65">
          <cell r="M65">
            <v>352509.96247259458</v>
          </cell>
        </row>
        <row r="66">
          <cell r="M66">
            <v>377049.08997165965</v>
          </cell>
        </row>
        <row r="67">
          <cell r="M67">
            <v>402747.15166459483</v>
          </cell>
        </row>
        <row r="68">
          <cell r="M68">
            <v>429636.79714311572</v>
          </cell>
        </row>
        <row r="69">
          <cell r="M69">
            <v>457751.08029818488</v>
          </cell>
        </row>
        <row r="70">
          <cell r="M70">
            <v>487123.45916340762</v>
          </cell>
        </row>
        <row r="71">
          <cell r="M71">
            <v>517787.79575834068</v>
          </cell>
        </row>
        <row r="72">
          <cell r="M72">
            <v>549778.35593197402</v>
          </cell>
        </row>
        <row r="73">
          <cell r="M73">
            <v>583129.80920660822</v>
          </cell>
        </row>
        <row r="74">
          <cell r="M74">
            <v>620217.67267013376</v>
          </cell>
        </row>
        <row r="75">
          <cell r="M75">
            <v>658900.95051244006</v>
          </cell>
        </row>
        <row r="76">
          <cell r="M76">
            <v>699220.77768433432</v>
          </cell>
        </row>
        <row r="77">
          <cell r="M77">
            <v>741218.75957786536</v>
          </cell>
        </row>
        <row r="78">
          <cell r="M78">
            <v>784936.97185025411</v>
          </cell>
        </row>
        <row r="79">
          <cell r="M79">
            <v>830417.96024897066</v>
          </cell>
        </row>
        <row r="80">
          <cell r="M80">
            <v>877704.74043809366</v>
          </cell>
        </row>
        <row r="81">
          <cell r="M81">
            <v>926840.79782604403</v>
          </cell>
        </row>
        <row r="82">
          <cell r="M82">
            <v>977870.08739479212</v>
          </cell>
        </row>
        <row r="83">
          <cell r="M83">
            <v>1030837.0335306139</v>
          </cell>
        </row>
        <row r="84">
          <cell r="M84">
            <v>1089027.6836769141</v>
          </cell>
        </row>
      </sheetData>
      <sheetData sheetId="9" refreshError="1"/>
      <sheetData sheetId="10" refreshError="1"/>
      <sheetData sheetId="11" refreshError="1"/>
      <sheetData sheetId="12">
        <row r="5">
          <cell r="C5">
            <v>17</v>
          </cell>
        </row>
        <row r="6">
          <cell r="C6">
            <v>29</v>
          </cell>
        </row>
        <row r="7">
          <cell r="C7">
            <v>39</v>
          </cell>
        </row>
        <row r="8">
          <cell r="C8">
            <v>49</v>
          </cell>
        </row>
        <row r="9">
          <cell r="C9">
            <v>59</v>
          </cell>
        </row>
        <row r="10">
          <cell r="C10">
            <v>69</v>
          </cell>
        </row>
      </sheetData>
      <sheetData sheetId="13">
        <row r="5">
          <cell r="C5">
            <v>35</v>
          </cell>
        </row>
        <row r="6">
          <cell r="C6">
            <v>40</v>
          </cell>
        </row>
        <row r="7">
          <cell r="C7">
            <v>47</v>
          </cell>
        </row>
        <row r="8">
          <cell r="C8">
            <v>55</v>
          </cell>
        </row>
        <row r="9">
          <cell r="C9">
            <v>63</v>
          </cell>
        </row>
        <row r="10">
          <cell r="C10">
            <v>71</v>
          </cell>
        </row>
      </sheetData>
      <sheetData sheetId="14">
        <row r="5">
          <cell r="C5">
            <v>11</v>
          </cell>
        </row>
        <row r="6">
          <cell r="C6">
            <v>28</v>
          </cell>
        </row>
        <row r="7">
          <cell r="C7">
            <v>38</v>
          </cell>
        </row>
        <row r="8">
          <cell r="C8">
            <v>48</v>
          </cell>
        </row>
        <row r="9">
          <cell r="C9">
            <v>58</v>
          </cell>
        </row>
        <row r="10">
          <cell r="C10">
            <v>68</v>
          </cell>
        </row>
      </sheetData>
      <sheetData sheetId="15">
        <row r="5">
          <cell r="C5">
            <v>23</v>
          </cell>
        </row>
        <row r="6">
          <cell r="C6">
            <v>33</v>
          </cell>
        </row>
        <row r="7">
          <cell r="C7">
            <v>43</v>
          </cell>
        </row>
        <row r="8">
          <cell r="C8">
            <v>52</v>
          </cell>
        </row>
        <row r="9">
          <cell r="C9">
            <v>61</v>
          </cell>
        </row>
        <row r="10">
          <cell r="C10">
            <v>70</v>
          </cell>
        </row>
      </sheetData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D222"/>
  <sheetViews>
    <sheetView workbookViewId="0">
      <pane xSplit="4" ySplit="10" topLeftCell="V148" activePane="bottomRight" state="frozen"/>
      <selection pane="topRight" activeCell="E1" sqref="E1"/>
      <selection pane="bottomLeft" activeCell="A11" sqref="A11"/>
      <selection pane="bottomRight" activeCell="Y167" sqref="Y167"/>
    </sheetView>
  </sheetViews>
  <sheetFormatPr defaultRowHeight="13.5" x14ac:dyDescent="0.15"/>
  <cols>
    <col min="1" max="1" width="7.5" bestFit="1" customWidth="1"/>
    <col min="2" max="2" width="9.5" bestFit="1" customWidth="1"/>
    <col min="3" max="3" width="5.5" bestFit="1" customWidth="1"/>
    <col min="4" max="4" width="19.375" bestFit="1" customWidth="1"/>
    <col min="5" max="5" width="46.75" bestFit="1" customWidth="1"/>
    <col min="6" max="6" width="13.875" bestFit="1" customWidth="1"/>
    <col min="7" max="7" width="9.5" bestFit="1" customWidth="1"/>
    <col min="8" max="9" width="10.5" bestFit="1" customWidth="1"/>
    <col min="10" max="11" width="12.75" bestFit="1" customWidth="1"/>
    <col min="12" max="12" width="15.625" customWidth="1"/>
    <col min="13" max="13" width="9.5" bestFit="1" customWidth="1"/>
    <col min="14" max="17" width="17.25" bestFit="1" customWidth="1"/>
    <col min="18" max="18" width="13.875" bestFit="1" customWidth="1"/>
    <col min="19" max="19" width="9.5" style="10" bestFit="1" customWidth="1"/>
    <col min="20" max="20" width="11.625" bestFit="1" customWidth="1"/>
    <col min="21" max="23" width="18.375" bestFit="1" customWidth="1"/>
    <col min="24" max="24" width="13.875" bestFit="1" customWidth="1"/>
    <col min="25" max="25" width="18.375" bestFit="1" customWidth="1"/>
    <col min="26" max="26" width="9.5" bestFit="1" customWidth="1"/>
    <col min="27" max="27" width="11.625" bestFit="1" customWidth="1"/>
    <col min="28" max="28" width="9" customWidth="1"/>
    <col min="29" max="32" width="15" bestFit="1" customWidth="1"/>
    <col min="33" max="33" width="9.625" style="10" customWidth="1"/>
    <col min="34" max="34" width="15.125" style="10" customWidth="1"/>
    <col min="35" max="35" width="13.875" bestFit="1" customWidth="1"/>
    <col min="36" max="44" width="12.75" bestFit="1" customWidth="1"/>
    <col min="45" max="45" width="13.875" bestFit="1" customWidth="1"/>
    <col min="46" max="46" width="11.625" bestFit="1" customWidth="1"/>
    <col min="47" max="55" width="8.5" bestFit="1" customWidth="1"/>
    <col min="56" max="56" width="9.5" bestFit="1" customWidth="1"/>
  </cols>
  <sheetData>
    <row r="1" spans="1:56" x14ac:dyDescent="0.15">
      <c r="A1" s="5" t="s">
        <v>27</v>
      </c>
      <c r="B1" s="5" t="s">
        <v>28</v>
      </c>
      <c r="C1" s="5" t="s">
        <v>29</v>
      </c>
      <c r="D1" s="5" t="s">
        <v>30</v>
      </c>
      <c r="E1" s="5" t="s">
        <v>31</v>
      </c>
      <c r="F1" s="5" t="s">
        <v>37</v>
      </c>
      <c r="G1" s="5" t="s">
        <v>81</v>
      </c>
      <c r="H1" s="5" t="s">
        <v>47</v>
      </c>
      <c r="I1" s="5" t="s">
        <v>48</v>
      </c>
      <c r="J1" s="5" t="s">
        <v>49</v>
      </c>
      <c r="K1" s="5" t="s">
        <v>50</v>
      </c>
      <c r="L1" s="5" t="s">
        <v>64</v>
      </c>
      <c r="M1" s="5" t="s">
        <v>65</v>
      </c>
      <c r="N1" s="5" t="s">
        <v>66</v>
      </c>
      <c r="O1" s="5" t="s">
        <v>67</v>
      </c>
      <c r="P1" s="5" t="s">
        <v>68</v>
      </c>
      <c r="Q1" s="5" t="s">
        <v>69</v>
      </c>
      <c r="R1" s="5" t="s">
        <v>41</v>
      </c>
      <c r="S1" s="10" t="s">
        <v>32</v>
      </c>
      <c r="T1" s="6" t="s">
        <v>38</v>
      </c>
      <c r="U1" s="6" t="s">
        <v>33</v>
      </c>
      <c r="V1" s="6" t="s">
        <v>34</v>
      </c>
      <c r="W1" s="6" t="s">
        <v>35</v>
      </c>
      <c r="X1" s="6" t="s">
        <v>36</v>
      </c>
      <c r="Y1" s="6" t="s">
        <v>39</v>
      </c>
      <c r="Z1" s="6" t="s">
        <v>40</v>
      </c>
      <c r="AA1" s="6" t="s">
        <v>42</v>
      </c>
      <c r="AB1" s="28" t="s">
        <v>679</v>
      </c>
      <c r="AC1" s="6" t="s">
        <v>43</v>
      </c>
      <c r="AD1" s="6" t="s">
        <v>44</v>
      </c>
      <c r="AE1" s="6" t="s">
        <v>45</v>
      </c>
      <c r="AF1" s="6" t="s">
        <v>46</v>
      </c>
      <c r="AG1" s="10" t="s">
        <v>51</v>
      </c>
      <c r="AH1" s="10" t="s">
        <v>52</v>
      </c>
      <c r="AI1" s="6" t="s">
        <v>53</v>
      </c>
      <c r="AJ1" s="6" t="s">
        <v>54</v>
      </c>
      <c r="AK1" s="6" t="s">
        <v>55</v>
      </c>
      <c r="AL1" s="6" t="s">
        <v>56</v>
      </c>
      <c r="AM1" s="6" t="s">
        <v>57</v>
      </c>
      <c r="AN1" s="6" t="s">
        <v>58</v>
      </c>
      <c r="AO1" s="6" t="s">
        <v>59</v>
      </c>
      <c r="AP1" s="6" t="s">
        <v>60</v>
      </c>
      <c r="AQ1" s="6" t="s">
        <v>61</v>
      </c>
      <c r="AR1" s="6" t="s">
        <v>62</v>
      </c>
      <c r="AS1" s="6" t="s">
        <v>63</v>
      </c>
      <c r="AT1" s="6" t="s">
        <v>70</v>
      </c>
      <c r="AU1" s="6" t="s">
        <v>71</v>
      </c>
      <c r="AV1" s="6" t="s">
        <v>72</v>
      </c>
      <c r="AW1" s="6" t="s">
        <v>73</v>
      </c>
      <c r="AX1" s="6" t="s">
        <v>74</v>
      </c>
      <c r="AY1" s="6" t="s">
        <v>75</v>
      </c>
      <c r="AZ1" s="6" t="s">
        <v>76</v>
      </c>
      <c r="BA1" s="6" t="s">
        <v>77</v>
      </c>
      <c r="BB1" s="6" t="s">
        <v>78</v>
      </c>
      <c r="BC1" s="6" t="s">
        <v>79</v>
      </c>
      <c r="BD1" s="6" t="s">
        <v>80</v>
      </c>
    </row>
    <row r="2" spans="1:56" x14ac:dyDescent="0.15">
      <c r="A2">
        <f>地图配置辅助表!A3</f>
        <v>1</v>
      </c>
      <c r="B2">
        <v>0</v>
      </c>
      <c r="C2">
        <v>1</v>
      </c>
      <c r="D2" s="9" t="str">
        <f>地图配置辅助表!D3</f>
        <v>油尖旺</v>
      </c>
      <c r="G2">
        <v>31</v>
      </c>
      <c r="H2">
        <v>310</v>
      </c>
      <c r="I2">
        <v>130</v>
      </c>
      <c r="J2">
        <v>1750</v>
      </c>
      <c r="K2">
        <v>130</v>
      </c>
      <c r="M2">
        <v>0</v>
      </c>
      <c r="N2">
        <v>30</v>
      </c>
      <c r="O2">
        <v>100</v>
      </c>
      <c r="P2">
        <v>2170</v>
      </c>
      <c r="Q2">
        <v>10</v>
      </c>
      <c r="R2" t="s">
        <v>243</v>
      </c>
      <c r="S2" s="10">
        <f>VLOOKUP($A2,地图配置辅助表!$A$3:$AP$245,地图配置辅助表!E$1,FALSE)</f>
        <v>0</v>
      </c>
      <c r="T2">
        <f>VLOOKUP($A2,地图配置辅助表!$A$3:$AP$245,地图配置辅助表!F$1,FALSE)</f>
        <v>0</v>
      </c>
      <c r="U2">
        <f>VLOOKUP($A2,地图配置辅助表!$A$3:$AP$245,地图配置辅助表!G$1,FALSE)</f>
        <v>0</v>
      </c>
      <c r="V2">
        <f>VLOOKUP($A2,地图配置辅助表!$A$3:$AP$245,地图配置辅助表!H$1,FALSE)</f>
        <v>0</v>
      </c>
      <c r="W2">
        <f>VLOOKUP($A2,地图配置辅助表!$A$3:$AP$245,地图配置辅助表!I$1,FALSE)</f>
        <v>0</v>
      </c>
      <c r="X2">
        <f>VLOOKUP($A2,地图配置辅助表!$A$3:$AP$245,地图配置辅助表!J$1,FALSE)</f>
        <v>0</v>
      </c>
      <c r="Y2">
        <f>VLOOKUP($A2,地图配置辅助表!$A$3:$AP$245,地图配置辅助表!K$1,FALSE)</f>
        <v>0</v>
      </c>
      <c r="Z2">
        <f>VLOOKUP($A2,地图配置辅助表!$A$3:$AP$245,地图配置辅助表!L$1,FALSE)</f>
        <v>0</v>
      </c>
      <c r="AA2">
        <f>VLOOKUP($A2,地图配置辅助表!$A$3:$AP$245,地图配置辅助表!M$1,FALSE)</f>
        <v>0</v>
      </c>
      <c r="AB2">
        <f>VLOOKUP($A2,地图配置辅助表!$A$3:$AP$245,地图配置辅助表!N$1,FALSE)</f>
        <v>1</v>
      </c>
      <c r="AC2">
        <f>VLOOKUP($A2,地图配置辅助表!$A$3:$AP$245,地图配置辅助表!O$1,FALSE)</f>
        <v>0</v>
      </c>
      <c r="AD2">
        <f>VLOOKUP($A2,地图配置辅助表!$A$3:$AP$245,地图配置辅助表!P$1,FALSE)</f>
        <v>0</v>
      </c>
      <c r="AE2">
        <f>VLOOKUP($A2,地图配置辅助表!$A$3:$AP$245,地图配置辅助表!Q$1,FALSE)</f>
        <v>0</v>
      </c>
      <c r="AF2">
        <f>VLOOKUP($A2,地图配置辅助表!$A$3:$AP$245,地图配置辅助表!R$1,FALSE)</f>
        <v>0</v>
      </c>
      <c r="AG2" s="10">
        <f>VLOOKUP($A2,地图配置辅助表!$A$3:$AP$245,地图配置辅助表!S$1,FALSE)</f>
        <v>0</v>
      </c>
      <c r="AH2" s="10">
        <f>VLOOKUP($A2,地图配置辅助表!$A$3:$AP$245,地图配置辅助表!T$1,FALSE)</f>
        <v>0</v>
      </c>
      <c r="AI2">
        <f>VLOOKUP($A2,地图配置辅助表!$A$3:$AP$245,地图配置辅助表!U$1,FALSE)</f>
        <v>0</v>
      </c>
      <c r="AJ2">
        <f>VLOOKUP($A2,地图配置辅助表!$A$3:$AP$245,地图配置辅助表!V$1,FALSE)</f>
        <v>0</v>
      </c>
      <c r="AK2">
        <f>VLOOKUP($A2,地图配置辅助表!$A$3:$AP$245,地图配置辅助表!W$1,FALSE)</f>
        <v>0</v>
      </c>
      <c r="AL2">
        <f>VLOOKUP($A2,地图配置辅助表!$A$3:$AP$245,地图配置辅助表!X$1,FALSE)</f>
        <v>0</v>
      </c>
      <c r="AM2">
        <f>VLOOKUP($A2,地图配置辅助表!$A$3:$AP$245,地图配置辅助表!Y$1,FALSE)</f>
        <v>0</v>
      </c>
      <c r="AN2">
        <f>VLOOKUP($A2,地图配置辅助表!$A$3:$AP$245,地图配置辅助表!Z$1,FALSE)</f>
        <v>0</v>
      </c>
      <c r="AO2">
        <f>VLOOKUP($A2,地图配置辅助表!$A$3:$AP$245,地图配置辅助表!AA$1,FALSE)</f>
        <v>0</v>
      </c>
      <c r="AP2">
        <f>VLOOKUP($A2,地图配置辅助表!$A$3:$AP$245,地图配置辅助表!AB$1,FALSE)</f>
        <v>0</v>
      </c>
      <c r="AQ2">
        <f>VLOOKUP($A2,地图配置辅助表!$A$3:$AP$245,地图配置辅助表!AC$1,FALSE)</f>
        <v>0</v>
      </c>
      <c r="AR2">
        <f>VLOOKUP($A2,地图配置辅助表!$A$3:$AP$245,地图配置辅助表!AD$1,FALSE)</f>
        <v>0</v>
      </c>
      <c r="AS2">
        <f>VLOOKUP($A2,地图配置辅助表!$A$3:$AP$245,地图配置辅助表!AE$1,FALSE)</f>
        <v>0</v>
      </c>
      <c r="AT2">
        <f>VLOOKUP($A2,地图配置辅助表!$A$3:$AP$245,地图配置辅助表!AF$1,FALSE)</f>
        <v>2</v>
      </c>
      <c r="AU2">
        <f>VLOOKUP($A2,地图配置辅助表!$A$3:$AP$245,地图配置辅助表!AG$1,FALSE)</f>
        <v>70</v>
      </c>
      <c r="AV2">
        <f>VLOOKUP($A2,地图配置辅助表!$A$3:$AP$245,地图配置辅助表!AH$1,FALSE)</f>
        <v>71</v>
      </c>
      <c r="AW2">
        <f>VLOOKUP($A2,地图配置辅助表!$A$3:$AP$245,地图配置辅助表!AI$1,FALSE)</f>
        <v>0</v>
      </c>
      <c r="AX2">
        <f>VLOOKUP($A2,地图配置辅助表!$A$3:$AP$245,地图配置辅助表!AJ$1,FALSE)</f>
        <v>0</v>
      </c>
      <c r="AY2">
        <f>VLOOKUP($A2,地图配置辅助表!$A$3:$AP$245,地图配置辅助表!AK$1,FALSE)</f>
        <v>0</v>
      </c>
      <c r="AZ2">
        <f>VLOOKUP($A2,地图配置辅助表!$A$3:$AP$245,地图配置辅助表!AL$1,FALSE)</f>
        <v>0</v>
      </c>
      <c r="BA2">
        <f>VLOOKUP($A2,地图配置辅助表!$A$3:$AP$245,地图配置辅助表!AM$1,FALSE)</f>
        <v>0</v>
      </c>
      <c r="BB2">
        <f>VLOOKUP($A2,地图配置辅助表!$A$3:$AP$245,地图配置辅助表!AN$1,FALSE)</f>
        <v>0</v>
      </c>
      <c r="BC2">
        <f>VLOOKUP($A2,地图配置辅助表!$A$3:$AP$245,地图配置辅助表!AO$1,FALSE)</f>
        <v>0</v>
      </c>
      <c r="BD2">
        <f>VLOOKUP($A2,地图配置辅助表!$A$3:$AP$245,地图配置辅助表!AP$1,FALSE)</f>
        <v>0</v>
      </c>
    </row>
    <row r="3" spans="1:56" x14ac:dyDescent="0.15">
      <c r="A3">
        <f>地图配置辅助表!A4</f>
        <v>2</v>
      </c>
      <c r="B3">
        <v>0</v>
      </c>
      <c r="C3">
        <v>2</v>
      </c>
      <c r="D3" s="9" t="str">
        <f>地图配置辅助表!D4</f>
        <v>铜锣湾</v>
      </c>
      <c r="G3">
        <v>31</v>
      </c>
      <c r="H3">
        <v>310</v>
      </c>
      <c r="I3">
        <v>130</v>
      </c>
      <c r="J3">
        <v>1750</v>
      </c>
      <c r="K3">
        <v>130</v>
      </c>
      <c r="M3">
        <v>0</v>
      </c>
      <c r="N3">
        <v>30</v>
      </c>
      <c r="O3">
        <v>100</v>
      </c>
      <c r="P3">
        <v>2170</v>
      </c>
      <c r="Q3">
        <v>10</v>
      </c>
      <c r="R3" t="s">
        <v>244</v>
      </c>
      <c r="S3" s="10">
        <f>VLOOKUP($A3,地图配置辅助表!$A$3:$AP$245,地图配置辅助表!E$1,FALSE)</f>
        <v>0</v>
      </c>
      <c r="T3">
        <f>VLOOKUP($A3,地图配置辅助表!$A$3:$AP$245,地图配置辅助表!F$1,FALSE)</f>
        <v>0</v>
      </c>
      <c r="U3">
        <f>VLOOKUP($A3,地图配置辅助表!$A$3:$AP$245,地图配置辅助表!G$1,FALSE)</f>
        <v>0</v>
      </c>
      <c r="V3">
        <f>VLOOKUP($A3,地图配置辅助表!$A$3:$AP$245,地图配置辅助表!H$1,FALSE)</f>
        <v>0</v>
      </c>
      <c r="W3">
        <f>VLOOKUP($A3,地图配置辅助表!$A$3:$AP$245,地图配置辅助表!I$1,FALSE)</f>
        <v>0</v>
      </c>
      <c r="X3">
        <f>VLOOKUP($A3,地图配置辅助表!$A$3:$AP$245,地图配置辅助表!J$1,FALSE)</f>
        <v>0</v>
      </c>
      <c r="Y3">
        <f>VLOOKUP($A3,地图配置辅助表!$A$3:$AP$245,地图配置辅助表!K$1,FALSE)</f>
        <v>0</v>
      </c>
      <c r="Z3">
        <f>VLOOKUP($A3,地图配置辅助表!$A$3:$AP$245,地图配置辅助表!L$1,FALSE)</f>
        <v>0</v>
      </c>
      <c r="AA3">
        <f>VLOOKUP($A3,地图配置辅助表!$A$3:$AP$245,地图配置辅助表!M$1,FALSE)</f>
        <v>2</v>
      </c>
      <c r="AB3">
        <f>VLOOKUP($A3,地图配置辅助表!$A$3:$AP$245,地图配置辅助表!N$1,FALSE)</f>
        <v>1</v>
      </c>
      <c r="AC3">
        <f>VLOOKUP($A3,地图配置辅助表!$A$3:$AP$245,地图配置辅助表!O$1,FALSE)</f>
        <v>1</v>
      </c>
      <c r="AD3">
        <f>VLOOKUP($A3,地图配置辅助表!$A$3:$AP$245,地图配置辅助表!P$1,FALSE)</f>
        <v>9</v>
      </c>
      <c r="AE3">
        <f>VLOOKUP($A3,地图配置辅助表!$A$3:$AP$245,地图配置辅助表!Q$1,FALSE)</f>
        <v>3</v>
      </c>
      <c r="AF3">
        <f>VLOOKUP($A3,地图配置辅助表!$A$3:$AP$245,地图配置辅助表!R$1,FALSE)</f>
        <v>1006</v>
      </c>
      <c r="AG3" s="10">
        <f>VLOOKUP($A3,地图配置辅助表!$A$3:$AP$245,地图配置辅助表!S$1,FALSE)</f>
        <v>0</v>
      </c>
      <c r="AH3" s="10">
        <f>VLOOKUP($A3,地图配置辅助表!$A$3:$AP$245,地图配置辅助表!T$1,FALSE)</f>
        <v>0</v>
      </c>
      <c r="AI3">
        <f>VLOOKUP($A3,地图配置辅助表!$A$3:$AP$245,地图配置辅助表!U$1,FALSE)</f>
        <v>0</v>
      </c>
      <c r="AJ3">
        <f>VLOOKUP($A3,地图配置辅助表!$A$3:$AP$245,地图配置辅助表!V$1,FALSE)</f>
        <v>0</v>
      </c>
      <c r="AK3">
        <f>VLOOKUP($A3,地图配置辅助表!$A$3:$AP$245,地图配置辅助表!W$1,FALSE)</f>
        <v>0</v>
      </c>
      <c r="AL3">
        <f>VLOOKUP($A3,地图配置辅助表!$A$3:$AP$245,地图配置辅助表!X$1,FALSE)</f>
        <v>0</v>
      </c>
      <c r="AM3">
        <f>VLOOKUP($A3,地图配置辅助表!$A$3:$AP$245,地图配置辅助表!Y$1,FALSE)</f>
        <v>0</v>
      </c>
      <c r="AN3">
        <f>VLOOKUP($A3,地图配置辅助表!$A$3:$AP$245,地图配置辅助表!Z$1,FALSE)</f>
        <v>0</v>
      </c>
      <c r="AO3">
        <f>VLOOKUP($A3,地图配置辅助表!$A$3:$AP$245,地图配置辅助表!AA$1,FALSE)</f>
        <v>0</v>
      </c>
      <c r="AP3">
        <f>VLOOKUP($A3,地图配置辅助表!$A$3:$AP$245,地图配置辅助表!AB$1,FALSE)</f>
        <v>0</v>
      </c>
      <c r="AQ3">
        <f>VLOOKUP($A3,地图配置辅助表!$A$3:$AP$245,地图配置辅助表!AC$1,FALSE)</f>
        <v>0</v>
      </c>
      <c r="AR3">
        <f>VLOOKUP($A3,地图配置辅助表!$A$3:$AP$245,地图配置辅助表!AD$1,FALSE)</f>
        <v>0</v>
      </c>
      <c r="AS3">
        <f>VLOOKUP($A3,地图配置辅助表!$A$3:$AP$245,地图配置辅助表!AE$1,FALSE)</f>
        <v>0</v>
      </c>
      <c r="AT3">
        <f>VLOOKUP($A3,地图配置辅助表!$A$3:$AP$245,地图配置辅助表!AF$1,FALSE)</f>
        <v>3</v>
      </c>
      <c r="AU3">
        <f>VLOOKUP($A3,地图配置辅助表!$A$3:$AP$245,地图配置辅助表!AG$1,FALSE)</f>
        <v>60</v>
      </c>
      <c r="AV3">
        <f>VLOOKUP($A3,地图配置辅助表!$A$3:$AP$245,地图配置辅助表!AH$1,FALSE)</f>
        <v>61</v>
      </c>
      <c r="AW3">
        <f>VLOOKUP($A3,地图配置辅助表!$A$3:$AP$245,地图配置辅助表!AI$1,FALSE)</f>
        <v>62</v>
      </c>
      <c r="AX3">
        <f>VLOOKUP($A3,地图配置辅助表!$A$3:$AP$245,地图配置辅助表!AJ$1,FALSE)</f>
        <v>0</v>
      </c>
      <c r="AY3">
        <f>VLOOKUP($A3,地图配置辅助表!$A$3:$AP$245,地图配置辅助表!AK$1,FALSE)</f>
        <v>0</v>
      </c>
      <c r="AZ3">
        <f>VLOOKUP($A3,地图配置辅助表!$A$3:$AP$245,地图配置辅助表!AL$1,FALSE)</f>
        <v>0</v>
      </c>
      <c r="BA3">
        <f>VLOOKUP($A3,地图配置辅助表!$A$3:$AP$245,地图配置辅助表!AM$1,FALSE)</f>
        <v>0</v>
      </c>
      <c r="BB3">
        <f>VLOOKUP($A3,地图配置辅助表!$A$3:$AP$245,地图配置辅助表!AN$1,FALSE)</f>
        <v>0</v>
      </c>
      <c r="BC3">
        <f>VLOOKUP($A3,地图配置辅助表!$A$3:$AP$245,地图配置辅助表!AO$1,FALSE)</f>
        <v>0</v>
      </c>
      <c r="BD3">
        <f>VLOOKUP($A3,地图配置辅助表!$A$3:$AP$245,地图配置辅助表!AP$1,FALSE)</f>
        <v>0</v>
      </c>
    </row>
    <row r="4" spans="1:56" x14ac:dyDescent="0.15">
      <c r="A4">
        <f>地图配置辅助表!A5</f>
        <v>3</v>
      </c>
      <c r="B4">
        <v>0</v>
      </c>
      <c r="C4">
        <v>3</v>
      </c>
      <c r="D4" s="9" t="str">
        <f>地图配置辅助表!D5</f>
        <v>维多利亚港</v>
      </c>
      <c r="G4">
        <v>31</v>
      </c>
      <c r="H4">
        <v>310</v>
      </c>
      <c r="I4">
        <v>130</v>
      </c>
      <c r="J4">
        <v>1750</v>
      </c>
      <c r="K4">
        <v>130</v>
      </c>
      <c r="M4">
        <v>0</v>
      </c>
      <c r="N4">
        <v>30</v>
      </c>
      <c r="O4">
        <v>100</v>
      </c>
      <c r="P4">
        <v>2170</v>
      </c>
      <c r="Q4">
        <v>10</v>
      </c>
      <c r="R4" t="s">
        <v>245</v>
      </c>
      <c r="S4" s="10">
        <f>VLOOKUP($A4,地图配置辅助表!$A$3:$AP$245,地图配置辅助表!E$1,FALSE)</f>
        <v>0</v>
      </c>
      <c r="T4">
        <f>VLOOKUP($A4,地图配置辅助表!$A$3:$AP$245,地图配置辅助表!F$1,FALSE)</f>
        <v>0</v>
      </c>
      <c r="U4">
        <f>VLOOKUP($A4,地图配置辅助表!$A$3:$AP$245,地图配置辅助表!G$1,FALSE)</f>
        <v>0</v>
      </c>
      <c r="V4">
        <f>VLOOKUP($A4,地图配置辅助表!$A$3:$AP$245,地图配置辅助表!H$1,FALSE)</f>
        <v>0</v>
      </c>
      <c r="W4">
        <f>VLOOKUP($A4,地图配置辅助表!$A$3:$AP$245,地图配置辅助表!I$1,FALSE)</f>
        <v>0</v>
      </c>
      <c r="X4">
        <f>VLOOKUP($A4,地图配置辅助表!$A$3:$AP$245,地图配置辅助表!J$1,FALSE)</f>
        <v>0</v>
      </c>
      <c r="Y4">
        <f>VLOOKUP($A4,地图配置辅助表!$A$3:$AP$245,地图配置辅助表!K$1,FALSE)</f>
        <v>0</v>
      </c>
      <c r="Z4">
        <f>VLOOKUP($A4,地图配置辅助表!$A$3:$AP$245,地图配置辅助表!L$1,FALSE)</f>
        <v>0</v>
      </c>
      <c r="AA4">
        <f>VLOOKUP($A4,地图配置辅助表!$A$3:$AP$245,地图配置辅助表!M$1,FALSE)</f>
        <v>2</v>
      </c>
      <c r="AB4">
        <f>VLOOKUP($A4,地图配置辅助表!$A$3:$AP$245,地图配置辅助表!N$1,FALSE)</f>
        <v>1</v>
      </c>
      <c r="AC4">
        <f>VLOOKUP($A4,地图配置辅助表!$A$3:$AP$245,地图配置辅助表!O$1,FALSE)</f>
        <v>1</v>
      </c>
      <c r="AD4">
        <f>VLOOKUP($A4,地图配置辅助表!$A$3:$AP$245,地图配置辅助表!P$1,FALSE)</f>
        <v>20</v>
      </c>
      <c r="AE4">
        <f>VLOOKUP($A4,地图配置辅助表!$A$3:$AP$245,地图配置辅助表!Q$1,FALSE)</f>
        <v>3</v>
      </c>
      <c r="AF4">
        <f>VLOOKUP($A4,地图配置辅助表!$A$3:$AP$245,地图配置辅助表!R$1,FALSE)</f>
        <v>2006</v>
      </c>
      <c r="AG4" s="10">
        <f>VLOOKUP($A4,地图配置辅助表!$A$3:$AP$245,地图配置辅助表!S$1,FALSE)</f>
        <v>0</v>
      </c>
      <c r="AH4" s="10">
        <f>VLOOKUP($A4,地图配置辅助表!$A$3:$AP$245,地图配置辅助表!T$1,FALSE)</f>
        <v>0</v>
      </c>
      <c r="AI4">
        <f>VLOOKUP($A4,地图配置辅助表!$A$3:$AP$245,地图配置辅助表!U$1,FALSE)</f>
        <v>0</v>
      </c>
      <c r="AJ4">
        <f>VLOOKUP($A4,地图配置辅助表!$A$3:$AP$245,地图配置辅助表!V$1,FALSE)</f>
        <v>0</v>
      </c>
      <c r="AK4">
        <f>VLOOKUP($A4,地图配置辅助表!$A$3:$AP$245,地图配置辅助表!W$1,FALSE)</f>
        <v>0</v>
      </c>
      <c r="AL4">
        <f>VLOOKUP($A4,地图配置辅助表!$A$3:$AP$245,地图配置辅助表!X$1,FALSE)</f>
        <v>0</v>
      </c>
      <c r="AM4">
        <f>VLOOKUP($A4,地图配置辅助表!$A$3:$AP$245,地图配置辅助表!Y$1,FALSE)</f>
        <v>0</v>
      </c>
      <c r="AN4">
        <f>VLOOKUP($A4,地图配置辅助表!$A$3:$AP$245,地图配置辅助表!Z$1,FALSE)</f>
        <v>0</v>
      </c>
      <c r="AO4">
        <f>VLOOKUP($A4,地图配置辅助表!$A$3:$AP$245,地图配置辅助表!AA$1,FALSE)</f>
        <v>0</v>
      </c>
      <c r="AP4">
        <f>VLOOKUP($A4,地图配置辅助表!$A$3:$AP$245,地图配置辅助表!AB$1,FALSE)</f>
        <v>0</v>
      </c>
      <c r="AQ4">
        <f>VLOOKUP($A4,地图配置辅助表!$A$3:$AP$245,地图配置辅助表!AC$1,FALSE)</f>
        <v>0</v>
      </c>
      <c r="AR4">
        <f>VLOOKUP($A4,地图配置辅助表!$A$3:$AP$245,地图配置辅助表!AD$1,FALSE)</f>
        <v>0</v>
      </c>
      <c r="AS4">
        <f>VLOOKUP($A4,地图配置辅助表!$A$3:$AP$245,地图配置辅助表!AE$1,FALSE)</f>
        <v>0</v>
      </c>
      <c r="AT4">
        <f>VLOOKUP($A4,地图配置辅助表!$A$3:$AP$245,地图配置辅助表!AF$1,FALSE)</f>
        <v>0</v>
      </c>
      <c r="AU4">
        <f>VLOOKUP($A4,地图配置辅助表!$A$3:$AP$245,地图配置辅助表!AG$1,FALSE)</f>
        <v>0</v>
      </c>
      <c r="AV4">
        <f>VLOOKUP($A4,地图配置辅助表!$A$3:$AP$245,地图配置辅助表!AH$1,FALSE)</f>
        <v>0</v>
      </c>
      <c r="AW4">
        <f>VLOOKUP($A4,地图配置辅助表!$A$3:$AP$245,地图配置辅助表!AI$1,FALSE)</f>
        <v>0</v>
      </c>
      <c r="AX4">
        <f>VLOOKUP($A4,地图配置辅助表!$A$3:$AP$245,地图配置辅助表!AJ$1,FALSE)</f>
        <v>0</v>
      </c>
      <c r="AY4">
        <f>VLOOKUP($A4,地图配置辅助表!$A$3:$AP$245,地图配置辅助表!AK$1,FALSE)</f>
        <v>0</v>
      </c>
      <c r="AZ4">
        <f>VLOOKUP($A4,地图配置辅助表!$A$3:$AP$245,地图配置辅助表!AL$1,FALSE)</f>
        <v>0</v>
      </c>
      <c r="BA4">
        <f>VLOOKUP($A4,地图配置辅助表!$A$3:$AP$245,地图配置辅助表!AM$1,FALSE)</f>
        <v>0</v>
      </c>
      <c r="BB4">
        <f>VLOOKUP($A4,地图配置辅助表!$A$3:$AP$245,地图配置辅助表!AN$1,FALSE)</f>
        <v>0</v>
      </c>
      <c r="BC4">
        <f>VLOOKUP($A4,地图配置辅助表!$A$3:$AP$245,地图配置辅助表!AO$1,FALSE)</f>
        <v>0</v>
      </c>
      <c r="BD4">
        <f>VLOOKUP($A4,地图配置辅助表!$A$3:$AP$245,地图配置辅助表!AP$1,FALSE)</f>
        <v>0</v>
      </c>
    </row>
    <row r="5" spans="1:56" x14ac:dyDescent="0.15">
      <c r="A5">
        <f>地图配置辅助表!A6</f>
        <v>4</v>
      </c>
      <c r="B5">
        <v>0</v>
      </c>
      <c r="C5">
        <v>4</v>
      </c>
      <c r="D5" s="9" t="str">
        <f>地图配置辅助表!D6</f>
        <v>澳门</v>
      </c>
      <c r="G5">
        <v>31</v>
      </c>
      <c r="H5">
        <v>310</v>
      </c>
      <c r="I5">
        <v>130</v>
      </c>
      <c r="J5">
        <v>1750</v>
      </c>
      <c r="K5">
        <v>130</v>
      </c>
      <c r="M5">
        <v>0</v>
      </c>
      <c r="N5">
        <v>30</v>
      </c>
      <c r="O5">
        <v>100</v>
      </c>
      <c r="P5">
        <v>2170</v>
      </c>
      <c r="Q5">
        <v>10</v>
      </c>
      <c r="R5" t="s">
        <v>246</v>
      </c>
      <c r="S5" s="10">
        <f>VLOOKUP($A5,地图配置辅助表!$A$3:$AP$245,地图配置辅助表!E$1,FALSE)</f>
        <v>0</v>
      </c>
      <c r="T5">
        <f>VLOOKUP($A5,地图配置辅助表!$A$3:$AP$245,地图配置辅助表!F$1,FALSE)</f>
        <v>0</v>
      </c>
      <c r="U5">
        <f>VLOOKUP($A5,地图配置辅助表!$A$3:$AP$245,地图配置辅助表!G$1,FALSE)</f>
        <v>0</v>
      </c>
      <c r="V5">
        <f>VLOOKUP($A5,地图配置辅助表!$A$3:$AP$245,地图配置辅助表!H$1,FALSE)</f>
        <v>0</v>
      </c>
      <c r="W5">
        <f>VLOOKUP($A5,地图配置辅助表!$A$3:$AP$245,地图配置辅助表!I$1,FALSE)</f>
        <v>0</v>
      </c>
      <c r="X5">
        <f>VLOOKUP($A5,地图配置辅助表!$A$3:$AP$245,地图配置辅助表!J$1,FALSE)</f>
        <v>0</v>
      </c>
      <c r="Y5">
        <f>VLOOKUP($A5,地图配置辅助表!$A$3:$AP$245,地图配置辅助表!K$1,FALSE)</f>
        <v>0</v>
      </c>
      <c r="Z5">
        <f>VLOOKUP($A5,地图配置辅助表!$A$3:$AP$245,地图配置辅助表!L$1,FALSE)</f>
        <v>0</v>
      </c>
      <c r="AA5">
        <f>VLOOKUP($A5,地图配置辅助表!$A$3:$AP$245,地图配置辅助表!M$1,FALSE)</f>
        <v>2</v>
      </c>
      <c r="AB5">
        <f>VLOOKUP($A5,地图配置辅助表!$A$3:$AP$245,地图配置辅助表!N$1,FALSE)</f>
        <v>1</v>
      </c>
      <c r="AC5">
        <f>VLOOKUP($A5,地图配置辅助表!$A$3:$AP$245,地图配置辅助表!O$1,FALSE)</f>
        <v>1</v>
      </c>
      <c r="AD5">
        <f>VLOOKUP($A5,地图配置辅助表!$A$3:$AP$245,地图配置辅助表!P$1,FALSE)</f>
        <v>29</v>
      </c>
      <c r="AE5">
        <f>VLOOKUP($A5,地图配置辅助表!$A$3:$AP$245,地图配置辅助表!Q$1,FALSE)</f>
        <v>3</v>
      </c>
      <c r="AF5">
        <f>VLOOKUP($A5,地图配置辅助表!$A$3:$AP$245,地图配置辅助表!R$1,FALSE)</f>
        <v>3006</v>
      </c>
      <c r="AG5" s="10">
        <f>VLOOKUP($A5,地图配置辅助表!$A$3:$AP$245,地图配置辅助表!S$1,FALSE)</f>
        <v>0</v>
      </c>
      <c r="AH5" s="10">
        <f>VLOOKUP($A5,地图配置辅助表!$A$3:$AP$245,地图配置辅助表!T$1,FALSE)</f>
        <v>0</v>
      </c>
      <c r="AI5">
        <f>VLOOKUP($A5,地图配置辅助表!$A$3:$AP$245,地图配置辅助表!U$1,FALSE)</f>
        <v>0</v>
      </c>
      <c r="AJ5">
        <f>VLOOKUP($A5,地图配置辅助表!$A$3:$AP$245,地图配置辅助表!V$1,FALSE)</f>
        <v>0</v>
      </c>
      <c r="AK5">
        <f>VLOOKUP($A5,地图配置辅助表!$A$3:$AP$245,地图配置辅助表!W$1,FALSE)</f>
        <v>0</v>
      </c>
      <c r="AL5">
        <f>VLOOKUP($A5,地图配置辅助表!$A$3:$AP$245,地图配置辅助表!X$1,FALSE)</f>
        <v>0</v>
      </c>
      <c r="AM5">
        <f>VLOOKUP($A5,地图配置辅助表!$A$3:$AP$245,地图配置辅助表!Y$1,FALSE)</f>
        <v>0</v>
      </c>
      <c r="AN5">
        <f>VLOOKUP($A5,地图配置辅助表!$A$3:$AP$245,地图配置辅助表!Z$1,FALSE)</f>
        <v>0</v>
      </c>
      <c r="AO5">
        <f>VLOOKUP($A5,地图配置辅助表!$A$3:$AP$245,地图配置辅助表!AA$1,FALSE)</f>
        <v>0</v>
      </c>
      <c r="AP5">
        <f>VLOOKUP($A5,地图配置辅助表!$A$3:$AP$245,地图配置辅助表!AB$1,FALSE)</f>
        <v>0</v>
      </c>
      <c r="AQ5">
        <f>VLOOKUP($A5,地图配置辅助表!$A$3:$AP$245,地图配置辅助表!AC$1,FALSE)</f>
        <v>0</v>
      </c>
      <c r="AR5">
        <f>VLOOKUP($A5,地图配置辅助表!$A$3:$AP$245,地图配置辅助表!AD$1,FALSE)</f>
        <v>0</v>
      </c>
      <c r="AS5">
        <f>VLOOKUP($A5,地图配置辅助表!$A$3:$AP$245,地图配置辅助表!AE$1,FALSE)</f>
        <v>0</v>
      </c>
      <c r="AT5">
        <f>VLOOKUP($A5,地图配置辅助表!$A$3:$AP$245,地图配置辅助表!AF$1,FALSE)</f>
        <v>0</v>
      </c>
      <c r="AU5">
        <f>VLOOKUP($A5,地图配置辅助表!$A$3:$AP$245,地图配置辅助表!AG$1,FALSE)</f>
        <v>0</v>
      </c>
      <c r="AV5">
        <f>VLOOKUP($A5,地图配置辅助表!$A$3:$AP$245,地图配置辅助表!AH$1,FALSE)</f>
        <v>0</v>
      </c>
      <c r="AW5">
        <f>VLOOKUP($A5,地图配置辅助表!$A$3:$AP$245,地图配置辅助表!AI$1,FALSE)</f>
        <v>0</v>
      </c>
      <c r="AX5">
        <f>VLOOKUP($A5,地图配置辅助表!$A$3:$AP$245,地图配置辅助表!AJ$1,FALSE)</f>
        <v>0</v>
      </c>
      <c r="AY5">
        <f>VLOOKUP($A5,地图配置辅助表!$A$3:$AP$245,地图配置辅助表!AK$1,FALSE)</f>
        <v>0</v>
      </c>
      <c r="AZ5">
        <f>VLOOKUP($A5,地图配置辅助表!$A$3:$AP$245,地图配置辅助表!AL$1,FALSE)</f>
        <v>0</v>
      </c>
      <c r="BA5">
        <f>VLOOKUP($A5,地图配置辅助表!$A$3:$AP$245,地图配置辅助表!AM$1,FALSE)</f>
        <v>0</v>
      </c>
      <c r="BB5">
        <f>VLOOKUP($A5,地图配置辅助表!$A$3:$AP$245,地图配置辅助表!AN$1,FALSE)</f>
        <v>0</v>
      </c>
      <c r="BC5">
        <f>VLOOKUP($A5,地图配置辅助表!$A$3:$AP$245,地图配置辅助表!AO$1,FALSE)</f>
        <v>0</v>
      </c>
      <c r="BD5">
        <f>VLOOKUP($A5,地图配置辅助表!$A$3:$AP$245,地图配置辅助表!AP$1,FALSE)</f>
        <v>0</v>
      </c>
    </row>
    <row r="6" spans="1:56" x14ac:dyDescent="0.15">
      <c r="A6">
        <f>地图配置辅助表!A7</f>
        <v>5</v>
      </c>
      <c r="B6">
        <v>0</v>
      </c>
      <c r="C6">
        <v>5</v>
      </c>
      <c r="D6" s="9" t="str">
        <f>地图配置辅助表!D7</f>
        <v>日月潭</v>
      </c>
      <c r="G6">
        <v>32</v>
      </c>
      <c r="H6">
        <v>310</v>
      </c>
      <c r="I6">
        <v>130</v>
      </c>
      <c r="J6">
        <v>1750</v>
      </c>
      <c r="K6">
        <v>130</v>
      </c>
      <c r="M6">
        <v>0</v>
      </c>
      <c r="N6">
        <v>30</v>
      </c>
      <c r="O6">
        <v>100</v>
      </c>
      <c r="P6">
        <v>2170</v>
      </c>
      <c r="Q6">
        <v>10</v>
      </c>
      <c r="R6" t="s">
        <v>247</v>
      </c>
      <c r="S6" s="10">
        <f>VLOOKUP($A6,地图配置辅助表!$A$3:$AP$245,地图配置辅助表!E$1,FALSE)</f>
        <v>0</v>
      </c>
      <c r="T6">
        <f>VLOOKUP($A6,地图配置辅助表!$A$3:$AP$245,地图配置辅助表!F$1,FALSE)</f>
        <v>0</v>
      </c>
      <c r="U6">
        <f>VLOOKUP($A6,地图配置辅助表!$A$3:$AP$245,地图配置辅助表!G$1,FALSE)</f>
        <v>0</v>
      </c>
      <c r="V6">
        <f>VLOOKUP($A6,地图配置辅助表!$A$3:$AP$245,地图配置辅助表!H$1,FALSE)</f>
        <v>0</v>
      </c>
      <c r="W6">
        <f>VLOOKUP($A6,地图配置辅助表!$A$3:$AP$245,地图配置辅助表!I$1,FALSE)</f>
        <v>0</v>
      </c>
      <c r="X6">
        <f>VLOOKUP($A6,地图配置辅助表!$A$3:$AP$245,地图配置辅助表!J$1,FALSE)</f>
        <v>0</v>
      </c>
      <c r="Y6">
        <f>VLOOKUP($A6,地图配置辅助表!$A$3:$AP$245,地图配置辅助表!K$1,FALSE)</f>
        <v>0</v>
      </c>
      <c r="Z6">
        <f>VLOOKUP($A6,地图配置辅助表!$A$3:$AP$245,地图配置辅助表!L$1,FALSE)</f>
        <v>0</v>
      </c>
      <c r="AA6">
        <f>VLOOKUP($A6,地图配置辅助表!$A$3:$AP$245,地图配置辅助表!M$1,FALSE)</f>
        <v>2</v>
      </c>
      <c r="AB6">
        <f>VLOOKUP($A6,地图配置辅助表!$A$3:$AP$245,地图配置辅助表!N$1,FALSE)</f>
        <v>1</v>
      </c>
      <c r="AC6">
        <f>VLOOKUP($A6,地图配置辅助表!$A$3:$AP$245,地图配置辅助表!O$1,FALSE)</f>
        <v>1</v>
      </c>
      <c r="AD6">
        <f>VLOOKUP($A6,地图配置辅助表!$A$3:$AP$245,地图配置辅助表!P$1,FALSE)</f>
        <v>35</v>
      </c>
      <c r="AE6">
        <f>VLOOKUP($A6,地图配置辅助表!$A$3:$AP$245,地图配置辅助表!Q$1,FALSE)</f>
        <v>3</v>
      </c>
      <c r="AF6">
        <f>VLOOKUP($A6,地图配置辅助表!$A$3:$AP$245,地图配置辅助表!R$1,FALSE)</f>
        <v>4006</v>
      </c>
      <c r="AG6" s="10">
        <f>VLOOKUP($A6,地图配置辅助表!$A$3:$AP$245,地图配置辅助表!S$1,FALSE)</f>
        <v>0</v>
      </c>
      <c r="AH6" s="10">
        <f>VLOOKUP($A6,地图配置辅助表!$A$3:$AP$245,地图配置辅助表!T$1,FALSE)</f>
        <v>0</v>
      </c>
      <c r="AI6">
        <f>VLOOKUP($A6,地图配置辅助表!$A$3:$AP$245,地图配置辅助表!U$1,FALSE)</f>
        <v>0</v>
      </c>
      <c r="AJ6">
        <f>VLOOKUP($A6,地图配置辅助表!$A$3:$AP$245,地图配置辅助表!V$1,FALSE)</f>
        <v>0</v>
      </c>
      <c r="AK6">
        <f>VLOOKUP($A6,地图配置辅助表!$A$3:$AP$245,地图配置辅助表!W$1,FALSE)</f>
        <v>0</v>
      </c>
      <c r="AL6">
        <f>VLOOKUP($A6,地图配置辅助表!$A$3:$AP$245,地图配置辅助表!X$1,FALSE)</f>
        <v>0</v>
      </c>
      <c r="AM6">
        <f>VLOOKUP($A6,地图配置辅助表!$A$3:$AP$245,地图配置辅助表!Y$1,FALSE)</f>
        <v>0</v>
      </c>
      <c r="AN6">
        <f>VLOOKUP($A6,地图配置辅助表!$A$3:$AP$245,地图配置辅助表!Z$1,FALSE)</f>
        <v>0</v>
      </c>
      <c r="AO6">
        <f>VLOOKUP($A6,地图配置辅助表!$A$3:$AP$245,地图配置辅助表!AA$1,FALSE)</f>
        <v>0</v>
      </c>
      <c r="AP6">
        <f>VLOOKUP($A6,地图配置辅助表!$A$3:$AP$245,地图配置辅助表!AB$1,FALSE)</f>
        <v>0</v>
      </c>
      <c r="AQ6">
        <f>VLOOKUP($A6,地图配置辅助表!$A$3:$AP$245,地图配置辅助表!AC$1,FALSE)</f>
        <v>0</v>
      </c>
      <c r="AR6">
        <f>VLOOKUP($A6,地图配置辅助表!$A$3:$AP$245,地图配置辅助表!AD$1,FALSE)</f>
        <v>0</v>
      </c>
      <c r="AS6">
        <f>VLOOKUP($A6,地图配置辅助表!$A$3:$AP$245,地图配置辅助表!AE$1,FALSE)</f>
        <v>0</v>
      </c>
      <c r="AT6">
        <f>VLOOKUP($A6,地图配置辅助表!$A$3:$AP$245,地图配置辅助表!AF$1,FALSE)</f>
        <v>0</v>
      </c>
      <c r="AU6">
        <f>VLOOKUP($A6,地图配置辅助表!$A$3:$AP$245,地图配置辅助表!AG$1,FALSE)</f>
        <v>0</v>
      </c>
      <c r="AV6">
        <f>VLOOKUP($A6,地图配置辅助表!$A$3:$AP$245,地图配置辅助表!AH$1,FALSE)</f>
        <v>0</v>
      </c>
      <c r="AW6">
        <f>VLOOKUP($A6,地图配置辅助表!$A$3:$AP$245,地图配置辅助表!AI$1,FALSE)</f>
        <v>0</v>
      </c>
      <c r="AX6">
        <f>VLOOKUP($A6,地图配置辅助表!$A$3:$AP$245,地图配置辅助表!AJ$1,FALSE)</f>
        <v>0</v>
      </c>
      <c r="AY6">
        <f>VLOOKUP($A6,地图配置辅助表!$A$3:$AP$245,地图配置辅助表!AK$1,FALSE)</f>
        <v>0</v>
      </c>
      <c r="AZ6">
        <f>VLOOKUP($A6,地图配置辅助表!$A$3:$AP$245,地图配置辅助表!AL$1,FALSE)</f>
        <v>0</v>
      </c>
      <c r="BA6">
        <f>VLOOKUP($A6,地图配置辅助表!$A$3:$AP$245,地图配置辅助表!AM$1,FALSE)</f>
        <v>0</v>
      </c>
      <c r="BB6">
        <f>VLOOKUP($A6,地图配置辅助表!$A$3:$AP$245,地图配置辅助表!AN$1,FALSE)</f>
        <v>0</v>
      </c>
      <c r="BC6">
        <f>VLOOKUP($A6,地图配置辅助表!$A$3:$AP$245,地图配置辅助表!AO$1,FALSE)</f>
        <v>0</v>
      </c>
      <c r="BD6">
        <f>VLOOKUP($A6,地图配置辅助表!$A$3:$AP$245,地图配置辅助表!AP$1,FALSE)</f>
        <v>0</v>
      </c>
    </row>
    <row r="7" spans="1:56" x14ac:dyDescent="0.15">
      <c r="A7">
        <f>地图配置辅助表!A8</f>
        <v>6</v>
      </c>
      <c r="B7">
        <v>0</v>
      </c>
      <c r="C7">
        <v>6</v>
      </c>
      <c r="D7" s="9" t="str">
        <f>地图配置辅助表!D8</f>
        <v>富士山</v>
      </c>
      <c r="G7">
        <v>32</v>
      </c>
      <c r="H7">
        <v>310</v>
      </c>
      <c r="I7">
        <v>130</v>
      </c>
      <c r="J7">
        <v>1750</v>
      </c>
      <c r="K7">
        <v>130</v>
      </c>
      <c r="M7">
        <v>0</v>
      </c>
      <c r="N7">
        <v>30</v>
      </c>
      <c r="O7">
        <v>100</v>
      </c>
      <c r="P7">
        <v>2170</v>
      </c>
      <c r="Q7">
        <v>10</v>
      </c>
      <c r="R7" t="s">
        <v>248</v>
      </c>
      <c r="S7" s="10">
        <f>VLOOKUP($A7,地图配置辅助表!$A$3:$AP$245,地图配置辅助表!E$1,FALSE)</f>
        <v>0</v>
      </c>
      <c r="T7">
        <f>VLOOKUP($A7,地图配置辅助表!$A$3:$AP$245,地图配置辅助表!F$1,FALSE)</f>
        <v>0</v>
      </c>
      <c r="U7">
        <f>VLOOKUP($A7,地图配置辅助表!$A$3:$AP$245,地图配置辅助表!G$1,FALSE)</f>
        <v>0</v>
      </c>
      <c r="V7">
        <f>VLOOKUP($A7,地图配置辅助表!$A$3:$AP$245,地图配置辅助表!H$1,FALSE)</f>
        <v>0</v>
      </c>
      <c r="W7">
        <f>VLOOKUP($A7,地图配置辅助表!$A$3:$AP$245,地图配置辅助表!I$1,FALSE)</f>
        <v>0</v>
      </c>
      <c r="X7">
        <f>VLOOKUP($A7,地图配置辅助表!$A$3:$AP$245,地图配置辅助表!J$1,FALSE)</f>
        <v>0</v>
      </c>
      <c r="Y7">
        <f>VLOOKUP($A7,地图配置辅助表!$A$3:$AP$245,地图配置辅助表!K$1,FALSE)</f>
        <v>0</v>
      </c>
      <c r="Z7">
        <f>VLOOKUP($A7,地图配置辅助表!$A$3:$AP$245,地图配置辅助表!L$1,FALSE)</f>
        <v>0</v>
      </c>
      <c r="AA7">
        <f>VLOOKUP($A7,地图配置辅助表!$A$3:$AP$245,地图配置辅助表!M$1,FALSE)</f>
        <v>2</v>
      </c>
      <c r="AB7">
        <f>VLOOKUP($A7,地图配置辅助表!$A$3:$AP$245,地图配置辅助表!N$1,FALSE)</f>
        <v>1</v>
      </c>
      <c r="AC7">
        <f>VLOOKUP($A7,地图配置辅助表!$A$3:$AP$245,地图配置辅助表!O$1,FALSE)</f>
        <v>1</v>
      </c>
      <c r="AD7">
        <f>VLOOKUP($A7,地图配置辅助表!$A$3:$AP$245,地图配置辅助表!P$1,FALSE)</f>
        <v>41</v>
      </c>
      <c r="AE7">
        <f>VLOOKUP($A7,地图配置辅助表!$A$3:$AP$245,地图配置辅助表!Q$1,FALSE)</f>
        <v>3</v>
      </c>
      <c r="AF7">
        <f>VLOOKUP($A7,地图配置辅助表!$A$3:$AP$245,地图配置辅助表!R$1,FALSE)</f>
        <v>5006</v>
      </c>
      <c r="AG7" s="10">
        <f>VLOOKUP($A7,地图配置辅助表!$A$3:$AP$245,地图配置辅助表!S$1,FALSE)</f>
        <v>0</v>
      </c>
      <c r="AH7" s="10">
        <f>VLOOKUP($A7,地图配置辅助表!$A$3:$AP$245,地图配置辅助表!T$1,FALSE)</f>
        <v>0</v>
      </c>
      <c r="AI7">
        <f>VLOOKUP($A7,地图配置辅助表!$A$3:$AP$245,地图配置辅助表!U$1,FALSE)</f>
        <v>0</v>
      </c>
      <c r="AJ7">
        <f>VLOOKUP($A7,地图配置辅助表!$A$3:$AP$245,地图配置辅助表!V$1,FALSE)</f>
        <v>0</v>
      </c>
      <c r="AK7">
        <f>VLOOKUP($A7,地图配置辅助表!$A$3:$AP$245,地图配置辅助表!W$1,FALSE)</f>
        <v>0</v>
      </c>
      <c r="AL7">
        <f>VLOOKUP($A7,地图配置辅助表!$A$3:$AP$245,地图配置辅助表!X$1,FALSE)</f>
        <v>0</v>
      </c>
      <c r="AM7">
        <f>VLOOKUP($A7,地图配置辅助表!$A$3:$AP$245,地图配置辅助表!Y$1,FALSE)</f>
        <v>0</v>
      </c>
      <c r="AN7">
        <f>VLOOKUP($A7,地图配置辅助表!$A$3:$AP$245,地图配置辅助表!Z$1,FALSE)</f>
        <v>0</v>
      </c>
      <c r="AO7">
        <f>VLOOKUP($A7,地图配置辅助表!$A$3:$AP$245,地图配置辅助表!AA$1,FALSE)</f>
        <v>0</v>
      </c>
      <c r="AP7">
        <f>VLOOKUP($A7,地图配置辅助表!$A$3:$AP$245,地图配置辅助表!AB$1,FALSE)</f>
        <v>0</v>
      </c>
      <c r="AQ7">
        <f>VLOOKUP($A7,地图配置辅助表!$A$3:$AP$245,地图配置辅助表!AC$1,FALSE)</f>
        <v>0</v>
      </c>
      <c r="AR7">
        <f>VLOOKUP($A7,地图配置辅助表!$A$3:$AP$245,地图配置辅助表!AD$1,FALSE)</f>
        <v>0</v>
      </c>
      <c r="AS7">
        <f>VLOOKUP($A7,地图配置辅助表!$A$3:$AP$245,地图配置辅助表!AE$1,FALSE)</f>
        <v>0</v>
      </c>
      <c r="AT7">
        <f>VLOOKUP($A7,地图配置辅助表!$A$3:$AP$245,地图配置辅助表!AF$1,FALSE)</f>
        <v>0</v>
      </c>
      <c r="AU7">
        <f>VLOOKUP($A7,地图配置辅助表!$A$3:$AP$245,地图配置辅助表!AG$1,FALSE)</f>
        <v>0</v>
      </c>
      <c r="AV7">
        <f>VLOOKUP($A7,地图配置辅助表!$A$3:$AP$245,地图配置辅助表!AH$1,FALSE)</f>
        <v>0</v>
      </c>
      <c r="AW7">
        <f>VLOOKUP($A7,地图配置辅助表!$A$3:$AP$245,地图配置辅助表!AI$1,FALSE)</f>
        <v>0</v>
      </c>
      <c r="AX7">
        <f>VLOOKUP($A7,地图配置辅助表!$A$3:$AP$245,地图配置辅助表!AJ$1,FALSE)</f>
        <v>0</v>
      </c>
      <c r="AY7">
        <f>VLOOKUP($A7,地图配置辅助表!$A$3:$AP$245,地图配置辅助表!AK$1,FALSE)</f>
        <v>0</v>
      </c>
      <c r="AZ7">
        <f>VLOOKUP($A7,地图配置辅助表!$A$3:$AP$245,地图配置辅助表!AL$1,FALSE)</f>
        <v>0</v>
      </c>
      <c r="BA7">
        <f>VLOOKUP($A7,地图配置辅助表!$A$3:$AP$245,地图配置辅助表!AM$1,FALSE)</f>
        <v>0</v>
      </c>
      <c r="BB7">
        <f>VLOOKUP($A7,地图配置辅助表!$A$3:$AP$245,地图配置辅助表!AN$1,FALSE)</f>
        <v>0</v>
      </c>
      <c r="BC7">
        <f>VLOOKUP($A7,地图配置辅助表!$A$3:$AP$245,地图配置辅助表!AO$1,FALSE)</f>
        <v>0</v>
      </c>
      <c r="BD7">
        <f>VLOOKUP($A7,地图配置辅助表!$A$3:$AP$245,地图配置辅助表!AP$1,FALSE)</f>
        <v>0</v>
      </c>
    </row>
    <row r="8" spans="1:56" x14ac:dyDescent="0.15">
      <c r="A8">
        <f>地图配置辅助表!A9</f>
        <v>7</v>
      </c>
      <c r="B8">
        <v>0</v>
      </c>
      <c r="C8">
        <v>7</v>
      </c>
      <c r="D8" s="9" t="str">
        <f>地图配置辅助表!D9</f>
        <v>东京</v>
      </c>
      <c r="G8">
        <v>32</v>
      </c>
      <c r="H8">
        <v>310</v>
      </c>
      <c r="I8">
        <v>130</v>
      </c>
      <c r="J8">
        <v>1750</v>
      </c>
      <c r="K8">
        <v>130</v>
      </c>
      <c r="M8">
        <v>0</v>
      </c>
      <c r="N8">
        <v>30</v>
      </c>
      <c r="O8">
        <v>100</v>
      </c>
      <c r="P8">
        <v>2170</v>
      </c>
      <c r="Q8">
        <v>10</v>
      </c>
      <c r="R8" t="s">
        <v>547</v>
      </c>
      <c r="S8" s="10">
        <f>VLOOKUP($A8,地图配置辅助表!$A$3:$AP$245,地图配置辅助表!E$1,FALSE)</f>
        <v>0</v>
      </c>
      <c r="T8">
        <f>VLOOKUP($A8,地图配置辅助表!$A$3:$AP$245,地图配置辅助表!F$1,FALSE)</f>
        <v>0</v>
      </c>
      <c r="U8">
        <f>VLOOKUP($A8,地图配置辅助表!$A$3:$AP$245,地图配置辅助表!G$1,FALSE)</f>
        <v>0</v>
      </c>
      <c r="V8">
        <f>VLOOKUP($A8,地图配置辅助表!$A$3:$AP$245,地图配置辅助表!H$1,FALSE)</f>
        <v>0</v>
      </c>
      <c r="W8">
        <f>VLOOKUP($A8,地图配置辅助表!$A$3:$AP$245,地图配置辅助表!I$1,FALSE)</f>
        <v>0</v>
      </c>
      <c r="X8">
        <f>VLOOKUP($A8,地图配置辅助表!$A$3:$AP$245,地图配置辅助表!J$1,FALSE)</f>
        <v>0</v>
      </c>
      <c r="Y8">
        <f>VLOOKUP($A8,地图配置辅助表!$A$3:$AP$245,地图配置辅助表!K$1,FALSE)</f>
        <v>0</v>
      </c>
      <c r="Z8">
        <f>VLOOKUP($A8,地图配置辅助表!$A$3:$AP$245,地图配置辅助表!L$1,FALSE)</f>
        <v>0</v>
      </c>
      <c r="AA8">
        <f>VLOOKUP($A8,地图配置辅助表!$A$3:$AP$245,地图配置辅助表!M$1,FALSE)</f>
        <v>2</v>
      </c>
      <c r="AB8">
        <f>VLOOKUP($A8,地图配置辅助表!$A$3:$AP$245,地图配置辅助表!N$1,FALSE)</f>
        <v>1</v>
      </c>
      <c r="AC8">
        <f>VLOOKUP($A8,地图配置辅助表!$A$3:$AP$245,地图配置辅助表!O$1,FALSE)</f>
        <v>1</v>
      </c>
      <c r="AD8">
        <f>VLOOKUP($A8,地图配置辅助表!$A$3:$AP$245,地图配置辅助表!P$1,FALSE)</f>
        <v>47</v>
      </c>
      <c r="AE8">
        <f>VLOOKUP($A8,地图配置辅助表!$A$3:$AP$245,地图配置辅助表!Q$1,FALSE)</f>
        <v>3</v>
      </c>
      <c r="AF8">
        <f>VLOOKUP($A8,地图配置辅助表!$A$3:$AP$245,地图配置辅助表!R$1,FALSE)</f>
        <v>6006</v>
      </c>
      <c r="AG8" s="10">
        <f>VLOOKUP($A8,地图配置辅助表!$A$3:$AP$245,地图配置辅助表!S$1,FALSE)</f>
        <v>0</v>
      </c>
      <c r="AH8" s="10">
        <f>VLOOKUP($A8,地图配置辅助表!$A$3:$AP$245,地图配置辅助表!T$1,FALSE)</f>
        <v>0</v>
      </c>
      <c r="AI8">
        <f>VLOOKUP($A8,地图配置辅助表!$A$3:$AP$245,地图配置辅助表!U$1,FALSE)</f>
        <v>0</v>
      </c>
      <c r="AJ8">
        <f>VLOOKUP($A8,地图配置辅助表!$A$3:$AP$245,地图配置辅助表!V$1,FALSE)</f>
        <v>0</v>
      </c>
      <c r="AK8">
        <f>VLOOKUP($A8,地图配置辅助表!$A$3:$AP$245,地图配置辅助表!W$1,FALSE)</f>
        <v>0</v>
      </c>
      <c r="AL8">
        <f>VLOOKUP($A8,地图配置辅助表!$A$3:$AP$245,地图配置辅助表!X$1,FALSE)</f>
        <v>0</v>
      </c>
      <c r="AM8">
        <f>VLOOKUP($A8,地图配置辅助表!$A$3:$AP$245,地图配置辅助表!Y$1,FALSE)</f>
        <v>0</v>
      </c>
      <c r="AN8">
        <f>VLOOKUP($A8,地图配置辅助表!$A$3:$AP$245,地图配置辅助表!Z$1,FALSE)</f>
        <v>0</v>
      </c>
      <c r="AO8">
        <f>VLOOKUP($A8,地图配置辅助表!$A$3:$AP$245,地图配置辅助表!AA$1,FALSE)</f>
        <v>0</v>
      </c>
      <c r="AP8">
        <f>VLOOKUP($A8,地图配置辅助表!$A$3:$AP$245,地图配置辅助表!AB$1,FALSE)</f>
        <v>0</v>
      </c>
      <c r="AQ8">
        <f>VLOOKUP($A8,地图配置辅助表!$A$3:$AP$245,地图配置辅助表!AC$1,FALSE)</f>
        <v>0</v>
      </c>
      <c r="AR8">
        <f>VLOOKUP($A8,地图配置辅助表!$A$3:$AP$245,地图配置辅助表!AD$1,FALSE)</f>
        <v>0</v>
      </c>
      <c r="AS8">
        <f>VLOOKUP($A8,地图配置辅助表!$A$3:$AP$245,地图配置辅助表!AE$1,FALSE)</f>
        <v>0</v>
      </c>
      <c r="AT8">
        <f>VLOOKUP($A8,地图配置辅助表!$A$3:$AP$245,地图配置辅助表!AF$1,FALSE)</f>
        <v>0</v>
      </c>
      <c r="AU8">
        <f>VLOOKUP($A8,地图配置辅助表!$A$3:$AP$245,地图配置辅助表!AG$1,FALSE)</f>
        <v>0</v>
      </c>
      <c r="AV8">
        <f>VLOOKUP($A8,地图配置辅助表!$A$3:$AP$245,地图配置辅助表!AH$1,FALSE)</f>
        <v>0</v>
      </c>
      <c r="AW8">
        <f>VLOOKUP($A8,地图配置辅助表!$A$3:$AP$245,地图配置辅助表!AI$1,FALSE)</f>
        <v>0</v>
      </c>
      <c r="AX8">
        <f>VLOOKUP($A8,地图配置辅助表!$A$3:$AP$245,地图配置辅助表!AJ$1,FALSE)</f>
        <v>0</v>
      </c>
      <c r="AY8">
        <f>VLOOKUP($A8,地图配置辅助表!$A$3:$AP$245,地图配置辅助表!AK$1,FALSE)</f>
        <v>0</v>
      </c>
      <c r="AZ8">
        <f>VLOOKUP($A8,地图配置辅助表!$A$3:$AP$245,地图配置辅助表!AL$1,FALSE)</f>
        <v>0</v>
      </c>
      <c r="BA8">
        <f>VLOOKUP($A8,地图配置辅助表!$A$3:$AP$245,地图配置辅助表!AM$1,FALSE)</f>
        <v>0</v>
      </c>
      <c r="BB8">
        <f>VLOOKUP($A8,地图配置辅助表!$A$3:$AP$245,地图配置辅助表!AN$1,FALSE)</f>
        <v>0</v>
      </c>
      <c r="BC8">
        <f>VLOOKUP($A8,地图配置辅助表!$A$3:$AP$245,地图配置辅助表!AO$1,FALSE)</f>
        <v>0</v>
      </c>
      <c r="BD8">
        <f>VLOOKUP($A8,地图配置辅助表!$A$3:$AP$245,地图配置辅助表!AP$1,FALSE)</f>
        <v>0</v>
      </c>
    </row>
    <row r="9" spans="1:56" x14ac:dyDescent="0.15">
      <c r="A9">
        <f>地图配置辅助表!A10</f>
        <v>8</v>
      </c>
      <c r="B9">
        <v>0</v>
      </c>
      <c r="C9">
        <v>8</v>
      </c>
      <c r="D9" s="9" t="str">
        <f>地图配置辅助表!D10</f>
        <v>台北</v>
      </c>
      <c r="G9">
        <v>31</v>
      </c>
      <c r="H9">
        <v>310</v>
      </c>
      <c r="I9">
        <v>130</v>
      </c>
      <c r="J9">
        <v>1750</v>
      </c>
      <c r="K9">
        <v>130</v>
      </c>
      <c r="M9">
        <v>0</v>
      </c>
      <c r="N9">
        <v>30</v>
      </c>
      <c r="O9">
        <v>100</v>
      </c>
      <c r="P9">
        <v>2170</v>
      </c>
      <c r="Q9">
        <v>10</v>
      </c>
      <c r="R9" t="s">
        <v>548</v>
      </c>
      <c r="S9" s="10">
        <f>VLOOKUP($A9,地图配置辅助表!$A$3:$AP$245,地图配置辅助表!E$1,FALSE)</f>
        <v>0</v>
      </c>
      <c r="T9">
        <f>VLOOKUP($A9,地图配置辅助表!$A$3:$AP$245,地图配置辅助表!F$1,FALSE)</f>
        <v>0</v>
      </c>
      <c r="U9">
        <f>VLOOKUP($A9,地图配置辅助表!$A$3:$AP$245,地图配置辅助表!G$1,FALSE)</f>
        <v>0</v>
      </c>
      <c r="V9">
        <f>VLOOKUP($A9,地图配置辅助表!$A$3:$AP$245,地图配置辅助表!H$1,FALSE)</f>
        <v>0</v>
      </c>
      <c r="W9">
        <f>VLOOKUP($A9,地图配置辅助表!$A$3:$AP$245,地图配置辅助表!I$1,FALSE)</f>
        <v>0</v>
      </c>
      <c r="X9">
        <f>VLOOKUP($A9,地图配置辅助表!$A$3:$AP$245,地图配置辅助表!J$1,FALSE)</f>
        <v>0</v>
      </c>
      <c r="Y9">
        <f>VLOOKUP($A9,地图配置辅助表!$A$3:$AP$245,地图配置辅助表!K$1,FALSE)</f>
        <v>0</v>
      </c>
      <c r="Z9">
        <f>VLOOKUP($A9,地图配置辅助表!$A$3:$AP$245,地图配置辅助表!L$1,FALSE)</f>
        <v>0</v>
      </c>
      <c r="AA9">
        <f>VLOOKUP($A9,地图配置辅助表!$A$3:$AP$245,地图配置辅助表!M$1,FALSE)</f>
        <v>2</v>
      </c>
      <c r="AB9">
        <f>VLOOKUP($A9,地图配置辅助表!$A$3:$AP$245,地图配置辅助表!N$1,FALSE)</f>
        <v>1</v>
      </c>
      <c r="AC9">
        <f>VLOOKUP($A9,地图配置辅助表!$A$3:$AP$245,地图配置辅助表!O$1,FALSE)</f>
        <v>1</v>
      </c>
      <c r="AD9">
        <f>VLOOKUP($A9,地图配置辅助表!$A$3:$AP$245,地图配置辅助表!P$1,FALSE)</f>
        <v>53</v>
      </c>
      <c r="AE9">
        <f>VLOOKUP($A9,地图配置辅助表!$A$3:$AP$245,地图配置辅助表!Q$1,FALSE)</f>
        <v>3</v>
      </c>
      <c r="AF9">
        <f>VLOOKUP($A9,地图配置辅助表!$A$3:$AP$245,地图配置辅助表!R$1,FALSE)</f>
        <v>7006</v>
      </c>
      <c r="AG9" s="10">
        <f>VLOOKUP($A9,地图配置辅助表!$A$3:$AP$245,地图配置辅助表!S$1,FALSE)</f>
        <v>0</v>
      </c>
      <c r="AH9" s="10">
        <f>VLOOKUP($A9,地图配置辅助表!$A$3:$AP$245,地图配置辅助表!T$1,FALSE)</f>
        <v>0</v>
      </c>
      <c r="AI9">
        <f>VLOOKUP($A9,地图配置辅助表!$A$3:$AP$245,地图配置辅助表!U$1,FALSE)</f>
        <v>0</v>
      </c>
      <c r="AJ9">
        <f>VLOOKUP($A9,地图配置辅助表!$A$3:$AP$245,地图配置辅助表!V$1,FALSE)</f>
        <v>0</v>
      </c>
      <c r="AK9">
        <f>VLOOKUP($A9,地图配置辅助表!$A$3:$AP$245,地图配置辅助表!W$1,FALSE)</f>
        <v>0</v>
      </c>
      <c r="AL9">
        <f>VLOOKUP($A9,地图配置辅助表!$A$3:$AP$245,地图配置辅助表!X$1,FALSE)</f>
        <v>0</v>
      </c>
      <c r="AM9">
        <f>VLOOKUP($A9,地图配置辅助表!$A$3:$AP$245,地图配置辅助表!Y$1,FALSE)</f>
        <v>0</v>
      </c>
      <c r="AN9">
        <f>VLOOKUP($A9,地图配置辅助表!$A$3:$AP$245,地图配置辅助表!Z$1,FALSE)</f>
        <v>0</v>
      </c>
      <c r="AO9">
        <f>VLOOKUP($A9,地图配置辅助表!$A$3:$AP$245,地图配置辅助表!AA$1,FALSE)</f>
        <v>0</v>
      </c>
      <c r="AP9">
        <f>VLOOKUP($A9,地图配置辅助表!$A$3:$AP$245,地图配置辅助表!AB$1,FALSE)</f>
        <v>0</v>
      </c>
      <c r="AQ9">
        <f>VLOOKUP($A9,地图配置辅助表!$A$3:$AP$245,地图配置辅助表!AC$1,FALSE)</f>
        <v>0</v>
      </c>
      <c r="AR9">
        <f>VLOOKUP($A9,地图配置辅助表!$A$3:$AP$245,地图配置辅助表!AD$1,FALSE)</f>
        <v>0</v>
      </c>
      <c r="AS9">
        <f>VLOOKUP($A9,地图配置辅助表!$A$3:$AP$245,地图配置辅助表!AE$1,FALSE)</f>
        <v>0</v>
      </c>
      <c r="AT9">
        <f>VLOOKUP($A9,地图配置辅助表!$A$3:$AP$245,地图配置辅助表!AF$1,FALSE)</f>
        <v>2</v>
      </c>
      <c r="AU9">
        <f>VLOOKUP($A9,地图配置辅助表!$A$3:$AP$245,地图配置辅助表!AG$1,FALSE)</f>
        <v>70</v>
      </c>
      <c r="AV9">
        <f>VLOOKUP($A9,地图配置辅助表!$A$3:$AP$245,地图配置辅助表!AH$1,FALSE)</f>
        <v>71</v>
      </c>
      <c r="AW9">
        <f>VLOOKUP($A9,地图配置辅助表!$A$3:$AP$245,地图配置辅助表!AI$1,FALSE)</f>
        <v>0</v>
      </c>
      <c r="AX9">
        <f>VLOOKUP($A9,地图配置辅助表!$A$3:$AP$245,地图配置辅助表!AJ$1,FALSE)</f>
        <v>0</v>
      </c>
      <c r="AY9">
        <f>VLOOKUP($A9,地图配置辅助表!$A$3:$AP$245,地图配置辅助表!AK$1,FALSE)</f>
        <v>0</v>
      </c>
      <c r="AZ9">
        <f>VLOOKUP($A9,地图配置辅助表!$A$3:$AP$245,地图配置辅助表!AL$1,FALSE)</f>
        <v>0</v>
      </c>
      <c r="BA9">
        <f>VLOOKUP($A9,地图配置辅助表!$A$3:$AP$245,地图配置辅助表!AM$1,FALSE)</f>
        <v>0</v>
      </c>
      <c r="BB9">
        <f>VLOOKUP($A9,地图配置辅助表!$A$3:$AP$245,地图配置辅助表!AN$1,FALSE)</f>
        <v>0</v>
      </c>
      <c r="BC9">
        <f>VLOOKUP($A9,地图配置辅助表!$A$3:$AP$245,地图配置辅助表!AO$1,FALSE)</f>
        <v>0</v>
      </c>
      <c r="BD9">
        <f>VLOOKUP($A9,地图配置辅助表!$A$3:$AP$245,地图配置辅助表!AP$1,FALSE)</f>
        <v>0</v>
      </c>
    </row>
    <row r="10" spans="1:56" s="8" customFormat="1" x14ac:dyDescent="0.15">
      <c r="A10">
        <f>地图配置辅助表!A11</f>
        <v>1001</v>
      </c>
      <c r="B10" s="8">
        <f>地图配置辅助表!B11</f>
        <v>1</v>
      </c>
      <c r="C10" s="8">
        <f>地图配置辅助表!C11</f>
        <v>1</v>
      </c>
      <c r="D10" s="9" t="str">
        <f>地图配置辅助表!D11</f>
        <v>浴室砍巴闭</v>
      </c>
      <c r="E10" s="8" t="s">
        <v>275</v>
      </c>
      <c r="F10" s="8" t="s">
        <v>0</v>
      </c>
      <c r="G10" s="8">
        <v>29</v>
      </c>
      <c r="H10" s="8">
        <v>400</v>
      </c>
      <c r="I10" s="8">
        <v>140</v>
      </c>
      <c r="J10" s="8">
        <v>400</v>
      </c>
      <c r="K10" s="8">
        <v>140</v>
      </c>
      <c r="L10" s="8" t="s">
        <v>121</v>
      </c>
      <c r="M10" s="8">
        <v>0</v>
      </c>
      <c r="R10" s="8" t="s">
        <v>121</v>
      </c>
      <c r="S10" s="11">
        <f>VLOOKUP($A10,地图配置辅助表!$A$3:$AP$245,地图配置辅助表!E$1,FALSE)</f>
        <v>6</v>
      </c>
      <c r="T10" s="8">
        <f>VLOOKUP($A10,地图配置辅助表!$A$3:$AP$245,地图配置辅助表!F$1,FALSE)</f>
        <v>109</v>
      </c>
      <c r="U10" s="8">
        <f>VLOOKUP($A10,地图配置辅助表!$A$3:$AP$245,地图配置辅助表!G$1,FALSE)</f>
        <v>1</v>
      </c>
      <c r="V10" s="8">
        <f>VLOOKUP($A10,地图配置辅助表!$A$3:$AP$245,地图配置辅助表!H$1,FALSE)</f>
        <v>1</v>
      </c>
      <c r="W10" s="8">
        <f>VLOOKUP($A10,地图配置辅助表!$A$3:$AP$245,地图配置辅助表!I$1,FALSE)</f>
        <v>0</v>
      </c>
      <c r="X10" s="8">
        <f>VLOOKUP($A10,地图配置辅助表!$A$3:$AP$245,地图配置辅助表!J$1,FALSE)</f>
        <v>0</v>
      </c>
      <c r="Y10" s="8">
        <f>VLOOKUP($A10,地图配置辅助表!$A$3:$AP$245,地图配置辅助表!K$1,FALSE)</f>
        <v>0</v>
      </c>
      <c r="Z10" s="8">
        <f>VLOOKUP($A10,地图配置辅助表!$A$3:$AP$245,地图配置辅助表!L$1,FALSE)</f>
        <v>0</v>
      </c>
      <c r="AA10" s="8">
        <f>VLOOKUP($A10,地图配置辅助表!$A$3:$AP$245,地图配置辅助表!M$1,FALSE)</f>
        <v>0</v>
      </c>
      <c r="AB10">
        <f>VLOOKUP($A10,地图配置辅助表!$A$3:$AP$245,地图配置辅助表!N$1,FALSE)</f>
        <v>1</v>
      </c>
      <c r="AC10" s="8">
        <f>VLOOKUP($A10,地图配置辅助表!$A$3:$AP$245,地图配置辅助表!O$1,FALSE)</f>
        <v>0</v>
      </c>
      <c r="AD10">
        <f>VLOOKUP($A10,地图配置辅助表!$A$3:$AP$245,地图配置辅助表!P$1,FALSE)</f>
        <v>0</v>
      </c>
      <c r="AE10" s="8">
        <f>VLOOKUP($A10,地图配置辅助表!$A$3:$AP$245,地图配置辅助表!Q$1,FALSE)</f>
        <v>0</v>
      </c>
      <c r="AF10" s="8">
        <f>VLOOKUP($A10,地图配置辅助表!$A$3:$AP$245,地图配置辅助表!R$1,FALSE)</f>
        <v>0</v>
      </c>
      <c r="AG10" s="11">
        <f>VLOOKUP($A10,地图配置辅助表!$A$3:$AP$245,地图配置辅助表!S$1,FALSE)</f>
        <v>501001</v>
      </c>
      <c r="AH10" s="11">
        <f>VLOOKUP($A10,地图配置辅助表!$A$3:$AP$245,地图配置辅助表!T$1,FALSE)</f>
        <v>111104</v>
      </c>
      <c r="AI10" s="8">
        <f>VLOOKUP($A10,地图配置辅助表!$A$3:$AP$245,地图配置辅助表!U$1,FALSE)</f>
        <v>2</v>
      </c>
      <c r="AJ10" s="8">
        <f>VLOOKUP($A10,地图配置辅助表!$A$3:$AP$245,地图配置辅助表!V$1,FALSE)</f>
        <v>111101</v>
      </c>
      <c r="AK10" s="8">
        <f>VLOOKUP($A10,地图配置辅助表!$A$3:$AP$245,地图配置辅助表!W$1,FALSE)</f>
        <v>111102</v>
      </c>
      <c r="AL10" s="8">
        <f>VLOOKUP($A10,地图配置辅助表!$A$3:$AP$245,地图配置辅助表!X$1,FALSE)</f>
        <v>0</v>
      </c>
      <c r="AM10" s="8">
        <f>VLOOKUP($A10,地图配置辅助表!$A$3:$AP$245,地图配置辅助表!Y$1,FALSE)</f>
        <v>0</v>
      </c>
      <c r="AN10" s="8">
        <f>VLOOKUP($A10,地图配置辅助表!$A$3:$AP$245,地图配置辅助表!Z$1,FALSE)</f>
        <v>0</v>
      </c>
      <c r="AO10" s="8">
        <f>VLOOKUP($A10,地图配置辅助表!$A$3:$AP$245,地图配置辅助表!AA$1,FALSE)</f>
        <v>0</v>
      </c>
      <c r="AP10" s="8">
        <f>VLOOKUP($A10,地图配置辅助表!$A$3:$AP$245,地图配置辅助表!AB$1,FALSE)</f>
        <v>0</v>
      </c>
      <c r="AQ10" s="8">
        <f>VLOOKUP($A10,地图配置辅助表!$A$3:$AP$245,地图配置辅助表!AC$1,FALSE)</f>
        <v>0</v>
      </c>
      <c r="AR10" s="8">
        <f>VLOOKUP($A10,地图配置辅助表!$A$3:$AP$245,地图配置辅助表!AD$1,FALSE)</f>
        <v>0</v>
      </c>
      <c r="AS10" s="8">
        <f>VLOOKUP($A10,地图配置辅助表!$A$3:$AP$245,地图配置辅助表!AE$1,FALSE)</f>
        <v>0</v>
      </c>
      <c r="AT10" s="8">
        <f>VLOOKUP($A10,地图配置辅助表!$A$3:$AP$245,地图配置辅助表!AF$1,FALSE)</f>
        <v>3</v>
      </c>
      <c r="AU10" s="8">
        <f>VLOOKUP($A10,地图配置辅助表!$A$3:$AP$245,地图配置辅助表!AG$1,FALSE)</f>
        <v>512</v>
      </c>
      <c r="AV10" s="8">
        <f>VLOOKUP($A10,地图配置辅助表!$A$3:$AP$245,地图配置辅助表!AH$1,FALSE)</f>
        <v>519</v>
      </c>
      <c r="AW10" s="8">
        <f>VLOOKUP($A10,地图配置辅助表!$A$3:$AP$245,地图配置辅助表!AI$1,FALSE)</f>
        <v>525</v>
      </c>
      <c r="AX10" s="8">
        <f>VLOOKUP($A10,地图配置辅助表!$A$3:$AP$245,地图配置辅助表!AJ$1,FALSE)</f>
        <v>0</v>
      </c>
      <c r="AY10" s="8">
        <f>VLOOKUP($A10,地图配置辅助表!$A$3:$AP$245,地图配置辅助表!AK$1,FALSE)</f>
        <v>0</v>
      </c>
      <c r="AZ10" s="8">
        <f>VLOOKUP($A10,地图配置辅助表!$A$3:$AP$245,地图配置辅助表!AL$1,FALSE)</f>
        <v>0</v>
      </c>
      <c r="BA10" s="8">
        <f>VLOOKUP($A10,地图配置辅助表!$A$3:$AP$245,地图配置辅助表!AM$1,FALSE)</f>
        <v>0</v>
      </c>
      <c r="BB10" s="8">
        <f>VLOOKUP($A10,地图配置辅助表!$A$3:$AP$245,地图配置辅助表!AN$1,FALSE)</f>
        <v>0</v>
      </c>
      <c r="BC10" s="8">
        <f>VLOOKUP($A10,地图配置辅助表!$A$3:$AP$245,地图配置辅助表!AO$1,FALSE)</f>
        <v>0</v>
      </c>
      <c r="BD10" s="8">
        <f>VLOOKUP($A10,地图配置辅助表!$A$3:$AP$245,地图配置辅助表!AP$1,FALSE)</f>
        <v>0</v>
      </c>
    </row>
    <row r="11" spans="1:56" s="8" customFormat="1" x14ac:dyDescent="0.15">
      <c r="A11">
        <f>地图配置辅助表!A12</f>
        <v>1002</v>
      </c>
      <c r="B11" s="8">
        <f>地图配置辅助表!B12</f>
        <v>1</v>
      </c>
      <c r="C11" s="8">
        <f>地图配置辅助表!C12</f>
        <v>1</v>
      </c>
      <c r="D11" s="9" t="str">
        <f>地图配置辅助表!D12</f>
        <v>西贡打大傻</v>
      </c>
      <c r="E11" s="8" t="s">
        <v>276</v>
      </c>
      <c r="F11" s="8" t="s">
        <v>0</v>
      </c>
      <c r="G11" s="8">
        <v>29</v>
      </c>
      <c r="H11" s="8">
        <v>200</v>
      </c>
      <c r="I11" s="8">
        <v>140</v>
      </c>
      <c r="J11" s="8">
        <v>200</v>
      </c>
      <c r="K11" s="8">
        <v>140</v>
      </c>
      <c r="L11" s="8" t="s">
        <v>122</v>
      </c>
      <c r="M11" s="8">
        <v>0</v>
      </c>
      <c r="R11" s="8" t="s">
        <v>122</v>
      </c>
      <c r="S11" s="11">
        <f>VLOOKUP($A11,地图配置辅助表!$A$3:$AP$245,地图配置辅助表!E$1,FALSE)</f>
        <v>6</v>
      </c>
      <c r="T11" s="8">
        <f>VLOOKUP($A11,地图配置辅助表!$A$3:$AP$245,地图配置辅助表!F$1,FALSE)</f>
        <v>123</v>
      </c>
      <c r="U11" s="8">
        <f>VLOOKUP($A11,地图配置辅助表!$A$3:$AP$245,地图配置辅助表!G$1,FALSE)</f>
        <v>1</v>
      </c>
      <c r="V11" s="8">
        <f>VLOOKUP($A11,地图配置辅助表!$A$3:$AP$245,地图配置辅助表!H$1,FALSE)</f>
        <v>1</v>
      </c>
      <c r="W11" s="8">
        <f>VLOOKUP($A11,地图配置辅助表!$A$3:$AP$245,地图配置辅助表!I$1,FALSE)</f>
        <v>0</v>
      </c>
      <c r="X11" s="8">
        <f>VLOOKUP($A11,地图配置辅助表!$A$3:$AP$245,地图配置辅助表!J$1,FALSE)</f>
        <v>0</v>
      </c>
      <c r="Y11" s="8">
        <f>VLOOKUP($A11,地图配置辅助表!$A$3:$AP$245,地图配置辅助表!K$1,FALSE)</f>
        <v>0</v>
      </c>
      <c r="Z11" s="8">
        <f>VLOOKUP($A11,地图配置辅助表!$A$3:$AP$245,地图配置辅助表!L$1,FALSE)</f>
        <v>0</v>
      </c>
      <c r="AA11" s="8">
        <f>VLOOKUP($A11,地图配置辅助表!$A$3:$AP$245,地图配置辅助表!M$1,FALSE)</f>
        <v>1</v>
      </c>
      <c r="AB11">
        <f>VLOOKUP($A11,地图配置辅助表!$A$3:$AP$245,地图配置辅助表!N$1,FALSE)</f>
        <v>1</v>
      </c>
      <c r="AC11" s="8">
        <f>VLOOKUP($A11,地图配置辅助表!$A$3:$AP$245,地图配置辅助表!O$1,FALSE)</f>
        <v>3</v>
      </c>
      <c r="AD11">
        <f>VLOOKUP($A11,地图配置辅助表!$A$3:$AP$245,地图配置辅助表!P$1,FALSE)</f>
        <v>1001</v>
      </c>
      <c r="AE11" s="8">
        <f>VLOOKUP($A11,地图配置辅助表!$A$3:$AP$245,地图配置辅助表!Q$1,FALSE)</f>
        <v>0</v>
      </c>
      <c r="AF11" s="8">
        <f>VLOOKUP($A11,地图配置辅助表!$A$3:$AP$245,地图配置辅助表!R$1,FALSE)</f>
        <v>0</v>
      </c>
      <c r="AG11" s="11">
        <f>VLOOKUP($A11,地图配置辅助表!$A$3:$AP$245,地图配置辅助表!S$1,FALSE)</f>
        <v>501002</v>
      </c>
      <c r="AH11" s="11">
        <f>VLOOKUP($A11,地图配置辅助表!$A$3:$AP$245,地图配置辅助表!T$1,FALSE)</f>
        <v>112104</v>
      </c>
      <c r="AI11" s="8">
        <f>VLOOKUP($A11,地图配置辅助表!$A$3:$AP$245,地图配置辅助表!U$1,FALSE)</f>
        <v>2</v>
      </c>
      <c r="AJ11" s="8">
        <f>VLOOKUP($A11,地图配置辅助表!$A$3:$AP$245,地图配置辅助表!V$1,FALSE)</f>
        <v>112101</v>
      </c>
      <c r="AK11" s="8">
        <f>VLOOKUP($A11,地图配置辅助表!$A$3:$AP$245,地图配置辅助表!W$1,FALSE)</f>
        <v>112102</v>
      </c>
      <c r="AL11" s="8">
        <f>VLOOKUP($A11,地图配置辅助表!$A$3:$AP$245,地图配置辅助表!X$1,FALSE)</f>
        <v>0</v>
      </c>
      <c r="AM11" s="8">
        <f>VLOOKUP($A11,地图配置辅助表!$A$3:$AP$245,地图配置辅助表!Y$1,FALSE)</f>
        <v>0</v>
      </c>
      <c r="AN11" s="8">
        <f>VLOOKUP($A11,地图配置辅助表!$A$3:$AP$245,地图配置辅助表!Z$1,FALSE)</f>
        <v>0</v>
      </c>
      <c r="AO11" s="8">
        <f>VLOOKUP($A11,地图配置辅助表!$A$3:$AP$245,地图配置辅助表!AA$1,FALSE)</f>
        <v>0</v>
      </c>
      <c r="AP11" s="8">
        <f>VLOOKUP($A11,地图配置辅助表!$A$3:$AP$245,地图配置辅助表!AB$1,FALSE)</f>
        <v>0</v>
      </c>
      <c r="AQ11" s="8">
        <f>VLOOKUP($A11,地图配置辅助表!$A$3:$AP$245,地图配置辅助表!AC$1,FALSE)</f>
        <v>0</v>
      </c>
      <c r="AR11" s="8">
        <f>VLOOKUP($A11,地图配置辅助表!$A$3:$AP$245,地图配置辅助表!AD$1,FALSE)</f>
        <v>0</v>
      </c>
      <c r="AS11" s="8">
        <f>VLOOKUP($A11,地图配置辅助表!$A$3:$AP$245,地图配置辅助表!AE$1,FALSE)</f>
        <v>0</v>
      </c>
      <c r="AT11" s="8">
        <f>VLOOKUP($A11,地图配置辅助表!$A$3:$AP$245,地图配置辅助表!AF$1,FALSE)</f>
        <v>3</v>
      </c>
      <c r="AU11" s="8">
        <f>VLOOKUP($A11,地图配置辅助表!$A$3:$AP$245,地图配置辅助表!AG$1,FALSE)</f>
        <v>234</v>
      </c>
      <c r="AV11" s="8">
        <f>VLOOKUP($A11,地图配置辅助表!$A$3:$AP$245,地图配置辅助表!AH$1,FALSE)</f>
        <v>240</v>
      </c>
      <c r="AW11" s="8">
        <f>VLOOKUP($A11,地图配置辅助表!$A$3:$AP$245,地图配置辅助表!AI$1,FALSE)</f>
        <v>270</v>
      </c>
      <c r="AX11" s="8">
        <f>VLOOKUP($A11,地图配置辅助表!$A$3:$AP$245,地图配置辅助表!AJ$1,FALSE)</f>
        <v>0</v>
      </c>
      <c r="AY11" s="8">
        <f>VLOOKUP($A11,地图配置辅助表!$A$3:$AP$245,地图配置辅助表!AK$1,FALSE)</f>
        <v>0</v>
      </c>
      <c r="AZ11" s="8">
        <f>VLOOKUP($A11,地图配置辅助表!$A$3:$AP$245,地图配置辅助表!AL$1,FALSE)</f>
        <v>0</v>
      </c>
      <c r="BA11" s="8">
        <f>VLOOKUP($A11,地图配置辅助表!$A$3:$AP$245,地图配置辅助表!AM$1,FALSE)</f>
        <v>0</v>
      </c>
      <c r="BB11" s="8">
        <f>VLOOKUP($A11,地图配置辅助表!$A$3:$AP$245,地图配置辅助表!AN$1,FALSE)</f>
        <v>0</v>
      </c>
      <c r="BC11" s="8">
        <f>VLOOKUP($A11,地图配置辅助表!$A$3:$AP$245,地图配置辅助表!AO$1,FALSE)</f>
        <v>0</v>
      </c>
      <c r="BD11" s="8">
        <f>VLOOKUP($A11,地图配置辅助表!$A$3:$AP$245,地图配置辅助表!AP$1,FALSE)</f>
        <v>0</v>
      </c>
    </row>
    <row r="12" spans="1:56" s="8" customFormat="1" x14ac:dyDescent="0.15">
      <c r="A12">
        <f>地图配置辅助表!A13</f>
        <v>1003</v>
      </c>
      <c r="B12" s="8">
        <f>地图配置辅助表!B13</f>
        <v>1</v>
      </c>
      <c r="C12" s="8">
        <f>地图配置辅助表!C13</f>
        <v>1</v>
      </c>
      <c r="D12" s="9" t="str">
        <f>地图配置辅助表!D13</f>
        <v>戏逗小结巴</v>
      </c>
      <c r="E12" s="8" t="s">
        <v>383</v>
      </c>
      <c r="F12" s="8" t="s">
        <v>0</v>
      </c>
      <c r="G12" s="8">
        <v>29</v>
      </c>
      <c r="H12" s="8">
        <v>200</v>
      </c>
      <c r="I12" s="8">
        <v>140</v>
      </c>
      <c r="J12" s="8">
        <v>200</v>
      </c>
      <c r="K12" s="8">
        <v>140</v>
      </c>
      <c r="L12" s="8" t="s">
        <v>123</v>
      </c>
      <c r="M12" s="8">
        <v>0</v>
      </c>
      <c r="R12" s="8" t="s">
        <v>123</v>
      </c>
      <c r="S12" s="11">
        <f>VLOOKUP($A12,地图配置辅助表!$A$3:$AP$245,地图配置辅助表!E$1,FALSE)</f>
        <v>6</v>
      </c>
      <c r="T12" s="8">
        <f>VLOOKUP($A12,地图配置辅助表!$A$3:$AP$245,地图配置辅助表!F$1,FALSE)</f>
        <v>112</v>
      </c>
      <c r="U12" s="8">
        <f>VLOOKUP($A12,地图配置辅助表!$A$3:$AP$245,地图配置辅助表!G$1,FALSE)</f>
        <v>1</v>
      </c>
      <c r="V12" s="8">
        <f>VLOOKUP($A12,地图配置辅助表!$A$3:$AP$245,地图配置辅助表!H$1,FALSE)</f>
        <v>1</v>
      </c>
      <c r="W12" s="8">
        <f>VLOOKUP($A12,地图配置辅助表!$A$3:$AP$245,地图配置辅助表!I$1,FALSE)</f>
        <v>0</v>
      </c>
      <c r="X12" s="8">
        <f>VLOOKUP($A12,地图配置辅助表!$A$3:$AP$245,地图配置辅助表!J$1,FALSE)</f>
        <v>0</v>
      </c>
      <c r="Y12" s="8">
        <f>VLOOKUP($A12,地图配置辅助表!$A$3:$AP$245,地图配置辅助表!K$1,FALSE)</f>
        <v>0</v>
      </c>
      <c r="Z12" s="8">
        <f>VLOOKUP($A12,地图配置辅助表!$A$3:$AP$245,地图配置辅助表!L$1,FALSE)</f>
        <v>0</v>
      </c>
      <c r="AA12" s="8">
        <f>VLOOKUP($A12,地图配置辅助表!$A$3:$AP$245,地图配置辅助表!M$1,FALSE)</f>
        <v>1</v>
      </c>
      <c r="AB12">
        <f>VLOOKUP($A12,地图配置辅助表!$A$3:$AP$245,地图配置辅助表!N$1,FALSE)</f>
        <v>1</v>
      </c>
      <c r="AC12" s="8">
        <f>VLOOKUP($A12,地图配置辅助表!$A$3:$AP$245,地图配置辅助表!O$1,FALSE)</f>
        <v>3</v>
      </c>
      <c r="AD12">
        <f>VLOOKUP($A12,地图配置辅助表!$A$3:$AP$245,地图配置辅助表!P$1,FALSE)</f>
        <v>1002</v>
      </c>
      <c r="AE12" s="8">
        <f>VLOOKUP($A12,地图配置辅助表!$A$3:$AP$245,地图配置辅助表!Q$1,FALSE)</f>
        <v>0</v>
      </c>
      <c r="AF12" s="8">
        <f>VLOOKUP($A12,地图配置辅助表!$A$3:$AP$245,地图配置辅助表!R$1,FALSE)</f>
        <v>0</v>
      </c>
      <c r="AG12" s="11">
        <f>VLOOKUP($A12,地图配置辅助表!$A$3:$AP$245,地图配置辅助表!S$1,FALSE)</f>
        <v>501003</v>
      </c>
      <c r="AH12" s="11">
        <f>VLOOKUP($A12,地图配置辅助表!$A$3:$AP$245,地图配置辅助表!T$1,FALSE)</f>
        <v>113104</v>
      </c>
      <c r="AI12" s="8">
        <f>VLOOKUP($A12,地图配置辅助表!$A$3:$AP$245,地图配置辅助表!U$1,FALSE)</f>
        <v>2</v>
      </c>
      <c r="AJ12" s="8">
        <f>VLOOKUP($A12,地图配置辅助表!$A$3:$AP$245,地图配置辅助表!V$1,FALSE)</f>
        <v>113101</v>
      </c>
      <c r="AK12" s="8">
        <f>VLOOKUP($A12,地图配置辅助表!$A$3:$AP$245,地图配置辅助表!W$1,FALSE)</f>
        <v>113102</v>
      </c>
      <c r="AL12" s="8">
        <f>VLOOKUP($A12,地图配置辅助表!$A$3:$AP$245,地图配置辅助表!X$1,FALSE)</f>
        <v>0</v>
      </c>
      <c r="AM12" s="8">
        <f>VLOOKUP($A12,地图配置辅助表!$A$3:$AP$245,地图配置辅助表!Y$1,FALSE)</f>
        <v>0</v>
      </c>
      <c r="AN12" s="8">
        <f>VLOOKUP($A12,地图配置辅助表!$A$3:$AP$245,地图配置辅助表!Z$1,FALSE)</f>
        <v>0</v>
      </c>
      <c r="AO12" s="8">
        <f>VLOOKUP($A12,地图配置辅助表!$A$3:$AP$245,地图配置辅助表!AA$1,FALSE)</f>
        <v>0</v>
      </c>
      <c r="AP12" s="8">
        <f>VLOOKUP($A12,地图配置辅助表!$A$3:$AP$245,地图配置辅助表!AB$1,FALSE)</f>
        <v>0</v>
      </c>
      <c r="AQ12" s="8">
        <f>VLOOKUP($A12,地图配置辅助表!$A$3:$AP$245,地图配置辅助表!AC$1,FALSE)</f>
        <v>0</v>
      </c>
      <c r="AR12" s="8">
        <f>VLOOKUP($A12,地图配置辅助表!$A$3:$AP$245,地图配置辅助表!AD$1,FALSE)</f>
        <v>0</v>
      </c>
      <c r="AS12" s="8">
        <f>VLOOKUP($A12,地图配置辅助表!$A$3:$AP$245,地图配置辅助表!AE$1,FALSE)</f>
        <v>0</v>
      </c>
      <c r="AT12" s="8">
        <f>VLOOKUP($A12,地图配置辅助表!$A$3:$AP$245,地图配置辅助表!AF$1,FALSE)</f>
        <v>3</v>
      </c>
      <c r="AU12" s="8">
        <f>VLOOKUP($A12,地图配置辅助表!$A$3:$AP$245,地图配置辅助表!AG$1,FALSE)</f>
        <v>69</v>
      </c>
      <c r="AV12" s="8">
        <f>VLOOKUP($A12,地图配置辅助表!$A$3:$AP$245,地图配置辅助表!AH$1,FALSE)</f>
        <v>80</v>
      </c>
      <c r="AW12" s="8">
        <f>VLOOKUP($A12,地图配置辅助表!$A$3:$AP$245,地图配置辅助表!AI$1,FALSE)</f>
        <v>101</v>
      </c>
      <c r="AX12" s="8">
        <f>VLOOKUP($A12,地图配置辅助表!$A$3:$AP$245,地图配置辅助表!AJ$1,FALSE)</f>
        <v>0</v>
      </c>
      <c r="AY12" s="8">
        <f>VLOOKUP($A12,地图配置辅助表!$A$3:$AP$245,地图配置辅助表!AK$1,FALSE)</f>
        <v>0</v>
      </c>
      <c r="AZ12" s="8">
        <f>VLOOKUP($A12,地图配置辅助表!$A$3:$AP$245,地图配置辅助表!AL$1,FALSE)</f>
        <v>0</v>
      </c>
      <c r="BA12" s="8">
        <f>VLOOKUP($A12,地图配置辅助表!$A$3:$AP$245,地图配置辅助表!AM$1,FALSE)</f>
        <v>0</v>
      </c>
      <c r="BB12" s="8">
        <f>VLOOKUP($A12,地图配置辅助表!$A$3:$AP$245,地图配置辅助表!AN$1,FALSE)</f>
        <v>0</v>
      </c>
      <c r="BC12" s="8">
        <f>VLOOKUP($A12,地图配置辅助表!$A$3:$AP$245,地图配置辅助表!AO$1,FALSE)</f>
        <v>0</v>
      </c>
      <c r="BD12" s="8">
        <f>VLOOKUP($A12,地图配置辅助表!$A$3:$AP$245,地图配置辅助表!AP$1,FALSE)</f>
        <v>0</v>
      </c>
    </row>
    <row r="13" spans="1:56" s="8" customFormat="1" x14ac:dyDescent="0.15">
      <c r="A13">
        <f>地图配置辅助表!A14</f>
        <v>1004</v>
      </c>
      <c r="B13" s="8">
        <f>地图配置辅助表!B14</f>
        <v>1</v>
      </c>
      <c r="C13" s="8">
        <f>地图配置辅助表!C14</f>
        <v>1</v>
      </c>
      <c r="D13" s="9" t="str">
        <f>地图配置辅助表!D14</f>
        <v>秘密任务</v>
      </c>
      <c r="E13" s="8" t="s">
        <v>277</v>
      </c>
      <c r="F13" s="8" t="s">
        <v>0</v>
      </c>
      <c r="G13" s="8">
        <v>29</v>
      </c>
      <c r="H13" s="8">
        <v>200</v>
      </c>
      <c r="I13" s="8">
        <v>140</v>
      </c>
      <c r="J13" s="8">
        <v>200</v>
      </c>
      <c r="K13" s="8">
        <v>140</v>
      </c>
      <c r="L13" s="8" t="s">
        <v>124</v>
      </c>
      <c r="M13" s="8">
        <v>0</v>
      </c>
      <c r="R13" s="8" t="s">
        <v>124</v>
      </c>
      <c r="S13" s="11">
        <f>VLOOKUP($A13,地图配置辅助表!$A$3:$AP$245,地图配置辅助表!E$1,FALSE)</f>
        <v>6</v>
      </c>
      <c r="T13" s="8">
        <f>VLOOKUP($A13,地图配置辅助表!$A$3:$AP$245,地图配置辅助表!F$1,FALSE)</f>
        <v>123</v>
      </c>
      <c r="U13" s="8">
        <f>VLOOKUP($A13,地图配置辅助表!$A$3:$AP$245,地图配置辅助表!G$1,FALSE)</f>
        <v>1</v>
      </c>
      <c r="V13" s="8">
        <f>VLOOKUP($A13,地图配置辅助表!$A$3:$AP$245,地图配置辅助表!H$1,FALSE)</f>
        <v>1</v>
      </c>
      <c r="W13" s="8">
        <f>VLOOKUP($A13,地图配置辅助表!$A$3:$AP$245,地图配置辅助表!I$1,FALSE)</f>
        <v>0</v>
      </c>
      <c r="X13" s="8">
        <f>VLOOKUP($A13,地图配置辅助表!$A$3:$AP$245,地图配置辅助表!J$1,FALSE)</f>
        <v>0</v>
      </c>
      <c r="Y13" s="8">
        <f>VLOOKUP($A13,地图配置辅助表!$A$3:$AP$245,地图配置辅助表!K$1,FALSE)</f>
        <v>0</v>
      </c>
      <c r="Z13" s="8">
        <f>VLOOKUP($A13,地图配置辅助表!$A$3:$AP$245,地图配置辅助表!L$1,FALSE)</f>
        <v>0</v>
      </c>
      <c r="AA13" s="8">
        <f>VLOOKUP($A13,地图配置辅助表!$A$3:$AP$245,地图配置辅助表!M$1,FALSE)</f>
        <v>1</v>
      </c>
      <c r="AB13">
        <f>VLOOKUP($A13,地图配置辅助表!$A$3:$AP$245,地图配置辅助表!N$1,FALSE)</f>
        <v>1</v>
      </c>
      <c r="AC13" s="8">
        <f>VLOOKUP($A13,地图配置辅助表!$A$3:$AP$245,地图配置辅助表!O$1,FALSE)</f>
        <v>3</v>
      </c>
      <c r="AD13">
        <f>VLOOKUP($A13,地图配置辅助表!$A$3:$AP$245,地图配置辅助表!P$1,FALSE)</f>
        <v>1003</v>
      </c>
      <c r="AE13" s="8">
        <f>VLOOKUP($A13,地图配置辅助表!$A$3:$AP$245,地图配置辅助表!Q$1,FALSE)</f>
        <v>0</v>
      </c>
      <c r="AF13" s="8">
        <f>VLOOKUP($A13,地图配置辅助表!$A$3:$AP$245,地图配置辅助表!R$1,FALSE)</f>
        <v>0</v>
      </c>
      <c r="AG13" s="11">
        <f>VLOOKUP($A13,地图配置辅助表!$A$3:$AP$245,地图配置辅助表!S$1,FALSE)</f>
        <v>501004</v>
      </c>
      <c r="AH13" s="11">
        <f>VLOOKUP($A13,地图配置辅助表!$A$3:$AP$245,地图配置辅助表!T$1,FALSE)</f>
        <v>114104</v>
      </c>
      <c r="AI13" s="8">
        <f>VLOOKUP($A13,地图配置辅助表!$A$3:$AP$245,地图配置辅助表!U$1,FALSE)</f>
        <v>2</v>
      </c>
      <c r="AJ13" s="8">
        <f>VLOOKUP($A13,地图配置辅助表!$A$3:$AP$245,地图配置辅助表!V$1,FALSE)</f>
        <v>114101</v>
      </c>
      <c r="AK13" s="8">
        <f>VLOOKUP($A13,地图配置辅助表!$A$3:$AP$245,地图配置辅助表!W$1,FALSE)</f>
        <v>114102</v>
      </c>
      <c r="AL13" s="8">
        <f>VLOOKUP($A13,地图配置辅助表!$A$3:$AP$245,地图配置辅助表!X$1,FALSE)</f>
        <v>0</v>
      </c>
      <c r="AM13" s="8">
        <f>VLOOKUP($A13,地图配置辅助表!$A$3:$AP$245,地图配置辅助表!Y$1,FALSE)</f>
        <v>0</v>
      </c>
      <c r="AN13" s="8">
        <f>VLOOKUP($A13,地图配置辅助表!$A$3:$AP$245,地图配置辅助表!Z$1,FALSE)</f>
        <v>0</v>
      </c>
      <c r="AO13" s="8">
        <f>VLOOKUP($A13,地图配置辅助表!$A$3:$AP$245,地图配置辅助表!AA$1,FALSE)</f>
        <v>0</v>
      </c>
      <c r="AP13" s="8">
        <f>VLOOKUP($A13,地图配置辅助表!$A$3:$AP$245,地图配置辅助表!AB$1,FALSE)</f>
        <v>0</v>
      </c>
      <c r="AQ13" s="8">
        <f>VLOOKUP($A13,地图配置辅助表!$A$3:$AP$245,地图配置辅助表!AC$1,FALSE)</f>
        <v>0</v>
      </c>
      <c r="AR13" s="8">
        <f>VLOOKUP($A13,地图配置辅助表!$A$3:$AP$245,地图配置辅助表!AD$1,FALSE)</f>
        <v>0</v>
      </c>
      <c r="AS13" s="8">
        <f>VLOOKUP($A13,地图配置辅助表!$A$3:$AP$245,地图配置辅助表!AE$1,FALSE)</f>
        <v>0</v>
      </c>
      <c r="AT13" s="8">
        <f>VLOOKUP($A13,地图配置辅助表!$A$3:$AP$245,地图配置辅助表!AF$1,FALSE)</f>
        <v>4</v>
      </c>
      <c r="AU13" s="8">
        <f>VLOOKUP($A13,地图配置辅助表!$A$3:$AP$245,地图配置辅助表!AG$1,FALSE)</f>
        <v>326</v>
      </c>
      <c r="AV13" s="8">
        <f>VLOOKUP($A13,地图配置辅助表!$A$3:$AP$245,地图配置辅助表!AH$1,FALSE)</f>
        <v>327</v>
      </c>
      <c r="AW13" s="8">
        <f>VLOOKUP($A13,地图配置辅助表!$A$3:$AP$245,地图配置辅助表!AI$1,FALSE)</f>
        <v>328</v>
      </c>
      <c r="AX13" s="8">
        <f>VLOOKUP($A13,地图配置辅助表!$A$3:$AP$245,地图配置辅助表!AJ$1,FALSE)</f>
        <v>329</v>
      </c>
      <c r="AY13" s="8">
        <f>VLOOKUP($A13,地图配置辅助表!$A$3:$AP$245,地图配置辅助表!AK$1,FALSE)</f>
        <v>0</v>
      </c>
      <c r="AZ13" s="8">
        <f>VLOOKUP($A13,地图配置辅助表!$A$3:$AP$245,地图配置辅助表!AL$1,FALSE)</f>
        <v>0</v>
      </c>
      <c r="BA13" s="8">
        <f>VLOOKUP($A13,地图配置辅助表!$A$3:$AP$245,地图配置辅助表!AM$1,FALSE)</f>
        <v>0</v>
      </c>
      <c r="BB13" s="8">
        <f>VLOOKUP($A13,地图配置辅助表!$A$3:$AP$245,地图配置辅助表!AN$1,FALSE)</f>
        <v>0</v>
      </c>
      <c r="BC13" s="8">
        <f>VLOOKUP($A13,地图配置辅助表!$A$3:$AP$245,地图配置辅助表!AO$1,FALSE)</f>
        <v>0</v>
      </c>
      <c r="BD13" s="8">
        <f>VLOOKUP($A13,地图配置辅助表!$A$3:$AP$245,地图配置辅助表!AP$1,FALSE)</f>
        <v>0</v>
      </c>
    </row>
    <row r="14" spans="1:56" s="8" customFormat="1" x14ac:dyDescent="0.15">
      <c r="A14">
        <f>地图配置辅助表!A15</f>
        <v>1005</v>
      </c>
      <c r="B14" s="8">
        <f>地图配置辅助表!B15</f>
        <v>1</v>
      </c>
      <c r="C14" s="8">
        <f>地图配置辅助表!C15</f>
        <v>1</v>
      </c>
      <c r="D14" s="9" t="str">
        <f>地图配置辅助表!D15</f>
        <v>遭遇埋伏</v>
      </c>
      <c r="E14" s="8" t="s">
        <v>278</v>
      </c>
      <c r="F14" s="8" t="s">
        <v>0</v>
      </c>
      <c r="G14" s="8">
        <v>29</v>
      </c>
      <c r="H14" s="8">
        <v>200</v>
      </c>
      <c r="I14" s="8">
        <v>140</v>
      </c>
      <c r="J14" s="8">
        <v>200</v>
      </c>
      <c r="K14" s="8">
        <v>140</v>
      </c>
      <c r="L14" s="8" t="s">
        <v>125</v>
      </c>
      <c r="M14" s="8">
        <v>0</v>
      </c>
      <c r="R14" s="8" t="s">
        <v>125</v>
      </c>
      <c r="S14" s="11">
        <f>VLOOKUP($A14,地图配置辅助表!$A$3:$AP$245,地图配置辅助表!E$1,FALSE)</f>
        <v>6</v>
      </c>
      <c r="T14" s="8">
        <f>VLOOKUP($A14,地图配置辅助表!$A$3:$AP$245,地图配置辅助表!F$1,FALSE)</f>
        <v>217</v>
      </c>
      <c r="U14" s="8">
        <f>VLOOKUP($A14,地图配置辅助表!$A$3:$AP$245,地图配置辅助表!G$1,FALSE)</f>
        <v>1</v>
      </c>
      <c r="V14" s="8">
        <f>VLOOKUP($A14,地图配置辅助表!$A$3:$AP$245,地图配置辅助表!H$1,FALSE)</f>
        <v>1</v>
      </c>
      <c r="W14" s="8">
        <f>VLOOKUP($A14,地图配置辅助表!$A$3:$AP$245,地图配置辅助表!I$1,FALSE)</f>
        <v>0</v>
      </c>
      <c r="X14" s="8">
        <f>VLOOKUP($A14,地图配置辅助表!$A$3:$AP$245,地图配置辅助表!J$1,FALSE)</f>
        <v>0</v>
      </c>
      <c r="Y14" s="8">
        <f>VLOOKUP($A14,地图配置辅助表!$A$3:$AP$245,地图配置辅助表!K$1,FALSE)</f>
        <v>0</v>
      </c>
      <c r="Z14" s="8">
        <f>VLOOKUP($A14,地图配置辅助表!$A$3:$AP$245,地图配置辅助表!L$1,FALSE)</f>
        <v>0</v>
      </c>
      <c r="AA14" s="8">
        <f>VLOOKUP($A14,地图配置辅助表!$A$3:$AP$245,地图配置辅助表!M$1,FALSE)</f>
        <v>1</v>
      </c>
      <c r="AB14">
        <f>VLOOKUP($A14,地图配置辅助表!$A$3:$AP$245,地图配置辅助表!N$1,FALSE)</f>
        <v>1</v>
      </c>
      <c r="AC14" s="8">
        <f>VLOOKUP($A14,地图配置辅助表!$A$3:$AP$245,地图配置辅助表!O$1,FALSE)</f>
        <v>3</v>
      </c>
      <c r="AD14">
        <f>VLOOKUP($A14,地图配置辅助表!$A$3:$AP$245,地图配置辅助表!P$1,FALSE)</f>
        <v>1004</v>
      </c>
      <c r="AE14" s="8">
        <f>VLOOKUP($A14,地图配置辅助表!$A$3:$AP$245,地图配置辅助表!Q$1,FALSE)</f>
        <v>0</v>
      </c>
      <c r="AF14" s="8">
        <f>VLOOKUP($A14,地图配置辅助表!$A$3:$AP$245,地图配置辅助表!R$1,FALSE)</f>
        <v>0</v>
      </c>
      <c r="AG14" s="11">
        <f>VLOOKUP($A14,地图配置辅助表!$A$3:$AP$245,地图配置辅助表!S$1,FALSE)</f>
        <v>501005</v>
      </c>
      <c r="AH14" s="11">
        <f>VLOOKUP($A14,地图配置辅助表!$A$3:$AP$245,地图配置辅助表!T$1,FALSE)</f>
        <v>115104</v>
      </c>
      <c r="AI14" s="8">
        <f>VLOOKUP($A14,地图配置辅助表!$A$3:$AP$245,地图配置辅助表!U$1,FALSE)</f>
        <v>2</v>
      </c>
      <c r="AJ14" s="8">
        <f>VLOOKUP($A14,地图配置辅助表!$A$3:$AP$245,地图配置辅助表!V$1,FALSE)</f>
        <v>115101</v>
      </c>
      <c r="AK14" s="8">
        <f>VLOOKUP($A14,地图配置辅助表!$A$3:$AP$245,地图配置辅助表!W$1,FALSE)</f>
        <v>115102</v>
      </c>
      <c r="AL14" s="8">
        <f>VLOOKUP($A14,地图配置辅助表!$A$3:$AP$245,地图配置辅助表!X$1,FALSE)</f>
        <v>0</v>
      </c>
      <c r="AM14" s="8">
        <f>VLOOKUP($A14,地图配置辅助表!$A$3:$AP$245,地图配置辅助表!Y$1,FALSE)</f>
        <v>0</v>
      </c>
      <c r="AN14" s="8">
        <f>VLOOKUP($A14,地图配置辅助表!$A$3:$AP$245,地图配置辅助表!Z$1,FALSE)</f>
        <v>0</v>
      </c>
      <c r="AO14" s="8">
        <f>VLOOKUP($A14,地图配置辅助表!$A$3:$AP$245,地图配置辅助表!AA$1,FALSE)</f>
        <v>0</v>
      </c>
      <c r="AP14" s="8">
        <f>VLOOKUP($A14,地图配置辅助表!$A$3:$AP$245,地图配置辅助表!AB$1,FALSE)</f>
        <v>0</v>
      </c>
      <c r="AQ14" s="8">
        <f>VLOOKUP($A14,地图配置辅助表!$A$3:$AP$245,地图配置辅助表!AC$1,FALSE)</f>
        <v>0</v>
      </c>
      <c r="AR14" s="8">
        <f>VLOOKUP($A14,地图配置辅助表!$A$3:$AP$245,地图配置辅助表!AD$1,FALSE)</f>
        <v>0</v>
      </c>
      <c r="AS14" s="8">
        <f>VLOOKUP($A14,地图配置辅助表!$A$3:$AP$245,地图配置辅助表!AE$1,FALSE)</f>
        <v>0</v>
      </c>
      <c r="AT14" s="8">
        <f>VLOOKUP($A14,地图配置辅助表!$A$3:$AP$245,地图配置辅助表!AF$1,FALSE)</f>
        <v>4</v>
      </c>
      <c r="AU14" s="8">
        <f>VLOOKUP($A14,地图配置辅助表!$A$3:$AP$245,地图配置辅助表!AG$1,FALSE)</f>
        <v>15</v>
      </c>
      <c r="AV14" s="8">
        <f>VLOOKUP($A14,地图配置辅助表!$A$3:$AP$245,地图配置辅助表!AH$1,FALSE)</f>
        <v>21</v>
      </c>
      <c r="AW14" s="8">
        <f>VLOOKUP($A14,地图配置辅助表!$A$3:$AP$245,地图配置辅助表!AI$1,FALSE)</f>
        <v>27</v>
      </c>
      <c r="AX14" s="8">
        <f>VLOOKUP($A14,地图配置辅助表!$A$3:$AP$245,地图配置辅助表!AJ$1,FALSE)</f>
        <v>355</v>
      </c>
      <c r="AY14" s="8">
        <f>VLOOKUP($A14,地图配置辅助表!$A$3:$AP$245,地图配置辅助表!AK$1,FALSE)</f>
        <v>566</v>
      </c>
      <c r="AZ14" s="8">
        <f>VLOOKUP($A14,地图配置辅助表!$A$3:$AP$245,地图配置辅助表!AL$1,FALSE)</f>
        <v>0</v>
      </c>
      <c r="BA14" s="8">
        <f>VLOOKUP($A14,地图配置辅助表!$A$3:$AP$245,地图配置辅助表!AM$1,FALSE)</f>
        <v>0</v>
      </c>
      <c r="BB14" s="8">
        <f>VLOOKUP($A14,地图配置辅助表!$A$3:$AP$245,地图配置辅助表!AN$1,FALSE)</f>
        <v>0</v>
      </c>
      <c r="BC14" s="8">
        <f>VLOOKUP($A14,地图配置辅助表!$A$3:$AP$245,地图配置辅助表!AO$1,FALSE)</f>
        <v>0</v>
      </c>
      <c r="BD14" s="8">
        <f>VLOOKUP($A14,地图配置辅助表!$A$3:$AP$245,地图配置辅助表!AP$1,FALSE)</f>
        <v>0</v>
      </c>
    </row>
    <row r="15" spans="1:56" s="8" customFormat="1" x14ac:dyDescent="0.15">
      <c r="A15">
        <f>地图配置辅助表!A16</f>
        <v>1006</v>
      </c>
      <c r="B15" s="8">
        <f>地图配置辅助表!B16</f>
        <v>1</v>
      </c>
      <c r="C15" s="8">
        <f>地图配置辅助表!C16</f>
        <v>1</v>
      </c>
      <c r="D15" s="9" t="str">
        <f>地图配置辅助表!D16</f>
        <v>逃出生天</v>
      </c>
      <c r="E15" s="8" t="s">
        <v>384</v>
      </c>
      <c r="F15" s="8" t="s">
        <v>0</v>
      </c>
      <c r="G15" s="8">
        <v>29</v>
      </c>
      <c r="H15" s="8">
        <v>200</v>
      </c>
      <c r="I15" s="8">
        <v>140</v>
      </c>
      <c r="J15" s="8">
        <v>200</v>
      </c>
      <c r="K15" s="8">
        <v>140</v>
      </c>
      <c r="L15" s="8" t="s">
        <v>126</v>
      </c>
      <c r="M15" s="8">
        <v>0</v>
      </c>
      <c r="R15" s="8" t="s">
        <v>126</v>
      </c>
      <c r="S15" s="11">
        <f>VLOOKUP($A15,地图配置辅助表!$A$3:$AP$245,地图配置辅助表!E$1,FALSE)</f>
        <v>6</v>
      </c>
      <c r="T15" s="8">
        <f>VLOOKUP($A15,地图配置辅助表!$A$3:$AP$245,地图配置辅助表!F$1,FALSE)</f>
        <v>264</v>
      </c>
      <c r="U15" s="8">
        <f>VLOOKUP($A15,地图配置辅助表!$A$3:$AP$245,地图配置辅助表!G$1,FALSE)</f>
        <v>1</v>
      </c>
      <c r="V15" s="8">
        <f>VLOOKUP($A15,地图配置辅助表!$A$3:$AP$245,地图配置辅助表!H$1,FALSE)</f>
        <v>1</v>
      </c>
      <c r="W15" s="8">
        <f>VLOOKUP($A15,地图配置辅助表!$A$3:$AP$245,地图配置辅助表!I$1,FALSE)</f>
        <v>0</v>
      </c>
      <c r="X15" s="8">
        <f>VLOOKUP($A15,地图配置辅助表!$A$3:$AP$245,地图配置辅助表!J$1,FALSE)</f>
        <v>0</v>
      </c>
      <c r="Y15" s="8">
        <f>VLOOKUP($A15,地图配置辅助表!$A$3:$AP$245,地图配置辅助表!K$1,FALSE)</f>
        <v>0</v>
      </c>
      <c r="Z15" s="8">
        <f>VLOOKUP($A15,地图配置辅助表!$A$3:$AP$245,地图配置辅助表!L$1,FALSE)</f>
        <v>0</v>
      </c>
      <c r="AA15" s="8">
        <f>VLOOKUP($A15,地图配置辅助表!$A$3:$AP$245,地图配置辅助表!M$1,FALSE)</f>
        <v>1</v>
      </c>
      <c r="AB15">
        <f>VLOOKUP($A15,地图配置辅助表!$A$3:$AP$245,地图配置辅助表!N$1,FALSE)</f>
        <v>1</v>
      </c>
      <c r="AC15" s="8">
        <f>VLOOKUP($A15,地图配置辅助表!$A$3:$AP$245,地图配置辅助表!O$1,FALSE)</f>
        <v>3</v>
      </c>
      <c r="AD15">
        <f>VLOOKUP($A15,地图配置辅助表!$A$3:$AP$245,地图配置辅助表!P$1,FALSE)</f>
        <v>1005</v>
      </c>
      <c r="AE15" s="8">
        <f>VLOOKUP($A15,地图配置辅助表!$A$3:$AP$245,地图配置辅助表!Q$1,FALSE)</f>
        <v>0</v>
      </c>
      <c r="AF15" s="8">
        <f>VLOOKUP($A15,地图配置辅助表!$A$3:$AP$245,地图配置辅助表!R$1,FALSE)</f>
        <v>0</v>
      </c>
      <c r="AG15" s="11">
        <f>VLOOKUP($A15,地图配置辅助表!$A$3:$AP$245,地图配置辅助表!S$1,FALSE)</f>
        <v>501006</v>
      </c>
      <c r="AH15" s="11">
        <f>VLOOKUP($A15,地图配置辅助表!$A$3:$AP$245,地图配置辅助表!T$1,FALSE)</f>
        <v>116104</v>
      </c>
      <c r="AI15" s="8">
        <f>VLOOKUP($A15,地图配置辅助表!$A$3:$AP$245,地图配置辅助表!U$1,FALSE)</f>
        <v>2</v>
      </c>
      <c r="AJ15" s="8">
        <f>VLOOKUP($A15,地图配置辅助表!$A$3:$AP$245,地图配置辅助表!V$1,FALSE)</f>
        <v>116101</v>
      </c>
      <c r="AK15" s="8">
        <f>VLOOKUP($A15,地图配置辅助表!$A$3:$AP$245,地图配置辅助表!W$1,FALSE)</f>
        <v>116102</v>
      </c>
      <c r="AL15" s="8">
        <f>VLOOKUP($A15,地图配置辅助表!$A$3:$AP$245,地图配置辅助表!X$1,FALSE)</f>
        <v>0</v>
      </c>
      <c r="AM15" s="8">
        <f>VLOOKUP($A15,地图配置辅助表!$A$3:$AP$245,地图配置辅助表!Y$1,FALSE)</f>
        <v>0</v>
      </c>
      <c r="AN15" s="8">
        <f>VLOOKUP($A15,地图配置辅助表!$A$3:$AP$245,地图配置辅助表!Z$1,FALSE)</f>
        <v>0</v>
      </c>
      <c r="AO15" s="8">
        <f>VLOOKUP($A15,地图配置辅助表!$A$3:$AP$245,地图配置辅助表!AA$1,FALSE)</f>
        <v>0</v>
      </c>
      <c r="AP15" s="8">
        <f>VLOOKUP($A15,地图配置辅助表!$A$3:$AP$245,地图配置辅助表!AB$1,FALSE)</f>
        <v>0</v>
      </c>
      <c r="AQ15" s="8">
        <f>VLOOKUP($A15,地图配置辅助表!$A$3:$AP$245,地图配置辅助表!AC$1,FALSE)</f>
        <v>0</v>
      </c>
      <c r="AR15" s="8">
        <f>VLOOKUP($A15,地图配置辅助表!$A$3:$AP$245,地图配置辅助表!AD$1,FALSE)</f>
        <v>0</v>
      </c>
      <c r="AS15" s="8">
        <f>VLOOKUP($A15,地图配置辅助表!$A$3:$AP$245,地图配置辅助表!AE$1,FALSE)</f>
        <v>0</v>
      </c>
      <c r="AT15" s="8">
        <f>VLOOKUP($A15,地图配置辅助表!$A$3:$AP$245,地图配置辅助表!AF$1,FALSE)</f>
        <v>5</v>
      </c>
      <c r="AU15" s="8">
        <f>VLOOKUP($A15,地图配置辅助表!$A$3:$AP$245,地图配置辅助表!AG$1,FALSE)</f>
        <v>11</v>
      </c>
      <c r="AV15" s="8">
        <f>VLOOKUP($A15,地图配置辅助表!$A$3:$AP$245,地图配置辅助表!AH$1,FALSE)</f>
        <v>20</v>
      </c>
      <c r="AW15" s="8">
        <f>VLOOKUP($A15,地图配置辅助表!$A$3:$AP$245,地图配置辅助表!AI$1,FALSE)</f>
        <v>29</v>
      </c>
      <c r="AX15" s="8">
        <f>VLOOKUP($A15,地图配置辅助表!$A$3:$AP$245,地图配置辅助表!AJ$1,FALSE)</f>
        <v>158</v>
      </c>
      <c r="AY15" s="8">
        <f>VLOOKUP($A15,地图配置辅助表!$A$3:$AP$245,地图配置辅助表!AK$1,FALSE)</f>
        <v>415</v>
      </c>
      <c r="AZ15" s="8">
        <f>VLOOKUP($A15,地图配置辅助表!$A$3:$AP$245,地图配置辅助表!AL$1,FALSE)</f>
        <v>0</v>
      </c>
      <c r="BA15" s="8">
        <f>VLOOKUP($A15,地图配置辅助表!$A$3:$AP$245,地图配置辅助表!AM$1,FALSE)</f>
        <v>0</v>
      </c>
      <c r="BB15" s="8">
        <f>VLOOKUP($A15,地图配置辅助表!$A$3:$AP$245,地图配置辅助表!AN$1,FALSE)</f>
        <v>0</v>
      </c>
      <c r="BC15" s="8">
        <f>VLOOKUP($A15,地图配置辅助表!$A$3:$AP$245,地图配置辅助表!AO$1,FALSE)</f>
        <v>0</v>
      </c>
      <c r="BD15" s="8">
        <f>VLOOKUP($A15,地图配置辅助表!$A$3:$AP$245,地图配置辅助表!AP$1,FALSE)</f>
        <v>0</v>
      </c>
    </row>
    <row r="16" spans="1:56" s="8" customFormat="1" x14ac:dyDescent="0.15">
      <c r="A16">
        <f>地图配置辅助表!A17</f>
        <v>1007</v>
      </c>
      <c r="B16" s="8">
        <f>地图配置辅助表!B17</f>
        <v>1</v>
      </c>
      <c r="C16" s="8">
        <f>地图配置辅助表!C17</f>
        <v>1</v>
      </c>
      <c r="D16" s="9" t="str">
        <f>地图配置辅助表!D17</f>
        <v>B哥遇害</v>
      </c>
      <c r="E16" s="8" t="s">
        <v>277</v>
      </c>
      <c r="F16" s="8" t="s">
        <v>0</v>
      </c>
      <c r="G16" s="8">
        <v>29</v>
      </c>
      <c r="H16" s="8">
        <v>200</v>
      </c>
      <c r="I16" s="8">
        <v>140</v>
      </c>
      <c r="J16" s="8">
        <v>200</v>
      </c>
      <c r="K16" s="8">
        <v>140</v>
      </c>
      <c r="L16" s="8" t="s">
        <v>617</v>
      </c>
      <c r="M16" s="8">
        <v>0</v>
      </c>
      <c r="R16" s="8" t="s">
        <v>617</v>
      </c>
      <c r="S16" s="11">
        <f>VLOOKUP($A16,地图配置辅助表!$A$3:$AP$245,地图配置辅助表!E$1,FALSE)</f>
        <v>6</v>
      </c>
      <c r="T16" s="8">
        <f>VLOOKUP($A16,地图配置辅助表!$A$3:$AP$245,地图配置辅助表!F$1,FALSE)</f>
        <v>310</v>
      </c>
      <c r="U16" s="8">
        <f>VLOOKUP($A16,地图配置辅助表!$A$3:$AP$245,地图配置辅助表!G$1,FALSE)</f>
        <v>1</v>
      </c>
      <c r="V16" s="8">
        <f>VLOOKUP($A16,地图配置辅助表!$A$3:$AP$245,地图配置辅助表!H$1,FALSE)</f>
        <v>1</v>
      </c>
      <c r="W16" s="8">
        <f>VLOOKUP($A16,地图配置辅助表!$A$3:$AP$245,地图配置辅助表!I$1,FALSE)</f>
        <v>0</v>
      </c>
      <c r="X16" s="8">
        <f>VLOOKUP($A16,地图配置辅助表!$A$3:$AP$245,地图配置辅助表!J$1,FALSE)</f>
        <v>0</v>
      </c>
      <c r="Y16" s="8">
        <f>VLOOKUP($A16,地图配置辅助表!$A$3:$AP$245,地图配置辅助表!K$1,FALSE)</f>
        <v>0</v>
      </c>
      <c r="Z16" s="8">
        <f>VLOOKUP($A16,地图配置辅助表!$A$3:$AP$245,地图配置辅助表!L$1,FALSE)</f>
        <v>0</v>
      </c>
      <c r="AA16" s="8">
        <f>VLOOKUP($A16,地图配置辅助表!$A$3:$AP$245,地图配置辅助表!M$1,FALSE)</f>
        <v>1</v>
      </c>
      <c r="AB16">
        <f>VLOOKUP($A16,地图配置辅助表!$A$3:$AP$245,地图配置辅助表!N$1,FALSE)</f>
        <v>1</v>
      </c>
      <c r="AC16" s="8">
        <f>VLOOKUP($A16,地图配置辅助表!$A$3:$AP$245,地图配置辅助表!O$1,FALSE)</f>
        <v>3</v>
      </c>
      <c r="AD16">
        <f>VLOOKUP($A16,地图配置辅助表!$A$3:$AP$245,地图配置辅助表!P$1,FALSE)</f>
        <v>1006</v>
      </c>
      <c r="AE16" s="8">
        <f>VLOOKUP($A16,地图配置辅助表!$A$3:$AP$245,地图配置辅助表!Q$1,FALSE)</f>
        <v>0</v>
      </c>
      <c r="AF16" s="8">
        <f>VLOOKUP($A16,地图配置辅助表!$A$3:$AP$245,地图配置辅助表!R$1,FALSE)</f>
        <v>0</v>
      </c>
      <c r="AG16" s="11">
        <f>VLOOKUP($A16,地图配置辅助表!$A$3:$AP$245,地图配置辅助表!S$1,FALSE)</f>
        <v>501007</v>
      </c>
      <c r="AH16" s="11">
        <f>VLOOKUP($A16,地图配置辅助表!$A$3:$AP$245,地图配置辅助表!T$1,FALSE)</f>
        <v>117104</v>
      </c>
      <c r="AI16" s="8">
        <f>VLOOKUP($A16,地图配置辅助表!$A$3:$AP$245,地图配置辅助表!U$1,FALSE)</f>
        <v>2</v>
      </c>
      <c r="AJ16" s="8">
        <f>VLOOKUP($A16,地图配置辅助表!$A$3:$AP$245,地图配置辅助表!V$1,FALSE)</f>
        <v>117101</v>
      </c>
      <c r="AK16" s="8">
        <f>VLOOKUP($A16,地图配置辅助表!$A$3:$AP$245,地图配置辅助表!W$1,FALSE)</f>
        <v>117102</v>
      </c>
      <c r="AL16" s="8">
        <f>VLOOKUP($A16,地图配置辅助表!$A$3:$AP$245,地图配置辅助表!X$1,FALSE)</f>
        <v>0</v>
      </c>
      <c r="AM16" s="8">
        <f>VLOOKUP($A16,地图配置辅助表!$A$3:$AP$245,地图配置辅助表!Y$1,FALSE)</f>
        <v>0</v>
      </c>
      <c r="AN16" s="8">
        <f>VLOOKUP($A16,地图配置辅助表!$A$3:$AP$245,地图配置辅助表!Z$1,FALSE)</f>
        <v>0</v>
      </c>
      <c r="AO16" s="8">
        <f>VLOOKUP($A16,地图配置辅助表!$A$3:$AP$245,地图配置辅助表!AA$1,FALSE)</f>
        <v>0</v>
      </c>
      <c r="AP16" s="8">
        <f>VLOOKUP($A16,地图配置辅助表!$A$3:$AP$245,地图配置辅助表!AB$1,FALSE)</f>
        <v>0</v>
      </c>
      <c r="AQ16" s="8">
        <f>VLOOKUP($A16,地图配置辅助表!$A$3:$AP$245,地图配置辅助表!AC$1,FALSE)</f>
        <v>0</v>
      </c>
      <c r="AR16" s="8">
        <f>VLOOKUP($A16,地图配置辅助表!$A$3:$AP$245,地图配置辅助表!AD$1,FALSE)</f>
        <v>0</v>
      </c>
      <c r="AS16" s="8">
        <f>VLOOKUP($A16,地图配置辅助表!$A$3:$AP$245,地图配置辅助表!AE$1,FALSE)</f>
        <v>0</v>
      </c>
      <c r="AT16" s="8">
        <f>VLOOKUP($A16,地图配置辅助表!$A$3:$AP$245,地图配置辅助表!AF$1,FALSE)</f>
        <v>4</v>
      </c>
      <c r="AU16" s="8">
        <f>VLOOKUP($A16,地图配置辅助表!$A$3:$AP$245,地图配置辅助表!AG$1,FALSE)</f>
        <v>326</v>
      </c>
      <c r="AV16" s="8">
        <f>VLOOKUP($A16,地图配置辅助表!$A$3:$AP$245,地图配置辅助表!AH$1,FALSE)</f>
        <v>327</v>
      </c>
      <c r="AW16" s="8">
        <f>VLOOKUP($A16,地图配置辅助表!$A$3:$AP$245,地图配置辅助表!AI$1,FALSE)</f>
        <v>328</v>
      </c>
      <c r="AX16" s="8">
        <f>VLOOKUP($A16,地图配置辅助表!$A$3:$AP$245,地图配置辅助表!AJ$1,FALSE)</f>
        <v>329</v>
      </c>
      <c r="AY16" s="8">
        <f>VLOOKUP($A16,地图配置辅助表!$A$3:$AP$245,地图配置辅助表!AK$1,FALSE)</f>
        <v>455</v>
      </c>
      <c r="AZ16" s="8">
        <f>VLOOKUP($A16,地图配置辅助表!$A$3:$AP$245,地图配置辅助表!AL$1,FALSE)</f>
        <v>459</v>
      </c>
      <c r="BA16" s="8">
        <f>VLOOKUP($A16,地图配置辅助表!$A$3:$AP$245,地图配置辅助表!AM$1,FALSE)</f>
        <v>0</v>
      </c>
      <c r="BB16" s="8">
        <f>VLOOKUP($A16,地图配置辅助表!$A$3:$AP$245,地图配置辅助表!AN$1,FALSE)</f>
        <v>0</v>
      </c>
      <c r="BC16" s="8">
        <f>VLOOKUP($A16,地图配置辅助表!$A$3:$AP$245,地图配置辅助表!AO$1,FALSE)</f>
        <v>0</v>
      </c>
      <c r="BD16" s="8">
        <f>VLOOKUP($A16,地图配置辅助表!$A$3:$AP$245,地图配置辅助表!AP$1,FALSE)</f>
        <v>0</v>
      </c>
    </row>
    <row r="17" spans="1:56" s="8" customFormat="1" x14ac:dyDescent="0.15">
      <c r="A17">
        <f>地图配置辅助表!A18</f>
        <v>1008</v>
      </c>
      <c r="B17" s="8">
        <f>地图配置辅助表!B18</f>
        <v>1</v>
      </c>
      <c r="C17" s="8">
        <f>地图配置辅助表!C18</f>
        <v>1</v>
      </c>
      <c r="D17" s="9" t="str">
        <f>地图配置辅助表!D18</f>
        <v>同仇敌忾</v>
      </c>
      <c r="E17" s="8" t="s">
        <v>278</v>
      </c>
      <c r="F17" s="8" t="s">
        <v>0</v>
      </c>
      <c r="G17" s="8">
        <v>29</v>
      </c>
      <c r="H17" s="8">
        <v>200</v>
      </c>
      <c r="I17" s="8">
        <v>140</v>
      </c>
      <c r="J17" s="8">
        <v>200</v>
      </c>
      <c r="K17" s="8">
        <v>140</v>
      </c>
      <c r="L17" s="8" t="s">
        <v>618</v>
      </c>
      <c r="M17" s="8">
        <v>0</v>
      </c>
      <c r="R17" s="8" t="s">
        <v>618</v>
      </c>
      <c r="S17" s="11">
        <f>VLOOKUP($A17,地图配置辅助表!$A$3:$AP$245,地图配置辅助表!E$1,FALSE)</f>
        <v>6</v>
      </c>
      <c r="T17" s="8">
        <f>VLOOKUP($A17,地图配置辅助表!$A$3:$AP$245,地图配置辅助表!F$1,FALSE)</f>
        <v>411</v>
      </c>
      <c r="U17" s="8">
        <f>VLOOKUP($A17,地图配置辅助表!$A$3:$AP$245,地图配置辅助表!G$1,FALSE)</f>
        <v>1</v>
      </c>
      <c r="V17" s="8">
        <f>VLOOKUP($A17,地图配置辅助表!$A$3:$AP$245,地图配置辅助表!H$1,FALSE)</f>
        <v>1</v>
      </c>
      <c r="W17" s="8">
        <f>VLOOKUP($A17,地图配置辅助表!$A$3:$AP$245,地图配置辅助表!I$1,FALSE)</f>
        <v>0</v>
      </c>
      <c r="X17" s="8">
        <f>VLOOKUP($A17,地图配置辅助表!$A$3:$AP$245,地图配置辅助表!J$1,FALSE)</f>
        <v>0</v>
      </c>
      <c r="Y17" s="8">
        <f>VLOOKUP($A17,地图配置辅助表!$A$3:$AP$245,地图配置辅助表!K$1,FALSE)</f>
        <v>0</v>
      </c>
      <c r="Z17" s="8">
        <f>VLOOKUP($A17,地图配置辅助表!$A$3:$AP$245,地图配置辅助表!L$1,FALSE)</f>
        <v>0</v>
      </c>
      <c r="AA17" s="8">
        <f>VLOOKUP($A17,地图配置辅助表!$A$3:$AP$245,地图配置辅助表!M$1,FALSE)</f>
        <v>1</v>
      </c>
      <c r="AB17">
        <f>VLOOKUP($A17,地图配置辅助表!$A$3:$AP$245,地图配置辅助表!N$1,FALSE)</f>
        <v>1</v>
      </c>
      <c r="AC17" s="8">
        <f>VLOOKUP($A17,地图配置辅助表!$A$3:$AP$245,地图配置辅助表!O$1,FALSE)</f>
        <v>3</v>
      </c>
      <c r="AD17">
        <f>VLOOKUP($A17,地图配置辅助表!$A$3:$AP$245,地图配置辅助表!P$1,FALSE)</f>
        <v>1007</v>
      </c>
      <c r="AE17" s="8">
        <f>VLOOKUP($A17,地图配置辅助表!$A$3:$AP$245,地图配置辅助表!Q$1,FALSE)</f>
        <v>0</v>
      </c>
      <c r="AF17" s="8">
        <f>VLOOKUP($A17,地图配置辅助表!$A$3:$AP$245,地图配置辅助表!R$1,FALSE)</f>
        <v>0</v>
      </c>
      <c r="AG17" s="11">
        <f>VLOOKUP($A17,地图配置辅助表!$A$3:$AP$245,地图配置辅助表!S$1,FALSE)</f>
        <v>501008</v>
      </c>
      <c r="AH17" s="11">
        <f>VLOOKUP($A17,地图配置辅助表!$A$3:$AP$245,地图配置辅助表!T$1,FALSE)</f>
        <v>118104</v>
      </c>
      <c r="AI17" s="8">
        <f>VLOOKUP($A17,地图配置辅助表!$A$3:$AP$245,地图配置辅助表!U$1,FALSE)</f>
        <v>2</v>
      </c>
      <c r="AJ17" s="8">
        <f>VLOOKUP($A17,地图配置辅助表!$A$3:$AP$245,地图配置辅助表!V$1,FALSE)</f>
        <v>118101</v>
      </c>
      <c r="AK17" s="8">
        <f>VLOOKUP($A17,地图配置辅助表!$A$3:$AP$245,地图配置辅助表!W$1,FALSE)</f>
        <v>118102</v>
      </c>
      <c r="AL17" s="8">
        <f>VLOOKUP($A17,地图配置辅助表!$A$3:$AP$245,地图配置辅助表!X$1,FALSE)</f>
        <v>0</v>
      </c>
      <c r="AM17" s="8">
        <f>VLOOKUP($A17,地图配置辅助表!$A$3:$AP$245,地图配置辅助表!Y$1,FALSE)</f>
        <v>0</v>
      </c>
      <c r="AN17" s="8">
        <f>VLOOKUP($A17,地图配置辅助表!$A$3:$AP$245,地图配置辅助表!Z$1,FALSE)</f>
        <v>0</v>
      </c>
      <c r="AO17" s="8">
        <f>VLOOKUP($A17,地图配置辅助表!$A$3:$AP$245,地图配置辅助表!AA$1,FALSE)</f>
        <v>0</v>
      </c>
      <c r="AP17" s="8">
        <f>VLOOKUP($A17,地图配置辅助表!$A$3:$AP$245,地图配置辅助表!AB$1,FALSE)</f>
        <v>0</v>
      </c>
      <c r="AQ17" s="8">
        <f>VLOOKUP($A17,地图配置辅助表!$A$3:$AP$245,地图配置辅助表!AC$1,FALSE)</f>
        <v>0</v>
      </c>
      <c r="AR17" s="8">
        <f>VLOOKUP($A17,地图配置辅助表!$A$3:$AP$245,地图配置辅助表!AD$1,FALSE)</f>
        <v>0</v>
      </c>
      <c r="AS17" s="8">
        <f>VLOOKUP($A17,地图配置辅助表!$A$3:$AP$245,地图配置辅助表!AE$1,FALSE)</f>
        <v>0</v>
      </c>
      <c r="AT17" s="8">
        <f>VLOOKUP($A17,地图配置辅助表!$A$3:$AP$245,地图配置辅助表!AF$1,FALSE)</f>
        <v>4</v>
      </c>
      <c r="AU17" s="8">
        <f>VLOOKUP($A17,地图配置辅助表!$A$3:$AP$245,地图配置辅助表!AG$1,FALSE)</f>
        <v>15</v>
      </c>
      <c r="AV17" s="8">
        <f>VLOOKUP($A17,地图配置辅助表!$A$3:$AP$245,地图配置辅助表!AH$1,FALSE)</f>
        <v>21</v>
      </c>
      <c r="AW17" s="8">
        <f>VLOOKUP($A17,地图配置辅助表!$A$3:$AP$245,地图配置辅助表!AI$1,FALSE)</f>
        <v>27</v>
      </c>
      <c r="AX17" s="8">
        <f>VLOOKUP($A17,地图配置辅助表!$A$3:$AP$245,地图配置辅助表!AJ$1,FALSE)</f>
        <v>355</v>
      </c>
      <c r="AY17" s="8">
        <f>VLOOKUP($A17,地图配置辅助表!$A$3:$AP$245,地图配置辅助表!AK$1,FALSE)</f>
        <v>0</v>
      </c>
      <c r="AZ17" s="8">
        <f>VLOOKUP($A17,地图配置辅助表!$A$3:$AP$245,地图配置辅助表!AL$1,FALSE)</f>
        <v>0</v>
      </c>
      <c r="BA17" s="8">
        <f>VLOOKUP($A17,地图配置辅助表!$A$3:$AP$245,地图配置辅助表!AM$1,FALSE)</f>
        <v>0</v>
      </c>
      <c r="BB17" s="8">
        <f>VLOOKUP($A17,地图配置辅助表!$A$3:$AP$245,地图配置辅助表!AN$1,FALSE)</f>
        <v>0</v>
      </c>
      <c r="BC17" s="8">
        <f>VLOOKUP($A17,地图配置辅助表!$A$3:$AP$245,地图配置辅助表!AO$1,FALSE)</f>
        <v>0</v>
      </c>
      <c r="BD17" s="8">
        <f>VLOOKUP($A17,地图配置辅助表!$A$3:$AP$245,地图配置辅助表!AP$1,FALSE)</f>
        <v>0</v>
      </c>
    </row>
    <row r="18" spans="1:56" s="8" customFormat="1" x14ac:dyDescent="0.15">
      <c r="A18">
        <f>地图配置辅助表!A19</f>
        <v>1009</v>
      </c>
      <c r="B18" s="8">
        <f>地图配置辅助表!B19</f>
        <v>1</v>
      </c>
      <c r="C18" s="8">
        <f>地图配置辅助表!C19</f>
        <v>1</v>
      </c>
      <c r="D18" s="9" t="str">
        <f>地图配置辅助表!D19</f>
        <v>合力毙靓坤</v>
      </c>
      <c r="E18" s="8" t="s">
        <v>384</v>
      </c>
      <c r="F18" s="8" t="s">
        <v>0</v>
      </c>
      <c r="G18" s="8">
        <v>29</v>
      </c>
      <c r="H18" s="8">
        <v>200</v>
      </c>
      <c r="I18" s="8">
        <v>140</v>
      </c>
      <c r="J18" s="8">
        <v>200</v>
      </c>
      <c r="K18" s="8">
        <v>140</v>
      </c>
      <c r="L18" s="8" t="s">
        <v>619</v>
      </c>
      <c r="M18" s="8">
        <v>0</v>
      </c>
      <c r="R18" s="8" t="s">
        <v>619</v>
      </c>
      <c r="S18" s="11">
        <f>VLOOKUP($A18,地图配置辅助表!$A$3:$AP$245,地图配置辅助表!E$1,FALSE)</f>
        <v>6</v>
      </c>
      <c r="T18" s="8">
        <f>VLOOKUP($A18,地图配置辅助表!$A$3:$AP$245,地图配置辅助表!F$1,FALSE)</f>
        <v>527</v>
      </c>
      <c r="U18" s="8">
        <f>VLOOKUP($A18,地图配置辅助表!$A$3:$AP$245,地图配置辅助表!G$1,FALSE)</f>
        <v>1</v>
      </c>
      <c r="V18" s="8">
        <f>VLOOKUP($A18,地图配置辅助表!$A$3:$AP$245,地图配置辅助表!H$1,FALSE)</f>
        <v>1</v>
      </c>
      <c r="W18" s="8">
        <f>VLOOKUP($A18,地图配置辅助表!$A$3:$AP$245,地图配置辅助表!I$1,FALSE)</f>
        <v>0</v>
      </c>
      <c r="X18" s="8">
        <f>VLOOKUP($A18,地图配置辅助表!$A$3:$AP$245,地图配置辅助表!J$1,FALSE)</f>
        <v>0</v>
      </c>
      <c r="Y18" s="8">
        <f>VLOOKUP($A18,地图配置辅助表!$A$3:$AP$245,地图配置辅助表!K$1,FALSE)</f>
        <v>0</v>
      </c>
      <c r="Z18" s="8">
        <f>VLOOKUP($A18,地图配置辅助表!$A$3:$AP$245,地图配置辅助表!L$1,FALSE)</f>
        <v>0</v>
      </c>
      <c r="AA18" s="8">
        <f>VLOOKUP($A18,地图配置辅助表!$A$3:$AP$245,地图配置辅助表!M$1,FALSE)</f>
        <v>1</v>
      </c>
      <c r="AB18">
        <f>VLOOKUP($A18,地图配置辅助表!$A$3:$AP$245,地图配置辅助表!N$1,FALSE)</f>
        <v>1</v>
      </c>
      <c r="AC18" s="8">
        <f>VLOOKUP($A18,地图配置辅助表!$A$3:$AP$245,地图配置辅助表!O$1,FALSE)</f>
        <v>3</v>
      </c>
      <c r="AD18">
        <f>VLOOKUP($A18,地图配置辅助表!$A$3:$AP$245,地图配置辅助表!P$1,FALSE)</f>
        <v>1008</v>
      </c>
      <c r="AE18" s="8">
        <f>VLOOKUP($A18,地图配置辅助表!$A$3:$AP$245,地图配置辅助表!Q$1,FALSE)</f>
        <v>0</v>
      </c>
      <c r="AF18" s="8">
        <f>VLOOKUP($A18,地图配置辅助表!$A$3:$AP$245,地图配置辅助表!R$1,FALSE)</f>
        <v>0</v>
      </c>
      <c r="AG18" s="11">
        <f>VLOOKUP($A18,地图配置辅助表!$A$3:$AP$245,地图配置辅助表!S$1,FALSE)</f>
        <v>501009</v>
      </c>
      <c r="AH18" s="11">
        <f>VLOOKUP($A18,地图配置辅助表!$A$3:$AP$245,地图配置辅助表!T$1,FALSE)</f>
        <v>119104</v>
      </c>
      <c r="AI18" s="8">
        <f>VLOOKUP($A18,地图配置辅助表!$A$3:$AP$245,地图配置辅助表!U$1,FALSE)</f>
        <v>2</v>
      </c>
      <c r="AJ18" s="8">
        <f>VLOOKUP($A18,地图配置辅助表!$A$3:$AP$245,地图配置辅助表!V$1,FALSE)</f>
        <v>119101</v>
      </c>
      <c r="AK18" s="8">
        <f>VLOOKUP($A18,地图配置辅助表!$A$3:$AP$245,地图配置辅助表!W$1,FALSE)</f>
        <v>119102</v>
      </c>
      <c r="AL18" s="8">
        <f>VLOOKUP($A18,地图配置辅助表!$A$3:$AP$245,地图配置辅助表!X$1,FALSE)</f>
        <v>0</v>
      </c>
      <c r="AM18" s="8">
        <f>VLOOKUP($A18,地图配置辅助表!$A$3:$AP$245,地图配置辅助表!Y$1,FALSE)</f>
        <v>0</v>
      </c>
      <c r="AN18" s="8">
        <f>VLOOKUP($A18,地图配置辅助表!$A$3:$AP$245,地图配置辅助表!Z$1,FALSE)</f>
        <v>0</v>
      </c>
      <c r="AO18" s="8">
        <f>VLOOKUP($A18,地图配置辅助表!$A$3:$AP$245,地图配置辅助表!AA$1,FALSE)</f>
        <v>0</v>
      </c>
      <c r="AP18" s="8">
        <f>VLOOKUP($A18,地图配置辅助表!$A$3:$AP$245,地图配置辅助表!AB$1,FALSE)</f>
        <v>0</v>
      </c>
      <c r="AQ18" s="8">
        <f>VLOOKUP($A18,地图配置辅助表!$A$3:$AP$245,地图配置辅助表!AC$1,FALSE)</f>
        <v>0</v>
      </c>
      <c r="AR18" s="8">
        <f>VLOOKUP($A18,地图配置辅助表!$A$3:$AP$245,地图配置辅助表!AD$1,FALSE)</f>
        <v>0</v>
      </c>
      <c r="AS18" s="8">
        <f>VLOOKUP($A18,地图配置辅助表!$A$3:$AP$245,地图配置辅助表!AE$1,FALSE)</f>
        <v>0</v>
      </c>
      <c r="AT18" s="8">
        <f>VLOOKUP($A18,地图配置辅助表!$A$3:$AP$245,地图配置辅助表!AF$1,FALSE)</f>
        <v>5</v>
      </c>
      <c r="AU18" s="8">
        <f>VLOOKUP($A18,地图配置辅助表!$A$3:$AP$245,地图配置辅助表!AG$1,FALSE)</f>
        <v>11</v>
      </c>
      <c r="AV18" s="8">
        <f>VLOOKUP($A18,地图配置辅助表!$A$3:$AP$245,地图配置辅助表!AH$1,FALSE)</f>
        <v>20</v>
      </c>
      <c r="AW18" s="8">
        <f>VLOOKUP($A18,地图配置辅助表!$A$3:$AP$245,地图配置辅助表!AI$1,FALSE)</f>
        <v>29</v>
      </c>
      <c r="AX18" s="8">
        <f>VLOOKUP($A18,地图配置辅助表!$A$3:$AP$245,地图配置辅助表!AJ$1,FALSE)</f>
        <v>158</v>
      </c>
      <c r="AY18" s="8">
        <f>VLOOKUP($A18,地图配置辅助表!$A$3:$AP$245,地图配置辅助表!AK$1,FALSE)</f>
        <v>415</v>
      </c>
      <c r="AZ18" s="8">
        <f>VLOOKUP($A18,地图配置辅助表!$A$3:$AP$245,地图配置辅助表!AL$1,FALSE)</f>
        <v>0</v>
      </c>
      <c r="BA18" s="8">
        <f>VLOOKUP($A18,地图配置辅助表!$A$3:$AP$245,地图配置辅助表!AM$1,FALSE)</f>
        <v>0</v>
      </c>
      <c r="BB18" s="8">
        <f>VLOOKUP($A18,地图配置辅助表!$A$3:$AP$245,地图配置辅助表!AN$1,FALSE)</f>
        <v>0</v>
      </c>
      <c r="BC18" s="8">
        <f>VLOOKUP($A18,地图配置辅助表!$A$3:$AP$245,地图配置辅助表!AO$1,FALSE)</f>
        <v>0</v>
      </c>
      <c r="BD18" s="8">
        <f>VLOOKUP($A18,地图配置辅助表!$A$3:$AP$245,地图配置辅助表!AP$1,FALSE)</f>
        <v>0</v>
      </c>
    </row>
    <row r="19" spans="1:56" s="8" customFormat="1" x14ac:dyDescent="0.15">
      <c r="A19">
        <f>地图配置辅助表!A20</f>
        <v>1010</v>
      </c>
      <c r="B19" s="8">
        <f>地图配置辅助表!B20</f>
        <v>1</v>
      </c>
      <c r="C19" s="8">
        <f>地图配置辅助表!C20</f>
        <v>0</v>
      </c>
      <c r="D19" s="9" t="str">
        <f>地图配置辅助表!D20</f>
        <v>新手关卡</v>
      </c>
      <c r="E19" s="8" t="s">
        <v>385</v>
      </c>
      <c r="F19" s="8" t="s">
        <v>0</v>
      </c>
      <c r="G19" s="8">
        <v>29</v>
      </c>
      <c r="H19" s="8">
        <v>400</v>
      </c>
      <c r="I19" s="8">
        <v>115</v>
      </c>
      <c r="J19" s="8">
        <v>400</v>
      </c>
      <c r="K19" s="8">
        <v>115</v>
      </c>
      <c r="L19" s="8" t="s">
        <v>669</v>
      </c>
      <c r="M19" s="8">
        <v>0</v>
      </c>
      <c r="R19" s="8" t="s">
        <v>249</v>
      </c>
      <c r="S19" s="11">
        <f>VLOOKUP($A19,地图配置辅助表!$A$3:$AP$245,地图配置辅助表!E$1,FALSE)</f>
        <v>6</v>
      </c>
      <c r="T19" s="8">
        <f>VLOOKUP($A19,地图配置辅助表!$A$3:$AP$245,地图配置辅助表!F$1,FALSE)</f>
        <v>264</v>
      </c>
      <c r="U19" s="8">
        <f>VLOOKUP($A19,地图配置辅助表!$A$3:$AP$245,地图配置辅助表!G$1,FALSE)</f>
        <v>1</v>
      </c>
      <c r="V19" s="8">
        <f>VLOOKUP($A19,地图配置辅助表!$A$3:$AP$245,地图配置辅助表!H$1,FALSE)</f>
        <v>1</v>
      </c>
      <c r="W19" s="8">
        <f>VLOOKUP($A19,地图配置辅助表!$A$3:$AP$245,地图配置辅助表!I$1,FALSE)</f>
        <v>0</v>
      </c>
      <c r="X19" s="8">
        <f>VLOOKUP($A19,地图配置辅助表!$A$3:$AP$245,地图配置辅助表!J$1,FALSE)</f>
        <v>0</v>
      </c>
      <c r="Y19" s="8">
        <f>VLOOKUP($A19,地图配置辅助表!$A$3:$AP$245,地图配置辅助表!K$1,FALSE)</f>
        <v>0</v>
      </c>
      <c r="Z19" s="8">
        <f>VLOOKUP($A19,地图配置辅助表!$A$3:$AP$245,地图配置辅助表!L$1,FALSE)</f>
        <v>0</v>
      </c>
      <c r="AA19" s="8">
        <f>VLOOKUP($A19,地图配置辅助表!$A$3:$AP$245,地图配置辅助表!M$1,FALSE)</f>
        <v>0</v>
      </c>
      <c r="AB19">
        <f>VLOOKUP($A19,地图配置辅助表!$A$3:$AP$245,地图配置辅助表!N$1,FALSE)</f>
        <v>1</v>
      </c>
      <c r="AC19" s="8">
        <f>VLOOKUP($A19,地图配置辅助表!$A$3:$AP$245,地图配置辅助表!O$1,FALSE)</f>
        <v>0</v>
      </c>
      <c r="AD19">
        <f>VLOOKUP($A19,地图配置辅助表!$A$3:$AP$245,地图配置辅助表!P$1,FALSE)</f>
        <v>0</v>
      </c>
      <c r="AE19" s="8">
        <f>VLOOKUP($A19,地图配置辅助表!$A$3:$AP$245,地图配置辅助表!Q$1,FALSE)</f>
        <v>0</v>
      </c>
      <c r="AF19" s="8">
        <f>VLOOKUP($A19,地图配置辅助表!$A$3:$AP$245,地图配置辅助表!R$1,FALSE)</f>
        <v>0</v>
      </c>
      <c r="AG19" s="11">
        <f>VLOOKUP($A19,地图配置辅助表!$A$3:$AP$245,地图配置辅助表!S$1,FALSE)</f>
        <v>501010</v>
      </c>
      <c r="AH19" s="11">
        <f>VLOOKUP($A19,地图配置辅助表!$A$3:$AP$245,地图配置辅助表!T$1,FALSE)</f>
        <v>116104</v>
      </c>
      <c r="AI19" s="8">
        <f>VLOOKUP($A19,地图配置辅助表!$A$3:$AP$245,地图配置辅助表!U$1,FALSE)</f>
        <v>2</v>
      </c>
      <c r="AJ19" s="8">
        <f>VLOOKUP($A19,地图配置辅助表!$A$3:$AP$245,地图配置辅助表!V$1,FALSE)</f>
        <v>111101</v>
      </c>
      <c r="AK19" s="8">
        <f>VLOOKUP($A19,地图配置辅助表!$A$3:$AP$245,地图配置辅助表!W$1,FALSE)</f>
        <v>111102</v>
      </c>
      <c r="AL19" s="8">
        <f>VLOOKUP($A19,地图配置辅助表!$A$3:$AP$245,地图配置辅助表!X$1,FALSE)</f>
        <v>0</v>
      </c>
      <c r="AM19" s="8">
        <f>VLOOKUP($A19,地图配置辅助表!$A$3:$AP$245,地图配置辅助表!Y$1,FALSE)</f>
        <v>0</v>
      </c>
      <c r="AN19" s="8">
        <f>VLOOKUP($A19,地图配置辅助表!$A$3:$AP$245,地图配置辅助表!Z$1,FALSE)</f>
        <v>0</v>
      </c>
      <c r="AO19" s="8">
        <f>VLOOKUP($A19,地图配置辅助表!$A$3:$AP$245,地图配置辅助表!AA$1,FALSE)</f>
        <v>0</v>
      </c>
      <c r="AP19" s="8">
        <f>VLOOKUP($A19,地图配置辅助表!$A$3:$AP$245,地图配置辅助表!AB$1,FALSE)</f>
        <v>0</v>
      </c>
      <c r="AQ19" s="8">
        <f>VLOOKUP($A19,地图配置辅助表!$A$3:$AP$245,地图配置辅助表!AC$1,FALSE)</f>
        <v>0</v>
      </c>
      <c r="AR19" s="8">
        <f>VLOOKUP($A19,地图配置辅助表!$A$3:$AP$245,地图配置辅助表!AD$1,FALSE)</f>
        <v>0</v>
      </c>
      <c r="AS19" s="8">
        <f>VLOOKUP($A19,地图配置辅助表!$A$3:$AP$245,地图配置辅助表!AE$1,FALSE)</f>
        <v>0</v>
      </c>
      <c r="AT19" s="8">
        <f>VLOOKUP($A19,地图配置辅助表!$A$3:$AP$245,地图配置辅助表!AF$1,FALSE)</f>
        <v>3</v>
      </c>
      <c r="AU19" s="8">
        <f>VLOOKUP($A19,地图配置辅助表!$A$3:$AP$245,地图配置辅助表!AG$1,FALSE)</f>
        <v>127</v>
      </c>
      <c r="AV19" s="8">
        <f>VLOOKUP($A19,地图配置辅助表!$A$3:$AP$245,地图配置辅助表!AH$1,FALSE)</f>
        <v>132</v>
      </c>
      <c r="AW19" s="8">
        <f>VLOOKUP($A19,地图配置辅助表!$A$3:$AP$245,地图配置辅助表!AI$1,FALSE)</f>
        <v>142</v>
      </c>
      <c r="AX19" s="8">
        <f>VLOOKUP($A19,地图配置辅助表!$A$3:$AP$245,地图配置辅助表!AJ$1,FALSE)</f>
        <v>455</v>
      </c>
      <c r="AY19" s="8">
        <f>VLOOKUP($A19,地图配置辅助表!$A$3:$AP$245,地图配置辅助表!AK$1,FALSE)</f>
        <v>0</v>
      </c>
      <c r="AZ19" s="8">
        <f>VLOOKUP($A19,地图配置辅助表!$A$3:$AP$245,地图配置辅助表!AL$1,FALSE)</f>
        <v>0</v>
      </c>
      <c r="BA19" s="8">
        <f>VLOOKUP($A19,地图配置辅助表!$A$3:$AP$245,地图配置辅助表!AM$1,FALSE)</f>
        <v>0</v>
      </c>
      <c r="BB19" s="8">
        <f>VLOOKUP($A19,地图配置辅助表!$A$3:$AP$245,地图配置辅助表!AN$1,FALSE)</f>
        <v>0</v>
      </c>
      <c r="BC19" s="8">
        <f>VLOOKUP($A19,地图配置辅助表!$A$3:$AP$245,地图配置辅助表!AO$1,FALSE)</f>
        <v>0</v>
      </c>
      <c r="BD19" s="8">
        <f>VLOOKUP($A19,地图配置辅助表!$A$3:$AP$245,地图配置辅助表!AP$1,FALSE)</f>
        <v>0</v>
      </c>
    </row>
    <row r="20" spans="1:56" s="8" customFormat="1" x14ac:dyDescent="0.15">
      <c r="A20">
        <f>地图配置辅助表!A21</f>
        <v>2001</v>
      </c>
      <c r="B20" s="8">
        <f>地图配置辅助表!B21</f>
        <v>1</v>
      </c>
      <c r="C20" s="8">
        <f>地图配置辅助表!C21</f>
        <v>2</v>
      </c>
      <c r="D20" s="9" t="str">
        <f>地图配置辅助表!D21</f>
        <v>协助山鸡</v>
      </c>
      <c r="E20" s="8" t="s">
        <v>386</v>
      </c>
      <c r="F20" s="8" t="s">
        <v>0</v>
      </c>
      <c r="G20" s="8">
        <v>29</v>
      </c>
      <c r="H20" s="8">
        <v>200</v>
      </c>
      <c r="I20" s="8">
        <v>140</v>
      </c>
      <c r="J20" s="8">
        <v>200</v>
      </c>
      <c r="K20" s="8">
        <v>140</v>
      </c>
      <c r="L20" s="8" t="s">
        <v>127</v>
      </c>
      <c r="M20" s="8">
        <v>0</v>
      </c>
      <c r="R20" s="8" t="s">
        <v>127</v>
      </c>
      <c r="S20" s="11">
        <f>VLOOKUP($A20,地图配置辅助表!$A$3:$AP$245,地图配置辅助表!E$1,FALSE)</f>
        <v>6</v>
      </c>
      <c r="T20" s="8">
        <f>VLOOKUP($A20,地图配置辅助表!$A$3:$AP$245,地图配置辅助表!F$1,FALSE)</f>
        <v>592</v>
      </c>
      <c r="U20" s="8">
        <f>VLOOKUP($A20,地图配置辅助表!$A$3:$AP$245,地图配置辅助表!G$1,FALSE)</f>
        <v>1</v>
      </c>
      <c r="V20" s="8">
        <f>VLOOKUP($A20,地图配置辅助表!$A$3:$AP$245,地图配置辅助表!H$1,FALSE)</f>
        <v>1</v>
      </c>
      <c r="W20" s="8">
        <f>VLOOKUP($A20,地图配置辅助表!$A$3:$AP$245,地图配置辅助表!I$1,FALSE)</f>
        <v>0</v>
      </c>
      <c r="X20" s="8">
        <f>VLOOKUP($A20,地图配置辅助表!$A$3:$AP$245,地图配置辅助表!J$1,FALSE)</f>
        <v>0</v>
      </c>
      <c r="Y20" s="8">
        <f>VLOOKUP($A20,地图配置辅助表!$A$3:$AP$245,地图配置辅助表!K$1,FALSE)</f>
        <v>0</v>
      </c>
      <c r="Z20" s="8">
        <f>VLOOKUP($A20,地图配置辅助表!$A$3:$AP$245,地图配置辅助表!L$1,FALSE)</f>
        <v>0</v>
      </c>
      <c r="AA20" s="8">
        <f>VLOOKUP($A20,地图配置辅助表!$A$3:$AP$245,地图配置辅助表!M$1,FALSE)</f>
        <v>1</v>
      </c>
      <c r="AB20">
        <f>VLOOKUP($A20,地图配置辅助表!$A$3:$AP$245,地图配置辅助表!N$1,FALSE)</f>
        <v>1</v>
      </c>
      <c r="AC20" s="8">
        <f>VLOOKUP($A20,地图配置辅助表!$A$3:$AP$245,地图配置辅助表!O$1,FALSE)</f>
        <v>3</v>
      </c>
      <c r="AD20">
        <f>VLOOKUP($A20,地图配置辅助表!$A$3:$AP$245,地图配置辅助表!P$1,FALSE)</f>
        <v>1009</v>
      </c>
      <c r="AE20" s="8">
        <f>VLOOKUP($A20,地图配置辅助表!$A$3:$AP$245,地图配置辅助表!Q$1,FALSE)</f>
        <v>0</v>
      </c>
      <c r="AF20" s="8">
        <f>VLOOKUP($A20,地图配置辅助表!$A$3:$AP$245,地图配置辅助表!R$1,FALSE)</f>
        <v>0</v>
      </c>
      <c r="AG20" s="11">
        <f>VLOOKUP($A20,地图配置辅助表!$A$3:$AP$245,地图配置辅助表!S$1,FALSE)</f>
        <v>502001</v>
      </c>
      <c r="AH20" s="11">
        <f>VLOOKUP($A20,地图配置辅助表!$A$3:$AP$245,地图配置辅助表!T$1,FALSE)</f>
        <v>121104</v>
      </c>
      <c r="AI20" s="8">
        <f>VLOOKUP($A20,地图配置辅助表!$A$3:$AP$245,地图配置辅助表!U$1,FALSE)</f>
        <v>2</v>
      </c>
      <c r="AJ20" s="8">
        <f>VLOOKUP($A20,地图配置辅助表!$A$3:$AP$245,地图配置辅助表!V$1,FALSE)</f>
        <v>121101</v>
      </c>
      <c r="AK20" s="8">
        <f>VLOOKUP($A20,地图配置辅助表!$A$3:$AP$245,地图配置辅助表!W$1,FALSE)</f>
        <v>121102</v>
      </c>
      <c r="AL20" s="8">
        <f>VLOOKUP($A20,地图配置辅助表!$A$3:$AP$245,地图配置辅助表!X$1,FALSE)</f>
        <v>0</v>
      </c>
      <c r="AM20" s="8">
        <f>VLOOKUP($A20,地图配置辅助表!$A$3:$AP$245,地图配置辅助表!Y$1,FALSE)</f>
        <v>0</v>
      </c>
      <c r="AN20" s="8">
        <f>VLOOKUP($A20,地图配置辅助表!$A$3:$AP$245,地图配置辅助表!Z$1,FALSE)</f>
        <v>0</v>
      </c>
      <c r="AO20" s="8">
        <f>VLOOKUP($A20,地图配置辅助表!$A$3:$AP$245,地图配置辅助表!AA$1,FALSE)</f>
        <v>0</v>
      </c>
      <c r="AP20" s="8">
        <f>VLOOKUP($A20,地图配置辅助表!$A$3:$AP$245,地图配置辅助表!AB$1,FALSE)</f>
        <v>0</v>
      </c>
      <c r="AQ20" s="8">
        <f>VLOOKUP($A20,地图配置辅助表!$A$3:$AP$245,地图配置辅助表!AC$1,FALSE)</f>
        <v>0</v>
      </c>
      <c r="AR20" s="8">
        <f>VLOOKUP($A20,地图配置辅助表!$A$3:$AP$245,地图配置辅助表!AD$1,FALSE)</f>
        <v>0</v>
      </c>
      <c r="AS20" s="8">
        <f>VLOOKUP($A20,地图配置辅助表!$A$3:$AP$245,地图配置辅助表!AE$1,FALSE)</f>
        <v>0</v>
      </c>
      <c r="AT20" s="8">
        <f>VLOOKUP($A20,地图配置辅助表!$A$3:$AP$245,地图配置辅助表!AF$1,FALSE)</f>
        <v>3</v>
      </c>
      <c r="AU20" s="8">
        <f>VLOOKUP($A20,地图配置辅助表!$A$3:$AP$245,地图配置辅助表!AG$1,FALSE)</f>
        <v>69</v>
      </c>
      <c r="AV20" s="8">
        <f>VLOOKUP($A20,地图配置辅助表!$A$3:$AP$245,地图配置辅助表!AH$1,FALSE)</f>
        <v>78</v>
      </c>
      <c r="AW20" s="8">
        <f>VLOOKUP($A20,地图配置辅助表!$A$3:$AP$245,地图配置辅助表!AI$1,FALSE)</f>
        <v>84</v>
      </c>
      <c r="AX20" s="8">
        <f>VLOOKUP($A20,地图配置辅助表!$A$3:$AP$245,地图配置辅助表!AJ$1,FALSE)</f>
        <v>0</v>
      </c>
      <c r="AY20" s="8">
        <f>VLOOKUP($A20,地图配置辅助表!$A$3:$AP$245,地图配置辅助表!AK$1,FALSE)</f>
        <v>0</v>
      </c>
      <c r="AZ20" s="8">
        <f>VLOOKUP($A20,地图配置辅助表!$A$3:$AP$245,地图配置辅助表!AL$1,FALSE)</f>
        <v>0</v>
      </c>
      <c r="BA20" s="8">
        <f>VLOOKUP($A20,地图配置辅助表!$A$3:$AP$245,地图配置辅助表!AM$1,FALSE)</f>
        <v>0</v>
      </c>
      <c r="BB20" s="8">
        <f>VLOOKUP($A20,地图配置辅助表!$A$3:$AP$245,地图配置辅助表!AN$1,FALSE)</f>
        <v>0</v>
      </c>
      <c r="BC20" s="8">
        <f>VLOOKUP($A20,地图配置辅助表!$A$3:$AP$245,地图配置辅助表!AO$1,FALSE)</f>
        <v>0</v>
      </c>
      <c r="BD20" s="8">
        <f>VLOOKUP($A20,地图配置辅助表!$A$3:$AP$245,地图配置辅助表!AP$1,FALSE)</f>
        <v>0</v>
      </c>
    </row>
    <row r="21" spans="1:56" s="8" customFormat="1" x14ac:dyDescent="0.15">
      <c r="A21">
        <f>地图配置辅助表!A22</f>
        <v>2002</v>
      </c>
      <c r="B21" s="8">
        <f>地图配置辅助表!B22</f>
        <v>1</v>
      </c>
      <c r="C21" s="8">
        <f>地图配置辅助表!C22</f>
        <v>2</v>
      </c>
      <c r="D21" s="9" t="str">
        <f>地图配置辅助表!D22</f>
        <v>伏击张议员</v>
      </c>
      <c r="E21" s="8" t="s">
        <v>279</v>
      </c>
      <c r="F21" s="8" t="s">
        <v>0</v>
      </c>
      <c r="G21" s="8">
        <v>29</v>
      </c>
      <c r="H21" s="8">
        <v>200</v>
      </c>
      <c r="I21" s="8">
        <v>140</v>
      </c>
      <c r="J21" s="8">
        <v>200</v>
      </c>
      <c r="K21" s="8">
        <v>140</v>
      </c>
      <c r="L21" s="8" t="s">
        <v>128</v>
      </c>
      <c r="M21" s="8">
        <v>0</v>
      </c>
      <c r="R21" s="8" t="s">
        <v>128</v>
      </c>
      <c r="S21" s="11">
        <f>VLOOKUP($A21,地图配置辅助表!$A$3:$AP$245,地图配置辅助表!E$1,FALSE)</f>
        <v>6</v>
      </c>
      <c r="T21" s="8">
        <f>VLOOKUP($A21,地图配置辅助表!$A$3:$AP$245,地图配置辅助表!F$1,FALSE)</f>
        <v>700</v>
      </c>
      <c r="U21" s="8">
        <f>VLOOKUP($A21,地图配置辅助表!$A$3:$AP$245,地图配置辅助表!G$1,FALSE)</f>
        <v>1</v>
      </c>
      <c r="V21" s="8">
        <f>VLOOKUP($A21,地图配置辅助表!$A$3:$AP$245,地图配置辅助表!H$1,FALSE)</f>
        <v>1</v>
      </c>
      <c r="W21" s="8">
        <f>VLOOKUP($A21,地图配置辅助表!$A$3:$AP$245,地图配置辅助表!I$1,FALSE)</f>
        <v>0</v>
      </c>
      <c r="X21" s="8">
        <f>VLOOKUP($A21,地图配置辅助表!$A$3:$AP$245,地图配置辅助表!J$1,FALSE)</f>
        <v>0</v>
      </c>
      <c r="Y21" s="8">
        <f>VLOOKUP($A21,地图配置辅助表!$A$3:$AP$245,地图配置辅助表!K$1,FALSE)</f>
        <v>0</v>
      </c>
      <c r="Z21" s="8">
        <f>VLOOKUP($A21,地图配置辅助表!$A$3:$AP$245,地图配置辅助表!L$1,FALSE)</f>
        <v>0</v>
      </c>
      <c r="AA21" s="8">
        <f>VLOOKUP($A21,地图配置辅助表!$A$3:$AP$245,地图配置辅助表!M$1,FALSE)</f>
        <v>1</v>
      </c>
      <c r="AB21">
        <f>VLOOKUP($A21,地图配置辅助表!$A$3:$AP$245,地图配置辅助表!N$1,FALSE)</f>
        <v>1</v>
      </c>
      <c r="AC21" s="8">
        <f>VLOOKUP($A21,地图配置辅助表!$A$3:$AP$245,地图配置辅助表!O$1,FALSE)</f>
        <v>3</v>
      </c>
      <c r="AD21">
        <f>VLOOKUP($A21,地图配置辅助表!$A$3:$AP$245,地图配置辅助表!P$1,FALSE)</f>
        <v>2001</v>
      </c>
      <c r="AE21" s="8">
        <f>VLOOKUP($A21,地图配置辅助表!$A$3:$AP$245,地图配置辅助表!Q$1,FALSE)</f>
        <v>0</v>
      </c>
      <c r="AF21" s="8">
        <f>VLOOKUP($A21,地图配置辅助表!$A$3:$AP$245,地图配置辅助表!R$1,FALSE)</f>
        <v>0</v>
      </c>
      <c r="AG21" s="11">
        <f>VLOOKUP($A21,地图配置辅助表!$A$3:$AP$245,地图配置辅助表!S$1,FALSE)</f>
        <v>502002</v>
      </c>
      <c r="AH21" s="11">
        <f>VLOOKUP($A21,地图配置辅助表!$A$3:$AP$245,地图配置辅助表!T$1,FALSE)</f>
        <v>122104</v>
      </c>
      <c r="AI21" s="8">
        <f>VLOOKUP($A21,地图配置辅助表!$A$3:$AP$245,地图配置辅助表!U$1,FALSE)</f>
        <v>2</v>
      </c>
      <c r="AJ21" s="8">
        <f>VLOOKUP($A21,地图配置辅助表!$A$3:$AP$245,地图配置辅助表!V$1,FALSE)</f>
        <v>122101</v>
      </c>
      <c r="AK21" s="8">
        <f>VLOOKUP($A21,地图配置辅助表!$A$3:$AP$245,地图配置辅助表!W$1,FALSE)</f>
        <v>122102</v>
      </c>
      <c r="AL21" s="8">
        <f>VLOOKUP($A21,地图配置辅助表!$A$3:$AP$245,地图配置辅助表!X$1,FALSE)</f>
        <v>0</v>
      </c>
      <c r="AM21" s="8">
        <f>VLOOKUP($A21,地图配置辅助表!$A$3:$AP$245,地图配置辅助表!Y$1,FALSE)</f>
        <v>0</v>
      </c>
      <c r="AN21" s="8">
        <f>VLOOKUP($A21,地图配置辅助表!$A$3:$AP$245,地图配置辅助表!Z$1,FALSE)</f>
        <v>0</v>
      </c>
      <c r="AO21" s="8">
        <f>VLOOKUP($A21,地图配置辅助表!$A$3:$AP$245,地图配置辅助表!AA$1,FALSE)</f>
        <v>0</v>
      </c>
      <c r="AP21" s="8">
        <f>VLOOKUP($A21,地图配置辅助表!$A$3:$AP$245,地图配置辅助表!AB$1,FALSE)</f>
        <v>0</v>
      </c>
      <c r="AQ21" s="8">
        <f>VLOOKUP($A21,地图配置辅助表!$A$3:$AP$245,地图配置辅助表!AC$1,FALSE)</f>
        <v>0</v>
      </c>
      <c r="AR21" s="8">
        <f>VLOOKUP($A21,地图配置辅助表!$A$3:$AP$245,地图配置辅助表!AD$1,FALSE)</f>
        <v>0</v>
      </c>
      <c r="AS21" s="8">
        <f>VLOOKUP($A21,地图配置辅助表!$A$3:$AP$245,地图配置辅助表!AE$1,FALSE)</f>
        <v>0</v>
      </c>
      <c r="AT21" s="8">
        <f>VLOOKUP($A21,地图配置辅助表!$A$3:$AP$245,地图配置辅助表!AF$1,FALSE)</f>
        <v>3</v>
      </c>
      <c r="AU21" s="8">
        <f>VLOOKUP($A21,地图配置辅助表!$A$3:$AP$245,地图配置辅助表!AG$1,FALSE)</f>
        <v>64</v>
      </c>
      <c r="AV21" s="8">
        <f>VLOOKUP($A21,地图配置辅助表!$A$3:$AP$245,地图配置辅助表!AH$1,FALSE)</f>
        <v>70</v>
      </c>
      <c r="AW21" s="8">
        <f>VLOOKUP($A21,地图配置辅助表!$A$3:$AP$245,地图配置辅助表!AI$1,FALSE)</f>
        <v>76</v>
      </c>
      <c r="AX21" s="8">
        <f>VLOOKUP($A21,地图配置辅助表!$A$3:$AP$245,地图配置辅助表!AJ$1,FALSE)</f>
        <v>0</v>
      </c>
      <c r="AY21" s="8">
        <f>VLOOKUP($A21,地图配置辅助表!$A$3:$AP$245,地图配置辅助表!AK$1,FALSE)</f>
        <v>0</v>
      </c>
      <c r="AZ21" s="8">
        <f>VLOOKUP($A21,地图配置辅助表!$A$3:$AP$245,地图配置辅助表!AL$1,FALSE)</f>
        <v>0</v>
      </c>
      <c r="BA21" s="8">
        <f>VLOOKUP($A21,地图配置辅助表!$A$3:$AP$245,地图配置辅助表!AM$1,FALSE)</f>
        <v>0</v>
      </c>
      <c r="BB21" s="8">
        <f>VLOOKUP($A21,地图配置辅助表!$A$3:$AP$245,地图配置辅助表!AN$1,FALSE)</f>
        <v>0</v>
      </c>
      <c r="BC21" s="8">
        <f>VLOOKUP($A21,地图配置辅助表!$A$3:$AP$245,地图配置辅助表!AO$1,FALSE)</f>
        <v>0</v>
      </c>
      <c r="BD21" s="8">
        <f>VLOOKUP($A21,地图配置辅助表!$A$3:$AP$245,地图配置辅助表!AP$1,FALSE)</f>
        <v>0</v>
      </c>
    </row>
    <row r="22" spans="1:56" s="8" customFormat="1" x14ac:dyDescent="0.15">
      <c r="A22">
        <f>地图配置辅助表!A23</f>
        <v>2003</v>
      </c>
      <c r="B22" s="8">
        <f>地图配置辅助表!B23</f>
        <v>1</v>
      </c>
      <c r="C22" s="8">
        <f>地图配置辅助表!C23</f>
        <v>2</v>
      </c>
      <c r="D22" s="9" t="str">
        <f>地图配置辅助表!D23</f>
        <v>蒋生遇雷功</v>
      </c>
      <c r="E22" s="8" t="s">
        <v>280</v>
      </c>
      <c r="F22" s="8" t="s">
        <v>0</v>
      </c>
      <c r="G22" s="8">
        <v>29</v>
      </c>
      <c r="H22" s="8">
        <v>200</v>
      </c>
      <c r="I22" s="8">
        <v>140</v>
      </c>
      <c r="J22" s="8">
        <v>200</v>
      </c>
      <c r="K22" s="8">
        <v>140</v>
      </c>
      <c r="L22" s="8" t="s">
        <v>129</v>
      </c>
      <c r="M22" s="8">
        <v>0</v>
      </c>
      <c r="R22" s="8" t="s">
        <v>129</v>
      </c>
      <c r="S22" s="11">
        <f>VLOOKUP($A22,地图配置辅助表!$A$3:$AP$245,地图配置辅助表!E$1,FALSE)</f>
        <v>6</v>
      </c>
      <c r="T22" s="8">
        <f>VLOOKUP($A22,地图配置辅助表!$A$3:$AP$245,地图配置辅助表!F$1,FALSE)</f>
        <v>812</v>
      </c>
      <c r="U22" s="8">
        <f>VLOOKUP($A22,地图配置辅助表!$A$3:$AP$245,地图配置辅助表!G$1,FALSE)</f>
        <v>1</v>
      </c>
      <c r="V22" s="8">
        <f>VLOOKUP($A22,地图配置辅助表!$A$3:$AP$245,地图配置辅助表!H$1,FALSE)</f>
        <v>1</v>
      </c>
      <c r="W22" s="8">
        <f>VLOOKUP($A22,地图配置辅助表!$A$3:$AP$245,地图配置辅助表!I$1,FALSE)</f>
        <v>0</v>
      </c>
      <c r="X22" s="8">
        <f>VLOOKUP($A22,地图配置辅助表!$A$3:$AP$245,地图配置辅助表!J$1,FALSE)</f>
        <v>0</v>
      </c>
      <c r="Y22" s="8">
        <f>VLOOKUP($A22,地图配置辅助表!$A$3:$AP$245,地图配置辅助表!K$1,FALSE)</f>
        <v>0</v>
      </c>
      <c r="Z22" s="8">
        <f>VLOOKUP($A22,地图配置辅助表!$A$3:$AP$245,地图配置辅助表!L$1,FALSE)</f>
        <v>0</v>
      </c>
      <c r="AA22" s="8">
        <f>VLOOKUP($A22,地图配置辅助表!$A$3:$AP$245,地图配置辅助表!M$1,FALSE)</f>
        <v>1</v>
      </c>
      <c r="AB22">
        <f>VLOOKUP($A22,地图配置辅助表!$A$3:$AP$245,地图配置辅助表!N$1,FALSE)</f>
        <v>1</v>
      </c>
      <c r="AC22" s="8">
        <f>VLOOKUP($A22,地图配置辅助表!$A$3:$AP$245,地图配置辅助表!O$1,FALSE)</f>
        <v>3</v>
      </c>
      <c r="AD22">
        <f>VLOOKUP($A22,地图配置辅助表!$A$3:$AP$245,地图配置辅助表!P$1,FALSE)</f>
        <v>2002</v>
      </c>
      <c r="AE22" s="8">
        <f>VLOOKUP($A22,地图配置辅助表!$A$3:$AP$245,地图配置辅助表!Q$1,FALSE)</f>
        <v>0</v>
      </c>
      <c r="AF22" s="8">
        <f>VLOOKUP($A22,地图配置辅助表!$A$3:$AP$245,地图配置辅助表!R$1,FALSE)</f>
        <v>0</v>
      </c>
      <c r="AG22" s="11">
        <f>VLOOKUP($A22,地图配置辅助表!$A$3:$AP$245,地图配置辅助表!S$1,FALSE)</f>
        <v>502003</v>
      </c>
      <c r="AH22" s="11">
        <f>VLOOKUP($A22,地图配置辅助表!$A$3:$AP$245,地图配置辅助表!T$1,FALSE)</f>
        <v>123104</v>
      </c>
      <c r="AI22" s="8">
        <f>VLOOKUP($A22,地图配置辅助表!$A$3:$AP$245,地图配置辅助表!U$1,FALSE)</f>
        <v>2</v>
      </c>
      <c r="AJ22" s="8">
        <f>VLOOKUP($A22,地图配置辅助表!$A$3:$AP$245,地图配置辅助表!V$1,FALSE)</f>
        <v>123101</v>
      </c>
      <c r="AK22" s="8">
        <f>VLOOKUP($A22,地图配置辅助表!$A$3:$AP$245,地图配置辅助表!W$1,FALSE)</f>
        <v>123102</v>
      </c>
      <c r="AL22" s="8">
        <f>VLOOKUP($A22,地图配置辅助表!$A$3:$AP$245,地图配置辅助表!X$1,FALSE)</f>
        <v>0</v>
      </c>
      <c r="AM22" s="8">
        <f>VLOOKUP($A22,地图配置辅助表!$A$3:$AP$245,地图配置辅助表!Y$1,FALSE)</f>
        <v>0</v>
      </c>
      <c r="AN22" s="8">
        <f>VLOOKUP($A22,地图配置辅助表!$A$3:$AP$245,地图配置辅助表!Z$1,FALSE)</f>
        <v>0</v>
      </c>
      <c r="AO22" s="8">
        <f>VLOOKUP($A22,地图配置辅助表!$A$3:$AP$245,地图配置辅助表!AA$1,FALSE)</f>
        <v>0</v>
      </c>
      <c r="AP22" s="8">
        <f>VLOOKUP($A22,地图配置辅助表!$A$3:$AP$245,地图配置辅助表!AB$1,FALSE)</f>
        <v>0</v>
      </c>
      <c r="AQ22" s="8">
        <f>VLOOKUP($A22,地图配置辅助表!$A$3:$AP$245,地图配置辅助表!AC$1,FALSE)</f>
        <v>0</v>
      </c>
      <c r="AR22" s="8">
        <f>VLOOKUP($A22,地图配置辅助表!$A$3:$AP$245,地图配置辅助表!AD$1,FALSE)</f>
        <v>0</v>
      </c>
      <c r="AS22" s="8">
        <f>VLOOKUP($A22,地图配置辅助表!$A$3:$AP$245,地图配置辅助表!AE$1,FALSE)</f>
        <v>0</v>
      </c>
      <c r="AT22" s="8">
        <f>VLOOKUP($A22,地图配置辅助表!$A$3:$AP$245,地图配置辅助表!AF$1,FALSE)</f>
        <v>3</v>
      </c>
      <c r="AU22" s="8">
        <f>VLOOKUP($A22,地图配置辅助表!$A$3:$AP$245,地图配置辅助表!AG$1,FALSE)</f>
        <v>61</v>
      </c>
      <c r="AV22" s="8">
        <f>VLOOKUP($A22,地图配置辅助表!$A$3:$AP$245,地图配置辅助表!AH$1,FALSE)</f>
        <v>67</v>
      </c>
      <c r="AW22" s="8">
        <f>VLOOKUP($A22,地图配置辅助表!$A$3:$AP$245,地图配置辅助表!AI$1,FALSE)</f>
        <v>73</v>
      </c>
      <c r="AX22" s="8">
        <f>VLOOKUP($A22,地图配置辅助表!$A$3:$AP$245,地图配置辅助表!AJ$1,FALSE)</f>
        <v>0</v>
      </c>
      <c r="AY22" s="8">
        <f>VLOOKUP($A22,地图配置辅助表!$A$3:$AP$245,地图配置辅助表!AK$1,FALSE)</f>
        <v>0</v>
      </c>
      <c r="AZ22" s="8">
        <f>VLOOKUP($A22,地图配置辅助表!$A$3:$AP$245,地图配置辅助表!AL$1,FALSE)</f>
        <v>0</v>
      </c>
      <c r="BA22" s="8">
        <f>VLOOKUP($A22,地图配置辅助表!$A$3:$AP$245,地图配置辅助表!AM$1,FALSE)</f>
        <v>0</v>
      </c>
      <c r="BB22" s="8">
        <f>VLOOKUP($A22,地图配置辅助表!$A$3:$AP$245,地图配置辅助表!AN$1,FALSE)</f>
        <v>0</v>
      </c>
      <c r="BC22" s="8">
        <f>VLOOKUP($A22,地图配置辅助表!$A$3:$AP$245,地图配置辅助表!AO$1,FALSE)</f>
        <v>0</v>
      </c>
      <c r="BD22" s="8">
        <f>VLOOKUP($A22,地图配置辅助表!$A$3:$AP$245,地图配置辅助表!AP$1,FALSE)</f>
        <v>0</v>
      </c>
    </row>
    <row r="23" spans="1:56" s="8" customFormat="1" x14ac:dyDescent="0.15">
      <c r="A23">
        <f>地图配置辅助表!A24</f>
        <v>2004</v>
      </c>
      <c r="B23" s="8">
        <f>地图配置辅助表!B24</f>
        <v>1</v>
      </c>
      <c r="C23" s="8">
        <f>地图配置辅助表!C24</f>
        <v>2</v>
      </c>
      <c r="D23" s="9" t="str">
        <f>地图配置辅助表!D24</f>
        <v>争夺扛把子</v>
      </c>
      <c r="E23" s="8" t="s">
        <v>281</v>
      </c>
      <c r="F23" s="8" t="s">
        <v>0</v>
      </c>
      <c r="G23" s="8">
        <v>29</v>
      </c>
      <c r="H23" s="8">
        <v>200</v>
      </c>
      <c r="I23" s="8">
        <v>140</v>
      </c>
      <c r="J23" s="8">
        <v>200</v>
      </c>
      <c r="K23" s="8">
        <v>140</v>
      </c>
      <c r="L23" s="8" t="s">
        <v>130</v>
      </c>
      <c r="M23" s="8">
        <v>0</v>
      </c>
      <c r="R23" s="8" t="s">
        <v>130</v>
      </c>
      <c r="S23" s="11">
        <f>VLOOKUP($A23,地图配置辅助表!$A$3:$AP$245,地图配置辅助表!E$1,FALSE)</f>
        <v>6</v>
      </c>
      <c r="T23" s="8">
        <f>VLOOKUP($A23,地图配置辅助表!$A$3:$AP$245,地图配置辅助表!F$1,FALSE)</f>
        <v>945</v>
      </c>
      <c r="U23" s="8">
        <f>VLOOKUP($A23,地图配置辅助表!$A$3:$AP$245,地图配置辅助表!G$1,FALSE)</f>
        <v>1</v>
      </c>
      <c r="V23" s="8">
        <f>VLOOKUP($A23,地图配置辅助表!$A$3:$AP$245,地图配置辅助表!H$1,FALSE)</f>
        <v>1</v>
      </c>
      <c r="W23" s="8">
        <f>VLOOKUP($A23,地图配置辅助表!$A$3:$AP$245,地图配置辅助表!I$1,FALSE)</f>
        <v>0</v>
      </c>
      <c r="X23" s="8">
        <f>VLOOKUP($A23,地图配置辅助表!$A$3:$AP$245,地图配置辅助表!J$1,FALSE)</f>
        <v>0</v>
      </c>
      <c r="Y23" s="8">
        <f>VLOOKUP($A23,地图配置辅助表!$A$3:$AP$245,地图配置辅助表!K$1,FALSE)</f>
        <v>0</v>
      </c>
      <c r="Z23" s="8">
        <f>VLOOKUP($A23,地图配置辅助表!$A$3:$AP$245,地图配置辅助表!L$1,FALSE)</f>
        <v>0</v>
      </c>
      <c r="AA23" s="8">
        <f>VLOOKUP($A23,地图配置辅助表!$A$3:$AP$245,地图配置辅助表!M$1,FALSE)</f>
        <v>1</v>
      </c>
      <c r="AB23">
        <f>VLOOKUP($A23,地图配置辅助表!$A$3:$AP$245,地图配置辅助表!N$1,FALSE)</f>
        <v>1</v>
      </c>
      <c r="AC23" s="8">
        <f>VLOOKUP($A23,地图配置辅助表!$A$3:$AP$245,地图配置辅助表!O$1,FALSE)</f>
        <v>3</v>
      </c>
      <c r="AD23">
        <f>VLOOKUP($A23,地图配置辅助表!$A$3:$AP$245,地图配置辅助表!P$1,FALSE)</f>
        <v>2003</v>
      </c>
      <c r="AE23" s="8">
        <f>VLOOKUP($A23,地图配置辅助表!$A$3:$AP$245,地图配置辅助表!Q$1,FALSE)</f>
        <v>0</v>
      </c>
      <c r="AF23" s="8">
        <f>VLOOKUP($A23,地图配置辅助表!$A$3:$AP$245,地图配置辅助表!R$1,FALSE)</f>
        <v>0</v>
      </c>
      <c r="AG23" s="11">
        <f>VLOOKUP($A23,地图配置辅助表!$A$3:$AP$245,地图配置辅助表!S$1,FALSE)</f>
        <v>502004</v>
      </c>
      <c r="AH23" s="11">
        <f>VLOOKUP($A23,地图配置辅助表!$A$3:$AP$245,地图配置辅助表!T$1,FALSE)</f>
        <v>124104</v>
      </c>
      <c r="AI23" s="8">
        <f>VLOOKUP($A23,地图配置辅助表!$A$3:$AP$245,地图配置辅助表!U$1,FALSE)</f>
        <v>2</v>
      </c>
      <c r="AJ23" s="8">
        <f>VLOOKUP($A23,地图配置辅助表!$A$3:$AP$245,地图配置辅助表!V$1,FALSE)</f>
        <v>124101</v>
      </c>
      <c r="AK23" s="8">
        <f>VLOOKUP($A23,地图配置辅助表!$A$3:$AP$245,地图配置辅助表!W$1,FALSE)</f>
        <v>124102</v>
      </c>
      <c r="AL23" s="8">
        <f>VLOOKUP($A23,地图配置辅助表!$A$3:$AP$245,地图配置辅助表!X$1,FALSE)</f>
        <v>0</v>
      </c>
      <c r="AM23" s="8">
        <f>VLOOKUP($A23,地图配置辅助表!$A$3:$AP$245,地图配置辅助表!Y$1,FALSE)</f>
        <v>0</v>
      </c>
      <c r="AN23" s="8">
        <f>VLOOKUP($A23,地图配置辅助表!$A$3:$AP$245,地图配置辅助表!Z$1,FALSE)</f>
        <v>0</v>
      </c>
      <c r="AO23" s="8">
        <f>VLOOKUP($A23,地图配置辅助表!$A$3:$AP$245,地图配置辅助表!AA$1,FALSE)</f>
        <v>0</v>
      </c>
      <c r="AP23" s="8">
        <f>VLOOKUP($A23,地图配置辅助表!$A$3:$AP$245,地图配置辅助表!AB$1,FALSE)</f>
        <v>0</v>
      </c>
      <c r="AQ23" s="8">
        <f>VLOOKUP($A23,地图配置辅助表!$A$3:$AP$245,地图配置辅助表!AC$1,FALSE)</f>
        <v>0</v>
      </c>
      <c r="AR23" s="8">
        <f>VLOOKUP($A23,地图配置辅助表!$A$3:$AP$245,地图配置辅助表!AD$1,FALSE)</f>
        <v>0</v>
      </c>
      <c r="AS23" s="8">
        <f>VLOOKUP($A23,地图配置辅助表!$A$3:$AP$245,地图配置辅助表!AE$1,FALSE)</f>
        <v>0</v>
      </c>
      <c r="AT23" s="8">
        <f>VLOOKUP($A23,地图配置辅助表!$A$3:$AP$245,地图配置辅助表!AF$1,FALSE)</f>
        <v>4</v>
      </c>
      <c r="AU23" s="8">
        <f>VLOOKUP($A23,地图配置辅助表!$A$3:$AP$245,地图配置辅助表!AG$1,FALSE)</f>
        <v>45</v>
      </c>
      <c r="AV23" s="8">
        <f>VLOOKUP($A23,地图配置辅助表!$A$3:$AP$245,地图配置辅助表!AH$1,FALSE)</f>
        <v>54</v>
      </c>
      <c r="AW23" s="8">
        <f>VLOOKUP($A23,地图配置辅助表!$A$3:$AP$245,地图配置辅助表!AI$1,FALSE)</f>
        <v>60</v>
      </c>
      <c r="AX23" s="8">
        <f>VLOOKUP($A23,地图配置辅助表!$A$3:$AP$245,地图配置辅助表!AJ$1,FALSE)</f>
        <v>85</v>
      </c>
      <c r="AY23" s="8">
        <f>VLOOKUP($A23,地图配置辅助表!$A$3:$AP$245,地图配置辅助表!AK$1,FALSE)</f>
        <v>0</v>
      </c>
      <c r="AZ23" s="8">
        <f>VLOOKUP($A23,地图配置辅助表!$A$3:$AP$245,地图配置辅助表!AL$1,FALSE)</f>
        <v>0</v>
      </c>
      <c r="BA23" s="8">
        <f>VLOOKUP($A23,地图配置辅助表!$A$3:$AP$245,地图配置辅助表!AM$1,FALSE)</f>
        <v>0</v>
      </c>
      <c r="BB23" s="8">
        <f>VLOOKUP($A23,地图配置辅助表!$A$3:$AP$245,地图配置辅助表!AN$1,FALSE)</f>
        <v>0</v>
      </c>
      <c r="BC23" s="8">
        <f>VLOOKUP($A23,地图配置辅助表!$A$3:$AP$245,地图配置辅助表!AO$1,FALSE)</f>
        <v>0</v>
      </c>
      <c r="BD23" s="8">
        <f>VLOOKUP($A23,地图配置辅助表!$A$3:$AP$245,地图配置辅助表!AP$1,FALSE)</f>
        <v>0</v>
      </c>
    </row>
    <row r="24" spans="1:56" s="8" customFormat="1" x14ac:dyDescent="0.15">
      <c r="A24">
        <f>地图配置辅助表!A25</f>
        <v>2005</v>
      </c>
      <c r="B24" s="8">
        <f>地图配置辅助表!B25</f>
        <v>1</v>
      </c>
      <c r="C24" s="8">
        <f>地图配置辅助表!C25</f>
        <v>2</v>
      </c>
      <c r="D24" s="9" t="str">
        <f>地图配置辅助表!D25</f>
        <v>约战大飞</v>
      </c>
      <c r="E24" s="8" t="s">
        <v>282</v>
      </c>
      <c r="F24" s="8" t="s">
        <v>0</v>
      </c>
      <c r="G24" s="8">
        <v>29</v>
      </c>
      <c r="H24" s="8">
        <v>200</v>
      </c>
      <c r="I24" s="8">
        <v>140</v>
      </c>
      <c r="J24" s="8">
        <v>200</v>
      </c>
      <c r="K24" s="8">
        <v>140</v>
      </c>
      <c r="L24" s="8" t="s">
        <v>131</v>
      </c>
      <c r="M24" s="8">
        <v>0</v>
      </c>
      <c r="R24" s="8" t="s">
        <v>131</v>
      </c>
      <c r="S24" s="11">
        <f>VLOOKUP($A24,地图配置辅助表!$A$3:$AP$245,地图配置辅助表!E$1,FALSE)</f>
        <v>6</v>
      </c>
      <c r="T24" s="8">
        <f>VLOOKUP($A24,地图配置辅助表!$A$3:$AP$245,地图配置辅助表!F$1,FALSE)</f>
        <v>1108</v>
      </c>
      <c r="U24" s="8">
        <f>VLOOKUP($A24,地图配置辅助表!$A$3:$AP$245,地图配置辅助表!G$1,FALSE)</f>
        <v>1</v>
      </c>
      <c r="V24" s="8">
        <f>VLOOKUP($A24,地图配置辅助表!$A$3:$AP$245,地图配置辅助表!H$1,FALSE)</f>
        <v>1</v>
      </c>
      <c r="W24" s="8">
        <f>VLOOKUP($A24,地图配置辅助表!$A$3:$AP$245,地图配置辅助表!I$1,FALSE)</f>
        <v>0</v>
      </c>
      <c r="X24" s="8">
        <f>VLOOKUP($A24,地图配置辅助表!$A$3:$AP$245,地图配置辅助表!J$1,FALSE)</f>
        <v>0</v>
      </c>
      <c r="Y24" s="8">
        <f>VLOOKUP($A24,地图配置辅助表!$A$3:$AP$245,地图配置辅助表!K$1,FALSE)</f>
        <v>0</v>
      </c>
      <c r="Z24" s="8">
        <f>VLOOKUP($A24,地图配置辅助表!$A$3:$AP$245,地图配置辅助表!L$1,FALSE)</f>
        <v>0</v>
      </c>
      <c r="AA24" s="8">
        <f>VLOOKUP($A24,地图配置辅助表!$A$3:$AP$245,地图配置辅助表!M$1,FALSE)</f>
        <v>1</v>
      </c>
      <c r="AB24">
        <f>VLOOKUP($A24,地图配置辅助表!$A$3:$AP$245,地图配置辅助表!N$1,FALSE)</f>
        <v>1</v>
      </c>
      <c r="AC24" s="8">
        <f>VLOOKUP($A24,地图配置辅助表!$A$3:$AP$245,地图配置辅助表!O$1,FALSE)</f>
        <v>3</v>
      </c>
      <c r="AD24">
        <f>VLOOKUP($A24,地图配置辅助表!$A$3:$AP$245,地图配置辅助表!P$1,FALSE)</f>
        <v>2004</v>
      </c>
      <c r="AE24" s="8">
        <f>VLOOKUP($A24,地图配置辅助表!$A$3:$AP$245,地图配置辅助表!Q$1,FALSE)</f>
        <v>0</v>
      </c>
      <c r="AF24" s="8">
        <f>VLOOKUP($A24,地图配置辅助表!$A$3:$AP$245,地图配置辅助表!R$1,FALSE)</f>
        <v>0</v>
      </c>
      <c r="AG24" s="11">
        <f>VLOOKUP($A24,地图配置辅助表!$A$3:$AP$245,地图配置辅助表!S$1,FALSE)</f>
        <v>502005</v>
      </c>
      <c r="AH24" s="11">
        <f>VLOOKUP($A24,地图配置辅助表!$A$3:$AP$245,地图配置辅助表!T$1,FALSE)</f>
        <v>125104</v>
      </c>
      <c r="AI24" s="8">
        <f>VLOOKUP($A24,地图配置辅助表!$A$3:$AP$245,地图配置辅助表!U$1,FALSE)</f>
        <v>2</v>
      </c>
      <c r="AJ24" s="8">
        <f>VLOOKUP($A24,地图配置辅助表!$A$3:$AP$245,地图配置辅助表!V$1,FALSE)</f>
        <v>125101</v>
      </c>
      <c r="AK24" s="8">
        <f>VLOOKUP($A24,地图配置辅助表!$A$3:$AP$245,地图配置辅助表!W$1,FALSE)</f>
        <v>125102</v>
      </c>
      <c r="AL24" s="8">
        <f>VLOOKUP($A24,地图配置辅助表!$A$3:$AP$245,地图配置辅助表!X$1,FALSE)</f>
        <v>0</v>
      </c>
      <c r="AM24" s="8">
        <f>VLOOKUP($A24,地图配置辅助表!$A$3:$AP$245,地图配置辅助表!Y$1,FALSE)</f>
        <v>0</v>
      </c>
      <c r="AN24" s="8">
        <f>VLOOKUP($A24,地图配置辅助表!$A$3:$AP$245,地图配置辅助表!Z$1,FALSE)</f>
        <v>0</v>
      </c>
      <c r="AO24" s="8">
        <f>VLOOKUP($A24,地图配置辅助表!$A$3:$AP$245,地图配置辅助表!AA$1,FALSE)</f>
        <v>0</v>
      </c>
      <c r="AP24" s="8">
        <f>VLOOKUP($A24,地图配置辅助表!$A$3:$AP$245,地图配置辅助表!AB$1,FALSE)</f>
        <v>0</v>
      </c>
      <c r="AQ24" s="8">
        <f>VLOOKUP($A24,地图配置辅助表!$A$3:$AP$245,地图配置辅助表!AC$1,FALSE)</f>
        <v>0</v>
      </c>
      <c r="AR24" s="8">
        <f>VLOOKUP($A24,地图配置辅助表!$A$3:$AP$245,地图配置辅助表!AD$1,FALSE)</f>
        <v>0</v>
      </c>
      <c r="AS24" s="8">
        <f>VLOOKUP($A24,地图配置辅助表!$A$3:$AP$245,地图配置辅助表!AE$1,FALSE)</f>
        <v>0</v>
      </c>
      <c r="AT24" s="8">
        <f>VLOOKUP($A24,地图配置辅助表!$A$3:$AP$245,地图配置辅助表!AF$1,FALSE)</f>
        <v>3</v>
      </c>
      <c r="AU24" s="8">
        <f>VLOOKUP($A24,地图配置辅助表!$A$3:$AP$245,地图配置辅助表!AG$1,FALSE)</f>
        <v>77</v>
      </c>
      <c r="AV24" s="8">
        <f>VLOOKUP($A24,地图配置辅助表!$A$3:$AP$245,地图配置辅助表!AH$1,FALSE)</f>
        <v>78</v>
      </c>
      <c r="AW24" s="8">
        <f>VLOOKUP($A24,地图配置辅助表!$A$3:$AP$245,地图配置辅助表!AI$1,FALSE)</f>
        <v>79</v>
      </c>
      <c r="AX24" s="8">
        <f>VLOOKUP($A24,地图配置辅助表!$A$3:$AP$245,地图配置辅助表!AJ$1,FALSE)</f>
        <v>0</v>
      </c>
      <c r="AY24" s="8">
        <f>VLOOKUP($A24,地图配置辅助表!$A$3:$AP$245,地图配置辅助表!AK$1,FALSE)</f>
        <v>0</v>
      </c>
      <c r="AZ24" s="8">
        <f>VLOOKUP($A24,地图配置辅助表!$A$3:$AP$245,地图配置辅助表!AL$1,FALSE)</f>
        <v>0</v>
      </c>
      <c r="BA24" s="8">
        <f>VLOOKUP($A24,地图配置辅助表!$A$3:$AP$245,地图配置辅助表!AM$1,FALSE)</f>
        <v>0</v>
      </c>
      <c r="BB24" s="8">
        <f>VLOOKUP($A24,地图配置辅助表!$A$3:$AP$245,地图配置辅助表!AN$1,FALSE)</f>
        <v>0</v>
      </c>
      <c r="BC24" s="8">
        <f>VLOOKUP($A24,地图配置辅助表!$A$3:$AP$245,地图配置辅助表!AO$1,FALSE)</f>
        <v>0</v>
      </c>
      <c r="BD24" s="8">
        <f>VLOOKUP($A24,地图配置辅助表!$A$3:$AP$245,地图配置辅助表!AP$1,FALSE)</f>
        <v>0</v>
      </c>
    </row>
    <row r="25" spans="1:56" s="8" customFormat="1" x14ac:dyDescent="0.15">
      <c r="A25">
        <f>地图配置辅助表!A26</f>
        <v>2006</v>
      </c>
      <c r="B25" s="8">
        <f>地图配置辅助表!B26</f>
        <v>1</v>
      </c>
      <c r="C25" s="8">
        <f>地图配置辅助表!C26</f>
        <v>2</v>
      </c>
      <c r="D25" s="9" t="str">
        <f>地图配置辅助表!D26</f>
        <v>缓和契机</v>
      </c>
      <c r="E25" s="8" t="s">
        <v>283</v>
      </c>
      <c r="F25" s="8" t="s">
        <v>0</v>
      </c>
      <c r="G25" s="8">
        <v>29</v>
      </c>
      <c r="H25" s="8">
        <v>200</v>
      </c>
      <c r="I25" s="8">
        <v>140</v>
      </c>
      <c r="J25" s="8">
        <v>200</v>
      </c>
      <c r="K25" s="8">
        <v>140</v>
      </c>
      <c r="L25" s="8" t="s">
        <v>132</v>
      </c>
      <c r="M25" s="8">
        <v>0</v>
      </c>
      <c r="R25" s="8" t="s">
        <v>132</v>
      </c>
      <c r="S25" s="11">
        <f>VLOOKUP($A25,地图配置辅助表!$A$3:$AP$245,地图配置辅助表!E$1,FALSE)</f>
        <v>6</v>
      </c>
      <c r="T25" s="8">
        <f>VLOOKUP($A25,地图配置辅助表!$A$3:$AP$245,地图配置辅助表!F$1,FALSE)</f>
        <v>1261</v>
      </c>
      <c r="U25" s="8">
        <f>VLOOKUP($A25,地图配置辅助表!$A$3:$AP$245,地图配置辅助表!G$1,FALSE)</f>
        <v>1</v>
      </c>
      <c r="V25" s="8">
        <f>VLOOKUP($A25,地图配置辅助表!$A$3:$AP$245,地图配置辅助表!H$1,FALSE)</f>
        <v>1</v>
      </c>
      <c r="W25" s="8">
        <f>VLOOKUP($A25,地图配置辅助表!$A$3:$AP$245,地图配置辅助表!I$1,FALSE)</f>
        <v>0</v>
      </c>
      <c r="X25" s="8">
        <f>VLOOKUP($A25,地图配置辅助表!$A$3:$AP$245,地图配置辅助表!J$1,FALSE)</f>
        <v>0</v>
      </c>
      <c r="Y25" s="8">
        <f>VLOOKUP($A25,地图配置辅助表!$A$3:$AP$245,地图配置辅助表!K$1,FALSE)</f>
        <v>0</v>
      </c>
      <c r="Z25" s="8">
        <f>VLOOKUP($A25,地图配置辅助表!$A$3:$AP$245,地图配置辅助表!L$1,FALSE)</f>
        <v>0</v>
      </c>
      <c r="AA25" s="8">
        <f>VLOOKUP($A25,地图配置辅助表!$A$3:$AP$245,地图配置辅助表!M$1,FALSE)</f>
        <v>1</v>
      </c>
      <c r="AB25">
        <f>VLOOKUP($A25,地图配置辅助表!$A$3:$AP$245,地图配置辅助表!N$1,FALSE)</f>
        <v>1</v>
      </c>
      <c r="AC25" s="8">
        <f>VLOOKUP($A25,地图配置辅助表!$A$3:$AP$245,地图配置辅助表!O$1,FALSE)</f>
        <v>3</v>
      </c>
      <c r="AD25">
        <f>VLOOKUP($A25,地图配置辅助表!$A$3:$AP$245,地图配置辅助表!P$1,FALSE)</f>
        <v>2005</v>
      </c>
      <c r="AE25" s="8">
        <f>VLOOKUP($A25,地图配置辅助表!$A$3:$AP$245,地图配置辅助表!Q$1,FALSE)</f>
        <v>0</v>
      </c>
      <c r="AF25" s="8">
        <f>VLOOKUP($A25,地图配置辅助表!$A$3:$AP$245,地图配置辅助表!R$1,FALSE)</f>
        <v>0</v>
      </c>
      <c r="AG25" s="11">
        <f>VLOOKUP($A25,地图配置辅助表!$A$3:$AP$245,地图配置辅助表!S$1,FALSE)</f>
        <v>502006</v>
      </c>
      <c r="AH25" s="11">
        <f>VLOOKUP($A25,地图配置辅助表!$A$3:$AP$245,地图配置辅助表!T$1,FALSE)</f>
        <v>126104</v>
      </c>
      <c r="AI25" s="8">
        <f>VLOOKUP($A25,地图配置辅助表!$A$3:$AP$245,地图配置辅助表!U$1,FALSE)</f>
        <v>2</v>
      </c>
      <c r="AJ25" s="8">
        <f>VLOOKUP($A25,地图配置辅助表!$A$3:$AP$245,地图配置辅助表!V$1,FALSE)</f>
        <v>126101</v>
      </c>
      <c r="AK25" s="8">
        <f>VLOOKUP($A25,地图配置辅助表!$A$3:$AP$245,地图配置辅助表!W$1,FALSE)</f>
        <v>126102</v>
      </c>
      <c r="AL25" s="8">
        <f>VLOOKUP($A25,地图配置辅助表!$A$3:$AP$245,地图配置辅助表!X$1,FALSE)</f>
        <v>0</v>
      </c>
      <c r="AM25" s="8">
        <f>VLOOKUP($A25,地图配置辅助表!$A$3:$AP$245,地图配置辅助表!Y$1,FALSE)</f>
        <v>0</v>
      </c>
      <c r="AN25" s="8">
        <f>VLOOKUP($A25,地图配置辅助表!$A$3:$AP$245,地图配置辅助表!Z$1,FALSE)</f>
        <v>0</v>
      </c>
      <c r="AO25" s="8">
        <f>VLOOKUP($A25,地图配置辅助表!$A$3:$AP$245,地图配置辅助表!AA$1,FALSE)</f>
        <v>0</v>
      </c>
      <c r="AP25" s="8">
        <f>VLOOKUP($A25,地图配置辅助表!$A$3:$AP$245,地图配置辅助表!AB$1,FALSE)</f>
        <v>0</v>
      </c>
      <c r="AQ25" s="8">
        <f>VLOOKUP($A25,地图配置辅助表!$A$3:$AP$245,地图配置辅助表!AC$1,FALSE)</f>
        <v>0</v>
      </c>
      <c r="AR25" s="8">
        <f>VLOOKUP($A25,地图配置辅助表!$A$3:$AP$245,地图配置辅助表!AD$1,FALSE)</f>
        <v>0</v>
      </c>
      <c r="AS25" s="8">
        <f>VLOOKUP($A25,地图配置辅助表!$A$3:$AP$245,地图配置辅助表!AE$1,FALSE)</f>
        <v>0</v>
      </c>
      <c r="AT25" s="8">
        <f>VLOOKUP($A25,地图配置辅助表!$A$3:$AP$245,地图配置辅助表!AF$1,FALSE)</f>
        <v>4</v>
      </c>
      <c r="AU25" s="8">
        <f>VLOOKUP($A25,地图配置辅助表!$A$3:$AP$245,地图配置辅助表!AG$1,FALSE)</f>
        <v>55</v>
      </c>
      <c r="AV25" s="8">
        <f>VLOOKUP($A25,地图配置辅助表!$A$3:$AP$245,地图配置辅助表!AH$1,FALSE)</f>
        <v>56</v>
      </c>
      <c r="AW25" s="8">
        <f>VLOOKUP($A25,地图配置辅助表!$A$3:$AP$245,地图配置辅助表!AI$1,FALSE)</f>
        <v>57</v>
      </c>
      <c r="AX25" s="8">
        <f>VLOOKUP($A25,地图配置辅助表!$A$3:$AP$245,地图配置辅助表!AJ$1,FALSE)</f>
        <v>111</v>
      </c>
      <c r="AY25" s="8">
        <f>VLOOKUP($A25,地图配置辅助表!$A$3:$AP$245,地图配置辅助表!AK$1,FALSE)</f>
        <v>0</v>
      </c>
      <c r="AZ25" s="8">
        <f>VLOOKUP($A25,地图配置辅助表!$A$3:$AP$245,地图配置辅助表!AL$1,FALSE)</f>
        <v>0</v>
      </c>
      <c r="BA25" s="8">
        <f>VLOOKUP($A25,地图配置辅助表!$A$3:$AP$245,地图配置辅助表!AM$1,FALSE)</f>
        <v>0</v>
      </c>
      <c r="BB25" s="8">
        <f>VLOOKUP($A25,地图配置辅助表!$A$3:$AP$245,地图配置辅助表!AN$1,FALSE)</f>
        <v>0</v>
      </c>
      <c r="BC25" s="8">
        <f>VLOOKUP($A25,地图配置辅助表!$A$3:$AP$245,地图配置辅助表!AO$1,FALSE)</f>
        <v>0</v>
      </c>
      <c r="BD25" s="8">
        <f>VLOOKUP($A25,地图配置辅助表!$A$3:$AP$245,地图配置辅助表!AP$1,FALSE)</f>
        <v>0</v>
      </c>
    </row>
    <row r="26" spans="1:56" s="8" customFormat="1" x14ac:dyDescent="0.15">
      <c r="A26">
        <f>地图配置辅助表!A27</f>
        <v>2007</v>
      </c>
      <c r="B26" s="8">
        <f>地图配置辅助表!B27</f>
        <v>1</v>
      </c>
      <c r="C26" s="8">
        <f>地图配置辅助表!C27</f>
        <v>2</v>
      </c>
      <c r="D26" s="9" t="str">
        <f>地图配置辅助表!D27</f>
        <v>落入陷阱</v>
      </c>
      <c r="E26" s="8" t="s">
        <v>281</v>
      </c>
      <c r="F26" s="8" t="s">
        <v>0</v>
      </c>
      <c r="G26" s="8">
        <v>29</v>
      </c>
      <c r="H26" s="8">
        <v>200</v>
      </c>
      <c r="I26" s="8">
        <v>140</v>
      </c>
      <c r="J26" s="8">
        <v>200</v>
      </c>
      <c r="K26" s="8">
        <v>140</v>
      </c>
      <c r="L26" s="8" t="s">
        <v>620</v>
      </c>
      <c r="M26" s="8">
        <v>0</v>
      </c>
      <c r="R26" s="8" t="s">
        <v>620</v>
      </c>
      <c r="S26" s="11">
        <f>VLOOKUP($A26,地图配置辅助表!$A$3:$AP$245,地图配置辅助表!E$1,FALSE)</f>
        <v>6</v>
      </c>
      <c r="T26" s="8">
        <f>VLOOKUP($A26,地图配置辅助表!$A$3:$AP$245,地图配置辅助表!F$1,FALSE)</f>
        <v>1434</v>
      </c>
      <c r="U26" s="8">
        <f>VLOOKUP($A26,地图配置辅助表!$A$3:$AP$245,地图配置辅助表!G$1,FALSE)</f>
        <v>1</v>
      </c>
      <c r="V26" s="8">
        <f>VLOOKUP($A26,地图配置辅助表!$A$3:$AP$245,地图配置辅助表!H$1,FALSE)</f>
        <v>1</v>
      </c>
      <c r="W26" s="8">
        <f>VLOOKUP($A26,地图配置辅助表!$A$3:$AP$245,地图配置辅助表!I$1,FALSE)</f>
        <v>0</v>
      </c>
      <c r="X26" s="8">
        <f>VLOOKUP($A26,地图配置辅助表!$A$3:$AP$245,地图配置辅助表!J$1,FALSE)</f>
        <v>0</v>
      </c>
      <c r="Y26" s="8">
        <f>VLOOKUP($A26,地图配置辅助表!$A$3:$AP$245,地图配置辅助表!K$1,FALSE)</f>
        <v>0</v>
      </c>
      <c r="Z26" s="8">
        <f>VLOOKUP($A26,地图配置辅助表!$A$3:$AP$245,地图配置辅助表!L$1,FALSE)</f>
        <v>0</v>
      </c>
      <c r="AA26" s="8">
        <f>VLOOKUP($A26,地图配置辅助表!$A$3:$AP$245,地图配置辅助表!M$1,FALSE)</f>
        <v>1</v>
      </c>
      <c r="AB26">
        <f>VLOOKUP($A26,地图配置辅助表!$A$3:$AP$245,地图配置辅助表!N$1,FALSE)</f>
        <v>1</v>
      </c>
      <c r="AC26" s="8">
        <f>VLOOKUP($A26,地图配置辅助表!$A$3:$AP$245,地图配置辅助表!O$1,FALSE)</f>
        <v>3</v>
      </c>
      <c r="AD26">
        <f>VLOOKUP($A26,地图配置辅助表!$A$3:$AP$245,地图配置辅助表!P$1,FALSE)</f>
        <v>2006</v>
      </c>
      <c r="AE26" s="8">
        <f>VLOOKUP($A26,地图配置辅助表!$A$3:$AP$245,地图配置辅助表!Q$1,FALSE)</f>
        <v>0</v>
      </c>
      <c r="AF26" s="8">
        <f>VLOOKUP($A26,地图配置辅助表!$A$3:$AP$245,地图配置辅助表!R$1,FALSE)</f>
        <v>0</v>
      </c>
      <c r="AG26" s="11">
        <f>VLOOKUP($A26,地图配置辅助表!$A$3:$AP$245,地图配置辅助表!S$1,FALSE)</f>
        <v>502007</v>
      </c>
      <c r="AH26" s="11">
        <f>VLOOKUP($A26,地图配置辅助表!$A$3:$AP$245,地图配置辅助表!T$1,FALSE)</f>
        <v>127104</v>
      </c>
      <c r="AI26" s="8">
        <f>VLOOKUP($A26,地图配置辅助表!$A$3:$AP$245,地图配置辅助表!U$1,FALSE)</f>
        <v>2</v>
      </c>
      <c r="AJ26" s="8">
        <f>VLOOKUP($A26,地图配置辅助表!$A$3:$AP$245,地图配置辅助表!V$1,FALSE)</f>
        <v>127101</v>
      </c>
      <c r="AK26" s="8">
        <f>VLOOKUP($A26,地图配置辅助表!$A$3:$AP$245,地图配置辅助表!W$1,FALSE)</f>
        <v>127102</v>
      </c>
      <c r="AL26" s="8">
        <f>VLOOKUP($A26,地图配置辅助表!$A$3:$AP$245,地图配置辅助表!X$1,FALSE)</f>
        <v>0</v>
      </c>
      <c r="AM26" s="8">
        <f>VLOOKUP($A26,地图配置辅助表!$A$3:$AP$245,地图配置辅助表!Y$1,FALSE)</f>
        <v>0</v>
      </c>
      <c r="AN26" s="8">
        <f>VLOOKUP($A26,地图配置辅助表!$A$3:$AP$245,地图配置辅助表!Z$1,FALSE)</f>
        <v>0</v>
      </c>
      <c r="AO26" s="8">
        <f>VLOOKUP($A26,地图配置辅助表!$A$3:$AP$245,地图配置辅助表!AA$1,FALSE)</f>
        <v>0</v>
      </c>
      <c r="AP26" s="8">
        <f>VLOOKUP($A26,地图配置辅助表!$A$3:$AP$245,地图配置辅助表!AB$1,FALSE)</f>
        <v>0</v>
      </c>
      <c r="AQ26" s="8">
        <f>VLOOKUP($A26,地图配置辅助表!$A$3:$AP$245,地图配置辅助表!AC$1,FALSE)</f>
        <v>0</v>
      </c>
      <c r="AR26" s="8">
        <f>VLOOKUP($A26,地图配置辅助表!$A$3:$AP$245,地图配置辅助表!AD$1,FALSE)</f>
        <v>0</v>
      </c>
      <c r="AS26" s="8">
        <f>VLOOKUP($A26,地图配置辅助表!$A$3:$AP$245,地图配置辅助表!AE$1,FALSE)</f>
        <v>0</v>
      </c>
      <c r="AT26" s="8">
        <f>VLOOKUP($A26,地图配置辅助表!$A$3:$AP$245,地图配置辅助表!AF$1,FALSE)</f>
        <v>4</v>
      </c>
      <c r="AU26" s="8">
        <f>VLOOKUP($A26,地图配置辅助表!$A$3:$AP$245,地图配置辅助表!AG$1,FALSE)</f>
        <v>45</v>
      </c>
      <c r="AV26" s="8">
        <f>VLOOKUP($A26,地图配置辅助表!$A$3:$AP$245,地图配置辅助表!AH$1,FALSE)</f>
        <v>54</v>
      </c>
      <c r="AW26" s="8">
        <f>VLOOKUP($A26,地图配置辅助表!$A$3:$AP$245,地图配置辅助表!AI$1,FALSE)</f>
        <v>60</v>
      </c>
      <c r="AX26" s="8">
        <f>VLOOKUP($A26,地图配置辅助表!$A$3:$AP$245,地图配置辅助表!AJ$1,FALSE)</f>
        <v>85</v>
      </c>
      <c r="AY26" s="8">
        <f>VLOOKUP($A26,地图配置辅助表!$A$3:$AP$245,地图配置辅助表!AK$1,FALSE)</f>
        <v>0</v>
      </c>
      <c r="AZ26" s="8">
        <f>VLOOKUP($A26,地图配置辅助表!$A$3:$AP$245,地图配置辅助表!AL$1,FALSE)</f>
        <v>0</v>
      </c>
      <c r="BA26" s="8">
        <f>VLOOKUP($A26,地图配置辅助表!$A$3:$AP$245,地图配置辅助表!AM$1,FALSE)</f>
        <v>0</v>
      </c>
      <c r="BB26" s="8">
        <f>VLOOKUP($A26,地图配置辅助表!$A$3:$AP$245,地图配置辅助表!AN$1,FALSE)</f>
        <v>0</v>
      </c>
      <c r="BC26" s="8">
        <f>VLOOKUP($A26,地图配置辅助表!$A$3:$AP$245,地图配置辅助表!AO$1,FALSE)</f>
        <v>0</v>
      </c>
      <c r="BD26" s="8">
        <f>VLOOKUP($A26,地图配置辅助表!$A$3:$AP$245,地图配置辅助表!AP$1,FALSE)</f>
        <v>0</v>
      </c>
    </row>
    <row r="27" spans="1:56" s="8" customFormat="1" x14ac:dyDescent="0.15">
      <c r="A27">
        <f>地图配置辅助表!A28</f>
        <v>2008</v>
      </c>
      <c r="B27" s="8">
        <f>地图配置辅助表!B28</f>
        <v>1</v>
      </c>
      <c r="C27" s="8">
        <f>地图配置辅助表!C28</f>
        <v>2</v>
      </c>
      <c r="D27" s="9" t="str">
        <f>地图配置辅助表!D28</f>
        <v>突出重围</v>
      </c>
      <c r="E27" s="8" t="s">
        <v>282</v>
      </c>
      <c r="F27" s="8" t="s">
        <v>0</v>
      </c>
      <c r="G27" s="8">
        <v>29</v>
      </c>
      <c r="H27" s="8">
        <v>200</v>
      </c>
      <c r="I27" s="8">
        <v>140</v>
      </c>
      <c r="J27" s="8">
        <v>200</v>
      </c>
      <c r="K27" s="8">
        <v>140</v>
      </c>
      <c r="L27" s="8" t="s">
        <v>621</v>
      </c>
      <c r="M27" s="8">
        <v>0</v>
      </c>
      <c r="R27" s="8" t="s">
        <v>621</v>
      </c>
      <c r="S27" s="11">
        <f>VLOOKUP($A27,地图配置辅助表!$A$3:$AP$245,地图配置辅助表!E$1,FALSE)</f>
        <v>6</v>
      </c>
      <c r="T27" s="8">
        <f>VLOOKUP($A27,地图配置辅助表!$A$3:$AP$245,地图配置辅助表!F$1,FALSE)</f>
        <v>1630</v>
      </c>
      <c r="U27" s="8">
        <f>VLOOKUP($A27,地图配置辅助表!$A$3:$AP$245,地图配置辅助表!G$1,FALSE)</f>
        <v>1</v>
      </c>
      <c r="V27" s="8">
        <f>VLOOKUP($A27,地图配置辅助表!$A$3:$AP$245,地图配置辅助表!H$1,FALSE)</f>
        <v>1</v>
      </c>
      <c r="W27" s="8">
        <f>VLOOKUP($A27,地图配置辅助表!$A$3:$AP$245,地图配置辅助表!I$1,FALSE)</f>
        <v>0</v>
      </c>
      <c r="X27" s="8">
        <f>VLOOKUP($A27,地图配置辅助表!$A$3:$AP$245,地图配置辅助表!J$1,FALSE)</f>
        <v>0</v>
      </c>
      <c r="Y27" s="8">
        <f>VLOOKUP($A27,地图配置辅助表!$A$3:$AP$245,地图配置辅助表!K$1,FALSE)</f>
        <v>0</v>
      </c>
      <c r="Z27" s="8">
        <f>VLOOKUP($A27,地图配置辅助表!$A$3:$AP$245,地图配置辅助表!L$1,FALSE)</f>
        <v>0</v>
      </c>
      <c r="AA27" s="8">
        <f>VLOOKUP($A27,地图配置辅助表!$A$3:$AP$245,地图配置辅助表!M$1,FALSE)</f>
        <v>1</v>
      </c>
      <c r="AB27">
        <f>VLOOKUP($A27,地图配置辅助表!$A$3:$AP$245,地图配置辅助表!N$1,FALSE)</f>
        <v>1</v>
      </c>
      <c r="AC27" s="8">
        <f>VLOOKUP($A27,地图配置辅助表!$A$3:$AP$245,地图配置辅助表!O$1,FALSE)</f>
        <v>3</v>
      </c>
      <c r="AD27">
        <f>VLOOKUP($A27,地图配置辅助表!$A$3:$AP$245,地图配置辅助表!P$1,FALSE)</f>
        <v>2007</v>
      </c>
      <c r="AE27" s="8">
        <f>VLOOKUP($A27,地图配置辅助表!$A$3:$AP$245,地图配置辅助表!Q$1,FALSE)</f>
        <v>0</v>
      </c>
      <c r="AF27" s="8">
        <f>VLOOKUP($A27,地图配置辅助表!$A$3:$AP$245,地图配置辅助表!R$1,FALSE)</f>
        <v>0</v>
      </c>
      <c r="AG27" s="11">
        <f>VLOOKUP($A27,地图配置辅助表!$A$3:$AP$245,地图配置辅助表!S$1,FALSE)</f>
        <v>502008</v>
      </c>
      <c r="AH27" s="11">
        <f>VLOOKUP($A27,地图配置辅助表!$A$3:$AP$245,地图配置辅助表!T$1,FALSE)</f>
        <v>128104</v>
      </c>
      <c r="AI27" s="8">
        <f>VLOOKUP($A27,地图配置辅助表!$A$3:$AP$245,地图配置辅助表!U$1,FALSE)</f>
        <v>2</v>
      </c>
      <c r="AJ27" s="8">
        <f>VLOOKUP($A27,地图配置辅助表!$A$3:$AP$245,地图配置辅助表!V$1,FALSE)</f>
        <v>128101</v>
      </c>
      <c r="AK27" s="8">
        <f>VLOOKUP($A27,地图配置辅助表!$A$3:$AP$245,地图配置辅助表!W$1,FALSE)</f>
        <v>128102</v>
      </c>
      <c r="AL27" s="8">
        <f>VLOOKUP($A27,地图配置辅助表!$A$3:$AP$245,地图配置辅助表!X$1,FALSE)</f>
        <v>0</v>
      </c>
      <c r="AM27" s="8">
        <f>VLOOKUP($A27,地图配置辅助表!$A$3:$AP$245,地图配置辅助表!Y$1,FALSE)</f>
        <v>0</v>
      </c>
      <c r="AN27" s="8">
        <f>VLOOKUP($A27,地图配置辅助表!$A$3:$AP$245,地图配置辅助表!Z$1,FALSE)</f>
        <v>0</v>
      </c>
      <c r="AO27" s="8">
        <f>VLOOKUP($A27,地图配置辅助表!$A$3:$AP$245,地图配置辅助表!AA$1,FALSE)</f>
        <v>0</v>
      </c>
      <c r="AP27" s="8">
        <f>VLOOKUP($A27,地图配置辅助表!$A$3:$AP$245,地图配置辅助表!AB$1,FALSE)</f>
        <v>0</v>
      </c>
      <c r="AQ27" s="8">
        <f>VLOOKUP($A27,地图配置辅助表!$A$3:$AP$245,地图配置辅助表!AC$1,FALSE)</f>
        <v>0</v>
      </c>
      <c r="AR27" s="8">
        <f>VLOOKUP($A27,地图配置辅助表!$A$3:$AP$245,地图配置辅助表!AD$1,FALSE)</f>
        <v>0</v>
      </c>
      <c r="AS27" s="8">
        <f>VLOOKUP($A27,地图配置辅助表!$A$3:$AP$245,地图配置辅助表!AE$1,FALSE)</f>
        <v>0</v>
      </c>
      <c r="AT27" s="8">
        <f>VLOOKUP($A27,地图配置辅助表!$A$3:$AP$245,地图配置辅助表!AF$1,FALSE)</f>
        <v>3</v>
      </c>
      <c r="AU27" s="8">
        <f>VLOOKUP($A27,地图配置辅助表!$A$3:$AP$245,地图配置辅助表!AG$1,FALSE)</f>
        <v>77</v>
      </c>
      <c r="AV27" s="8">
        <f>VLOOKUP($A27,地图配置辅助表!$A$3:$AP$245,地图配置辅助表!AH$1,FALSE)</f>
        <v>78</v>
      </c>
      <c r="AW27" s="8">
        <f>VLOOKUP($A27,地图配置辅助表!$A$3:$AP$245,地图配置辅助表!AI$1,FALSE)</f>
        <v>79</v>
      </c>
      <c r="AX27" s="8">
        <f>VLOOKUP($A27,地图配置辅助表!$A$3:$AP$245,地图配置辅助表!AJ$1,FALSE)</f>
        <v>0</v>
      </c>
      <c r="AY27" s="8">
        <f>VLOOKUP($A27,地图配置辅助表!$A$3:$AP$245,地图配置辅助表!AK$1,FALSE)</f>
        <v>0</v>
      </c>
      <c r="AZ27" s="8">
        <f>VLOOKUP($A27,地图配置辅助表!$A$3:$AP$245,地图配置辅助表!AL$1,FALSE)</f>
        <v>0</v>
      </c>
      <c r="BA27" s="8">
        <f>VLOOKUP($A27,地图配置辅助表!$A$3:$AP$245,地图配置辅助表!AM$1,FALSE)</f>
        <v>0</v>
      </c>
      <c r="BB27" s="8">
        <f>VLOOKUP($A27,地图配置辅助表!$A$3:$AP$245,地图配置辅助表!AN$1,FALSE)</f>
        <v>0</v>
      </c>
      <c r="BC27" s="8">
        <f>VLOOKUP($A27,地图配置辅助表!$A$3:$AP$245,地图配置辅助表!AO$1,FALSE)</f>
        <v>0</v>
      </c>
      <c r="BD27" s="8">
        <f>VLOOKUP($A27,地图配置辅助表!$A$3:$AP$245,地图配置辅助表!AP$1,FALSE)</f>
        <v>0</v>
      </c>
    </row>
    <row r="28" spans="1:56" s="8" customFormat="1" x14ac:dyDescent="0.15">
      <c r="A28">
        <f>地图配置辅助表!A29</f>
        <v>2009</v>
      </c>
      <c r="B28" s="8">
        <f>地图配置辅助表!B29</f>
        <v>1</v>
      </c>
      <c r="C28" s="8">
        <f>地图配置辅助表!C29</f>
        <v>2</v>
      </c>
      <c r="D28" s="9" t="str">
        <f>地图配置辅助表!D29</f>
        <v>赌场除丁瑶</v>
      </c>
      <c r="E28" s="8" t="s">
        <v>283</v>
      </c>
      <c r="F28" s="8" t="s">
        <v>0</v>
      </c>
      <c r="G28" s="8">
        <v>29</v>
      </c>
      <c r="H28" s="8">
        <v>200</v>
      </c>
      <c r="I28" s="8">
        <v>140</v>
      </c>
      <c r="J28" s="8">
        <v>200</v>
      </c>
      <c r="K28" s="8">
        <v>140</v>
      </c>
      <c r="L28" s="8" t="s">
        <v>622</v>
      </c>
      <c r="M28" s="8">
        <v>0</v>
      </c>
      <c r="R28" s="8" t="s">
        <v>622</v>
      </c>
      <c r="S28" s="11">
        <f>VLOOKUP($A28,地图配置辅助表!$A$3:$AP$245,地图配置辅助表!E$1,FALSE)</f>
        <v>6</v>
      </c>
      <c r="T28" s="8">
        <f>VLOOKUP($A28,地图配置辅助表!$A$3:$AP$245,地图配置辅助表!F$1,FALSE)</f>
        <v>2061</v>
      </c>
      <c r="U28" s="8">
        <f>VLOOKUP($A28,地图配置辅助表!$A$3:$AP$245,地图配置辅助表!G$1,FALSE)</f>
        <v>1</v>
      </c>
      <c r="V28" s="8">
        <f>VLOOKUP($A28,地图配置辅助表!$A$3:$AP$245,地图配置辅助表!H$1,FALSE)</f>
        <v>1</v>
      </c>
      <c r="W28" s="8">
        <f>VLOOKUP($A28,地图配置辅助表!$A$3:$AP$245,地图配置辅助表!I$1,FALSE)</f>
        <v>0</v>
      </c>
      <c r="X28" s="8">
        <f>VLOOKUP($A28,地图配置辅助表!$A$3:$AP$245,地图配置辅助表!J$1,FALSE)</f>
        <v>0</v>
      </c>
      <c r="Y28" s="8">
        <f>VLOOKUP($A28,地图配置辅助表!$A$3:$AP$245,地图配置辅助表!K$1,FALSE)</f>
        <v>0</v>
      </c>
      <c r="Z28" s="8">
        <f>VLOOKUP($A28,地图配置辅助表!$A$3:$AP$245,地图配置辅助表!L$1,FALSE)</f>
        <v>0</v>
      </c>
      <c r="AA28" s="8">
        <f>VLOOKUP($A28,地图配置辅助表!$A$3:$AP$245,地图配置辅助表!M$1,FALSE)</f>
        <v>1</v>
      </c>
      <c r="AB28">
        <f>VLOOKUP($A28,地图配置辅助表!$A$3:$AP$245,地图配置辅助表!N$1,FALSE)</f>
        <v>1</v>
      </c>
      <c r="AC28" s="8">
        <f>VLOOKUP($A28,地图配置辅助表!$A$3:$AP$245,地图配置辅助表!O$1,FALSE)</f>
        <v>3</v>
      </c>
      <c r="AD28">
        <f>VLOOKUP($A28,地图配置辅助表!$A$3:$AP$245,地图配置辅助表!P$1,FALSE)</f>
        <v>2008</v>
      </c>
      <c r="AE28" s="8">
        <f>VLOOKUP($A28,地图配置辅助表!$A$3:$AP$245,地图配置辅助表!Q$1,FALSE)</f>
        <v>0</v>
      </c>
      <c r="AF28" s="8">
        <f>VLOOKUP($A28,地图配置辅助表!$A$3:$AP$245,地图配置辅助表!R$1,FALSE)</f>
        <v>0</v>
      </c>
      <c r="AG28" s="11">
        <f>VLOOKUP($A28,地图配置辅助表!$A$3:$AP$245,地图配置辅助表!S$1,FALSE)</f>
        <v>502009</v>
      </c>
      <c r="AH28" s="11">
        <f>VLOOKUP($A28,地图配置辅助表!$A$3:$AP$245,地图配置辅助表!T$1,FALSE)</f>
        <v>129104</v>
      </c>
      <c r="AI28" s="8">
        <f>VLOOKUP($A28,地图配置辅助表!$A$3:$AP$245,地图配置辅助表!U$1,FALSE)</f>
        <v>2</v>
      </c>
      <c r="AJ28" s="8">
        <f>VLOOKUP($A28,地图配置辅助表!$A$3:$AP$245,地图配置辅助表!V$1,FALSE)</f>
        <v>129101</v>
      </c>
      <c r="AK28" s="8">
        <f>VLOOKUP($A28,地图配置辅助表!$A$3:$AP$245,地图配置辅助表!W$1,FALSE)</f>
        <v>129102</v>
      </c>
      <c r="AL28" s="8">
        <f>VLOOKUP($A28,地图配置辅助表!$A$3:$AP$245,地图配置辅助表!X$1,FALSE)</f>
        <v>0</v>
      </c>
      <c r="AM28" s="8">
        <f>VLOOKUP($A28,地图配置辅助表!$A$3:$AP$245,地图配置辅助表!Y$1,FALSE)</f>
        <v>0</v>
      </c>
      <c r="AN28" s="8">
        <f>VLOOKUP($A28,地图配置辅助表!$A$3:$AP$245,地图配置辅助表!Z$1,FALSE)</f>
        <v>0</v>
      </c>
      <c r="AO28" s="8">
        <f>VLOOKUP($A28,地图配置辅助表!$A$3:$AP$245,地图配置辅助表!AA$1,FALSE)</f>
        <v>0</v>
      </c>
      <c r="AP28" s="8">
        <f>VLOOKUP($A28,地图配置辅助表!$A$3:$AP$245,地图配置辅助表!AB$1,FALSE)</f>
        <v>0</v>
      </c>
      <c r="AQ28" s="8">
        <f>VLOOKUP($A28,地图配置辅助表!$A$3:$AP$245,地图配置辅助表!AC$1,FALSE)</f>
        <v>0</v>
      </c>
      <c r="AR28" s="8">
        <f>VLOOKUP($A28,地图配置辅助表!$A$3:$AP$245,地图配置辅助表!AD$1,FALSE)</f>
        <v>0</v>
      </c>
      <c r="AS28" s="8">
        <f>VLOOKUP($A28,地图配置辅助表!$A$3:$AP$245,地图配置辅助表!AE$1,FALSE)</f>
        <v>0</v>
      </c>
      <c r="AT28" s="8">
        <f>VLOOKUP($A28,地图配置辅助表!$A$3:$AP$245,地图配置辅助表!AF$1,FALSE)</f>
        <v>4</v>
      </c>
      <c r="AU28" s="8">
        <f>VLOOKUP($A28,地图配置辅助表!$A$3:$AP$245,地图配置辅助表!AG$1,FALSE)</f>
        <v>55</v>
      </c>
      <c r="AV28" s="8">
        <f>VLOOKUP($A28,地图配置辅助表!$A$3:$AP$245,地图配置辅助表!AH$1,FALSE)</f>
        <v>56</v>
      </c>
      <c r="AW28" s="8">
        <f>VLOOKUP($A28,地图配置辅助表!$A$3:$AP$245,地图配置辅助表!AI$1,FALSE)</f>
        <v>57</v>
      </c>
      <c r="AX28" s="8">
        <f>VLOOKUP($A28,地图配置辅助表!$A$3:$AP$245,地图配置辅助表!AJ$1,FALSE)</f>
        <v>111</v>
      </c>
      <c r="AY28" s="8">
        <f>VLOOKUP($A28,地图配置辅助表!$A$3:$AP$245,地图配置辅助表!AK$1,FALSE)</f>
        <v>0</v>
      </c>
      <c r="AZ28" s="8">
        <f>VLOOKUP($A28,地图配置辅助表!$A$3:$AP$245,地图配置辅助表!AL$1,FALSE)</f>
        <v>0</v>
      </c>
      <c r="BA28" s="8">
        <f>VLOOKUP($A28,地图配置辅助表!$A$3:$AP$245,地图配置辅助表!AM$1,FALSE)</f>
        <v>0</v>
      </c>
      <c r="BB28" s="8">
        <f>VLOOKUP($A28,地图配置辅助表!$A$3:$AP$245,地图配置辅助表!AN$1,FALSE)</f>
        <v>0</v>
      </c>
      <c r="BC28" s="8">
        <f>VLOOKUP($A28,地图配置辅助表!$A$3:$AP$245,地图配置辅助表!AO$1,FALSE)</f>
        <v>0</v>
      </c>
      <c r="BD28" s="8">
        <f>VLOOKUP($A28,地图配置辅助表!$A$3:$AP$245,地图配置辅助表!AP$1,FALSE)</f>
        <v>0</v>
      </c>
    </row>
    <row r="29" spans="1:56" s="8" customFormat="1" x14ac:dyDescent="0.15">
      <c r="A29">
        <f>地图配置辅助表!A30</f>
        <v>3001</v>
      </c>
      <c r="B29" s="8">
        <f>地图配置辅助表!B30</f>
        <v>1</v>
      </c>
      <c r="C29" s="8">
        <f>地图配置辅助表!C30</f>
        <v>3</v>
      </c>
      <c r="D29" s="9" t="str">
        <f>地图配置辅助表!D30</f>
        <v>东星鸿门宴</v>
      </c>
      <c r="E29" s="8" t="s">
        <v>284</v>
      </c>
      <c r="F29" s="8" t="s">
        <v>0</v>
      </c>
      <c r="G29" s="8">
        <v>29</v>
      </c>
      <c r="H29" s="8">
        <v>200</v>
      </c>
      <c r="I29" s="8">
        <v>140</v>
      </c>
      <c r="J29" s="8">
        <v>200</v>
      </c>
      <c r="K29" s="8">
        <v>140</v>
      </c>
      <c r="L29" s="8" t="s">
        <v>133</v>
      </c>
      <c r="M29" s="8">
        <v>0</v>
      </c>
      <c r="R29" s="8" t="s">
        <v>133</v>
      </c>
      <c r="S29" s="11">
        <f>VLOOKUP($A29,地图配置辅助表!$A$3:$AP$245,地图配置辅助表!E$1,FALSE)</f>
        <v>6</v>
      </c>
      <c r="T29" s="8">
        <f>VLOOKUP($A29,地图配置辅助表!$A$3:$AP$245,地图配置辅助表!F$1,FALSE)</f>
        <v>2028</v>
      </c>
      <c r="U29" s="8">
        <f>VLOOKUP($A29,地图配置辅助表!$A$3:$AP$245,地图配置辅助表!G$1,FALSE)</f>
        <v>1</v>
      </c>
      <c r="V29" s="8">
        <f>VLOOKUP($A29,地图配置辅助表!$A$3:$AP$245,地图配置辅助表!H$1,FALSE)</f>
        <v>1</v>
      </c>
      <c r="W29" s="8">
        <f>VLOOKUP($A29,地图配置辅助表!$A$3:$AP$245,地图配置辅助表!I$1,FALSE)</f>
        <v>0</v>
      </c>
      <c r="X29" s="8">
        <f>VLOOKUP($A29,地图配置辅助表!$A$3:$AP$245,地图配置辅助表!J$1,FALSE)</f>
        <v>0</v>
      </c>
      <c r="Y29" s="8">
        <f>VLOOKUP($A29,地图配置辅助表!$A$3:$AP$245,地图配置辅助表!K$1,FALSE)</f>
        <v>0</v>
      </c>
      <c r="Z29" s="8">
        <f>VLOOKUP($A29,地图配置辅助表!$A$3:$AP$245,地图配置辅助表!L$1,FALSE)</f>
        <v>0</v>
      </c>
      <c r="AA29" s="8">
        <f>VLOOKUP($A29,地图配置辅助表!$A$3:$AP$245,地图配置辅助表!M$1,FALSE)</f>
        <v>1</v>
      </c>
      <c r="AB29">
        <f>VLOOKUP($A29,地图配置辅助表!$A$3:$AP$245,地图配置辅助表!N$1,FALSE)</f>
        <v>1</v>
      </c>
      <c r="AC29" s="8">
        <f>VLOOKUP($A29,地图配置辅助表!$A$3:$AP$245,地图配置辅助表!O$1,FALSE)</f>
        <v>3</v>
      </c>
      <c r="AD29">
        <f>VLOOKUP($A29,地图配置辅助表!$A$3:$AP$245,地图配置辅助表!P$1,FALSE)</f>
        <v>2009</v>
      </c>
      <c r="AE29" s="8">
        <f>VLOOKUP($A29,地图配置辅助表!$A$3:$AP$245,地图配置辅助表!Q$1,FALSE)</f>
        <v>0</v>
      </c>
      <c r="AF29" s="8">
        <f>VLOOKUP($A29,地图配置辅助表!$A$3:$AP$245,地图配置辅助表!R$1,FALSE)</f>
        <v>0</v>
      </c>
      <c r="AG29" s="11">
        <f>VLOOKUP($A29,地图配置辅助表!$A$3:$AP$245,地图配置辅助表!S$1,FALSE)</f>
        <v>503001</v>
      </c>
      <c r="AH29" s="11">
        <f>VLOOKUP($A29,地图配置辅助表!$A$3:$AP$245,地图配置辅助表!T$1,FALSE)</f>
        <v>131104</v>
      </c>
      <c r="AI29" s="8">
        <f>VLOOKUP($A29,地图配置辅助表!$A$3:$AP$245,地图配置辅助表!U$1,FALSE)</f>
        <v>3</v>
      </c>
      <c r="AJ29" s="8">
        <f>VLOOKUP($A29,地图配置辅助表!$A$3:$AP$245,地图配置辅助表!V$1,FALSE)</f>
        <v>131101</v>
      </c>
      <c r="AK29" s="8">
        <f>VLOOKUP($A29,地图配置辅助表!$A$3:$AP$245,地图配置辅助表!W$1,FALSE)</f>
        <v>131102</v>
      </c>
      <c r="AL29" s="8">
        <f>VLOOKUP($A29,地图配置辅助表!$A$3:$AP$245,地图配置辅助表!X$1,FALSE)</f>
        <v>131103</v>
      </c>
      <c r="AM29" s="8">
        <f>VLOOKUP($A29,地图配置辅助表!$A$3:$AP$245,地图配置辅助表!Y$1,FALSE)</f>
        <v>0</v>
      </c>
      <c r="AN29" s="8">
        <f>VLOOKUP($A29,地图配置辅助表!$A$3:$AP$245,地图配置辅助表!Z$1,FALSE)</f>
        <v>0</v>
      </c>
      <c r="AO29" s="8">
        <f>VLOOKUP($A29,地图配置辅助表!$A$3:$AP$245,地图配置辅助表!AA$1,FALSE)</f>
        <v>0</v>
      </c>
      <c r="AP29" s="8">
        <f>VLOOKUP($A29,地图配置辅助表!$A$3:$AP$245,地图配置辅助表!AB$1,FALSE)</f>
        <v>0</v>
      </c>
      <c r="AQ29" s="8">
        <f>VLOOKUP($A29,地图配置辅助表!$A$3:$AP$245,地图配置辅助表!AC$1,FALSE)</f>
        <v>0</v>
      </c>
      <c r="AR29" s="8">
        <f>VLOOKUP($A29,地图配置辅助表!$A$3:$AP$245,地图配置辅助表!AD$1,FALSE)</f>
        <v>0</v>
      </c>
      <c r="AS29" s="8">
        <f>VLOOKUP($A29,地图配置辅助表!$A$3:$AP$245,地图配置辅助表!AE$1,FALSE)</f>
        <v>0</v>
      </c>
      <c r="AT29" s="8">
        <f>VLOOKUP($A29,地图配置辅助表!$A$3:$AP$245,地图配置辅助表!AF$1,FALSE)</f>
        <v>3</v>
      </c>
      <c r="AU29" s="8">
        <f>VLOOKUP($A29,地图配置辅助表!$A$3:$AP$245,地图配置辅助表!AG$1,FALSE)</f>
        <v>173</v>
      </c>
      <c r="AV29" s="8">
        <f>VLOOKUP($A29,地图配置辅助表!$A$3:$AP$245,地图配置辅助表!AH$1,FALSE)</f>
        <v>181</v>
      </c>
      <c r="AW29" s="8">
        <f>VLOOKUP($A29,地图配置辅助表!$A$3:$AP$245,地图配置辅助表!AI$1,FALSE)</f>
        <v>189</v>
      </c>
      <c r="AX29" s="8">
        <f>VLOOKUP($A29,地图配置辅助表!$A$3:$AP$245,地图配置辅助表!AJ$1,FALSE)</f>
        <v>0</v>
      </c>
      <c r="AY29" s="8">
        <f>VLOOKUP($A29,地图配置辅助表!$A$3:$AP$245,地图配置辅助表!AK$1,FALSE)</f>
        <v>0</v>
      </c>
      <c r="AZ29" s="8">
        <f>VLOOKUP($A29,地图配置辅助表!$A$3:$AP$245,地图配置辅助表!AL$1,FALSE)</f>
        <v>0</v>
      </c>
      <c r="BA29" s="8">
        <f>VLOOKUP($A29,地图配置辅助表!$A$3:$AP$245,地图配置辅助表!AM$1,FALSE)</f>
        <v>0</v>
      </c>
      <c r="BB29" s="8">
        <f>VLOOKUP($A29,地图配置辅助表!$A$3:$AP$245,地图配置辅助表!AN$1,FALSE)</f>
        <v>0</v>
      </c>
      <c r="BC29" s="8">
        <f>VLOOKUP($A29,地图配置辅助表!$A$3:$AP$245,地图配置辅助表!AO$1,FALSE)</f>
        <v>0</v>
      </c>
      <c r="BD29" s="8">
        <f>VLOOKUP($A29,地图配置辅助表!$A$3:$AP$245,地图配置辅助表!AP$1,FALSE)</f>
        <v>0</v>
      </c>
    </row>
    <row r="30" spans="1:56" s="8" customFormat="1" x14ac:dyDescent="0.15">
      <c r="A30">
        <f>地图配置辅助表!A31</f>
        <v>3002</v>
      </c>
      <c r="B30" s="8">
        <f>地图配置辅助表!B31</f>
        <v>1</v>
      </c>
      <c r="C30" s="8">
        <f>地图配置辅助表!C31</f>
        <v>3</v>
      </c>
      <c r="D30" s="9" t="str">
        <f>地图配置辅助表!D31</f>
        <v>怒打笑面虎</v>
      </c>
      <c r="E30" s="8" t="s">
        <v>285</v>
      </c>
      <c r="F30" s="8" t="s">
        <v>0</v>
      </c>
      <c r="G30" s="8">
        <v>29</v>
      </c>
      <c r="H30" s="8">
        <v>200</v>
      </c>
      <c r="I30" s="8">
        <v>140</v>
      </c>
      <c r="J30" s="8">
        <v>200</v>
      </c>
      <c r="K30" s="8">
        <v>140</v>
      </c>
      <c r="L30" s="8" t="s">
        <v>134</v>
      </c>
      <c r="M30" s="8">
        <v>0</v>
      </c>
      <c r="R30" s="8" t="s">
        <v>134</v>
      </c>
      <c r="S30" s="11">
        <f>VLOOKUP($A30,地图配置辅助表!$A$3:$AP$245,地图配置辅助表!E$1,FALSE)</f>
        <v>6</v>
      </c>
      <c r="T30" s="8">
        <f>VLOOKUP($A30,地图配置辅助表!$A$3:$AP$245,地图配置辅助表!F$1,FALSE)</f>
        <v>2268</v>
      </c>
      <c r="U30" s="8">
        <f>VLOOKUP($A30,地图配置辅助表!$A$3:$AP$245,地图配置辅助表!G$1,FALSE)</f>
        <v>1</v>
      </c>
      <c r="V30" s="8">
        <f>VLOOKUP($A30,地图配置辅助表!$A$3:$AP$245,地图配置辅助表!H$1,FALSE)</f>
        <v>1</v>
      </c>
      <c r="W30" s="8">
        <f>VLOOKUP($A30,地图配置辅助表!$A$3:$AP$245,地图配置辅助表!I$1,FALSE)</f>
        <v>0</v>
      </c>
      <c r="X30" s="8">
        <f>VLOOKUP($A30,地图配置辅助表!$A$3:$AP$245,地图配置辅助表!J$1,FALSE)</f>
        <v>0</v>
      </c>
      <c r="Y30" s="8">
        <f>VLOOKUP($A30,地图配置辅助表!$A$3:$AP$245,地图配置辅助表!K$1,FALSE)</f>
        <v>0</v>
      </c>
      <c r="Z30" s="8">
        <f>VLOOKUP($A30,地图配置辅助表!$A$3:$AP$245,地图配置辅助表!L$1,FALSE)</f>
        <v>0</v>
      </c>
      <c r="AA30" s="8">
        <f>VLOOKUP($A30,地图配置辅助表!$A$3:$AP$245,地图配置辅助表!M$1,FALSE)</f>
        <v>1</v>
      </c>
      <c r="AB30">
        <f>VLOOKUP($A30,地图配置辅助表!$A$3:$AP$245,地图配置辅助表!N$1,FALSE)</f>
        <v>1</v>
      </c>
      <c r="AC30" s="8">
        <f>VLOOKUP($A30,地图配置辅助表!$A$3:$AP$245,地图配置辅助表!O$1,FALSE)</f>
        <v>3</v>
      </c>
      <c r="AD30">
        <f>VLOOKUP($A30,地图配置辅助表!$A$3:$AP$245,地图配置辅助表!P$1,FALSE)</f>
        <v>3001</v>
      </c>
      <c r="AE30" s="8">
        <f>VLOOKUP($A30,地图配置辅助表!$A$3:$AP$245,地图配置辅助表!Q$1,FALSE)</f>
        <v>0</v>
      </c>
      <c r="AF30" s="8">
        <f>VLOOKUP($A30,地图配置辅助表!$A$3:$AP$245,地图配置辅助表!R$1,FALSE)</f>
        <v>0</v>
      </c>
      <c r="AG30" s="11">
        <f>VLOOKUP($A30,地图配置辅助表!$A$3:$AP$245,地图配置辅助表!S$1,FALSE)</f>
        <v>503002</v>
      </c>
      <c r="AH30" s="11">
        <f>VLOOKUP($A30,地图配置辅助表!$A$3:$AP$245,地图配置辅助表!T$1,FALSE)</f>
        <v>132104</v>
      </c>
      <c r="AI30" s="8">
        <f>VLOOKUP($A30,地图配置辅助表!$A$3:$AP$245,地图配置辅助表!U$1,FALSE)</f>
        <v>3</v>
      </c>
      <c r="AJ30" s="8">
        <f>VLOOKUP($A30,地图配置辅助表!$A$3:$AP$245,地图配置辅助表!V$1,FALSE)</f>
        <v>132101</v>
      </c>
      <c r="AK30" s="8">
        <f>VLOOKUP($A30,地图配置辅助表!$A$3:$AP$245,地图配置辅助表!W$1,FALSE)</f>
        <v>132102</v>
      </c>
      <c r="AL30" s="8">
        <f>VLOOKUP($A30,地图配置辅助表!$A$3:$AP$245,地图配置辅助表!X$1,FALSE)</f>
        <v>132103</v>
      </c>
      <c r="AM30" s="8">
        <f>VLOOKUP($A30,地图配置辅助表!$A$3:$AP$245,地图配置辅助表!Y$1,FALSE)</f>
        <v>0</v>
      </c>
      <c r="AN30" s="8">
        <f>VLOOKUP($A30,地图配置辅助表!$A$3:$AP$245,地图配置辅助表!Z$1,FALSE)</f>
        <v>0</v>
      </c>
      <c r="AO30" s="8">
        <f>VLOOKUP($A30,地图配置辅助表!$A$3:$AP$245,地图配置辅助表!AA$1,FALSE)</f>
        <v>0</v>
      </c>
      <c r="AP30" s="8">
        <f>VLOOKUP($A30,地图配置辅助表!$A$3:$AP$245,地图配置辅助表!AB$1,FALSE)</f>
        <v>0</v>
      </c>
      <c r="AQ30" s="8">
        <f>VLOOKUP($A30,地图配置辅助表!$A$3:$AP$245,地图配置辅助表!AC$1,FALSE)</f>
        <v>0</v>
      </c>
      <c r="AR30" s="8">
        <f>VLOOKUP($A30,地图配置辅助表!$A$3:$AP$245,地图配置辅助表!AD$1,FALSE)</f>
        <v>0</v>
      </c>
      <c r="AS30" s="8">
        <f>VLOOKUP($A30,地图配置辅助表!$A$3:$AP$245,地图配置辅助表!AE$1,FALSE)</f>
        <v>0</v>
      </c>
      <c r="AT30" s="8">
        <f>VLOOKUP($A30,地图配置辅助表!$A$3:$AP$245,地图配置辅助表!AF$1,FALSE)</f>
        <v>3</v>
      </c>
      <c r="AU30" s="8">
        <f>VLOOKUP($A30,地图配置辅助表!$A$3:$AP$245,地图配置辅助表!AG$1,FALSE)</f>
        <v>135</v>
      </c>
      <c r="AV30" s="8">
        <f>VLOOKUP($A30,地图配置辅助表!$A$3:$AP$245,地图配置辅助表!AH$1,FALSE)</f>
        <v>143</v>
      </c>
      <c r="AW30" s="8">
        <f>VLOOKUP($A30,地图配置辅助表!$A$3:$AP$245,地图配置辅助表!AI$1,FALSE)</f>
        <v>151</v>
      </c>
      <c r="AX30" s="8">
        <f>VLOOKUP($A30,地图配置辅助表!$A$3:$AP$245,地图配置辅助表!AJ$1,FALSE)</f>
        <v>0</v>
      </c>
      <c r="AY30" s="8">
        <f>VLOOKUP($A30,地图配置辅助表!$A$3:$AP$245,地图配置辅助表!AK$1,FALSE)</f>
        <v>0</v>
      </c>
      <c r="AZ30" s="8">
        <f>VLOOKUP($A30,地图配置辅助表!$A$3:$AP$245,地图配置辅助表!AL$1,FALSE)</f>
        <v>0</v>
      </c>
      <c r="BA30" s="8">
        <f>VLOOKUP($A30,地图配置辅助表!$A$3:$AP$245,地图配置辅助表!AM$1,FALSE)</f>
        <v>0</v>
      </c>
      <c r="BB30" s="8">
        <f>VLOOKUP($A30,地图配置辅助表!$A$3:$AP$245,地图配置辅助表!AN$1,FALSE)</f>
        <v>0</v>
      </c>
      <c r="BC30" s="8">
        <f>VLOOKUP($A30,地图配置辅助表!$A$3:$AP$245,地图配置辅助表!AO$1,FALSE)</f>
        <v>0</v>
      </c>
      <c r="BD30" s="8">
        <f>VLOOKUP($A30,地图配置辅助表!$A$3:$AP$245,地图配置辅助表!AP$1,FALSE)</f>
        <v>0</v>
      </c>
    </row>
    <row r="31" spans="1:56" s="8" customFormat="1" x14ac:dyDescent="0.15">
      <c r="A31">
        <f>地图配置辅助表!A32</f>
        <v>3003</v>
      </c>
      <c r="B31" s="8">
        <f>地图配置辅助表!B32</f>
        <v>1</v>
      </c>
      <c r="C31" s="8">
        <f>地图配置辅助表!C32</f>
        <v>3</v>
      </c>
      <c r="D31" s="9" t="str">
        <f>地图配置辅助表!D32</f>
        <v>蒋生遇袭</v>
      </c>
      <c r="E31" s="8" t="s">
        <v>286</v>
      </c>
      <c r="F31" s="8" t="s">
        <v>0</v>
      </c>
      <c r="G31" s="8">
        <v>29</v>
      </c>
      <c r="H31" s="8">
        <v>200</v>
      </c>
      <c r="I31" s="8">
        <v>140</v>
      </c>
      <c r="J31" s="8">
        <v>200</v>
      </c>
      <c r="K31" s="8">
        <v>140</v>
      </c>
      <c r="L31" s="8" t="s">
        <v>135</v>
      </c>
      <c r="M31" s="8">
        <v>0</v>
      </c>
      <c r="R31" s="8" t="s">
        <v>135</v>
      </c>
      <c r="S31" s="11">
        <f>VLOOKUP($A31,地图配置辅助表!$A$3:$AP$245,地图配置辅助表!E$1,FALSE)</f>
        <v>6</v>
      </c>
      <c r="T31" s="8">
        <f>VLOOKUP($A31,地图配置辅助表!$A$3:$AP$245,地图配置辅助表!F$1,FALSE)</f>
        <v>2495</v>
      </c>
      <c r="U31" s="8">
        <f>VLOOKUP($A31,地图配置辅助表!$A$3:$AP$245,地图配置辅助表!G$1,FALSE)</f>
        <v>1</v>
      </c>
      <c r="V31" s="8">
        <f>VLOOKUP($A31,地图配置辅助表!$A$3:$AP$245,地图配置辅助表!H$1,FALSE)</f>
        <v>1</v>
      </c>
      <c r="W31" s="8">
        <f>VLOOKUP($A31,地图配置辅助表!$A$3:$AP$245,地图配置辅助表!I$1,FALSE)</f>
        <v>0</v>
      </c>
      <c r="X31" s="8">
        <f>VLOOKUP($A31,地图配置辅助表!$A$3:$AP$245,地图配置辅助表!J$1,FALSE)</f>
        <v>0</v>
      </c>
      <c r="Y31" s="8">
        <f>VLOOKUP($A31,地图配置辅助表!$A$3:$AP$245,地图配置辅助表!K$1,FALSE)</f>
        <v>0</v>
      </c>
      <c r="Z31" s="8">
        <f>VLOOKUP($A31,地图配置辅助表!$A$3:$AP$245,地图配置辅助表!L$1,FALSE)</f>
        <v>0</v>
      </c>
      <c r="AA31" s="8">
        <f>VLOOKUP($A31,地图配置辅助表!$A$3:$AP$245,地图配置辅助表!M$1,FALSE)</f>
        <v>1</v>
      </c>
      <c r="AB31">
        <f>VLOOKUP($A31,地图配置辅助表!$A$3:$AP$245,地图配置辅助表!N$1,FALSE)</f>
        <v>1</v>
      </c>
      <c r="AC31" s="8">
        <f>VLOOKUP($A31,地图配置辅助表!$A$3:$AP$245,地图配置辅助表!O$1,FALSE)</f>
        <v>3</v>
      </c>
      <c r="AD31">
        <f>VLOOKUP($A31,地图配置辅助表!$A$3:$AP$245,地图配置辅助表!P$1,FALSE)</f>
        <v>3002</v>
      </c>
      <c r="AE31" s="8">
        <f>VLOOKUP($A31,地图配置辅助表!$A$3:$AP$245,地图配置辅助表!Q$1,FALSE)</f>
        <v>0</v>
      </c>
      <c r="AF31" s="8">
        <f>VLOOKUP($A31,地图配置辅助表!$A$3:$AP$245,地图配置辅助表!R$1,FALSE)</f>
        <v>0</v>
      </c>
      <c r="AG31" s="11">
        <f>VLOOKUP($A31,地图配置辅助表!$A$3:$AP$245,地图配置辅助表!S$1,FALSE)</f>
        <v>503003</v>
      </c>
      <c r="AH31" s="11">
        <f>VLOOKUP($A31,地图配置辅助表!$A$3:$AP$245,地图配置辅助表!T$1,FALSE)</f>
        <v>133104</v>
      </c>
      <c r="AI31" s="8">
        <f>VLOOKUP($A31,地图配置辅助表!$A$3:$AP$245,地图配置辅助表!U$1,FALSE)</f>
        <v>3</v>
      </c>
      <c r="AJ31" s="8">
        <f>VLOOKUP($A31,地图配置辅助表!$A$3:$AP$245,地图配置辅助表!V$1,FALSE)</f>
        <v>133101</v>
      </c>
      <c r="AK31" s="8">
        <f>VLOOKUP($A31,地图配置辅助表!$A$3:$AP$245,地图配置辅助表!W$1,FALSE)</f>
        <v>133102</v>
      </c>
      <c r="AL31" s="8">
        <f>VLOOKUP($A31,地图配置辅助表!$A$3:$AP$245,地图配置辅助表!X$1,FALSE)</f>
        <v>133103</v>
      </c>
      <c r="AM31" s="8">
        <f>VLOOKUP($A31,地图配置辅助表!$A$3:$AP$245,地图配置辅助表!Y$1,FALSE)</f>
        <v>0</v>
      </c>
      <c r="AN31" s="8">
        <f>VLOOKUP($A31,地图配置辅助表!$A$3:$AP$245,地图配置辅助表!Z$1,FALSE)</f>
        <v>0</v>
      </c>
      <c r="AO31" s="8">
        <f>VLOOKUP($A31,地图配置辅助表!$A$3:$AP$245,地图配置辅助表!AA$1,FALSE)</f>
        <v>0</v>
      </c>
      <c r="AP31" s="8">
        <f>VLOOKUP($A31,地图配置辅助表!$A$3:$AP$245,地图配置辅助表!AB$1,FALSE)</f>
        <v>0</v>
      </c>
      <c r="AQ31" s="8">
        <f>VLOOKUP($A31,地图配置辅助表!$A$3:$AP$245,地图配置辅助表!AC$1,FALSE)</f>
        <v>0</v>
      </c>
      <c r="AR31" s="8">
        <f>VLOOKUP($A31,地图配置辅助表!$A$3:$AP$245,地图配置辅助表!AD$1,FALSE)</f>
        <v>0</v>
      </c>
      <c r="AS31" s="8">
        <f>VLOOKUP($A31,地图配置辅助表!$A$3:$AP$245,地图配置辅助表!AE$1,FALSE)</f>
        <v>0</v>
      </c>
      <c r="AT31" s="8">
        <f>VLOOKUP($A31,地图配置辅助表!$A$3:$AP$245,地图配置辅助表!AF$1,FALSE)</f>
        <v>4</v>
      </c>
      <c r="AU31" s="8">
        <f>VLOOKUP($A31,地图配置辅助表!$A$3:$AP$245,地图配置辅助表!AG$1,FALSE)</f>
        <v>104</v>
      </c>
      <c r="AV31" s="8">
        <f>VLOOKUP($A31,地图配置辅助表!$A$3:$AP$245,地图配置辅助表!AH$1,FALSE)</f>
        <v>112</v>
      </c>
      <c r="AW31" s="8">
        <f>VLOOKUP($A31,地图配置辅助表!$A$3:$AP$245,地图配置辅助表!AI$1,FALSE)</f>
        <v>120</v>
      </c>
      <c r="AX31" s="8">
        <f>VLOOKUP($A31,地图配置辅助表!$A$3:$AP$245,地图配置辅助表!AJ$1,FALSE)</f>
        <v>150</v>
      </c>
      <c r="AY31" s="8">
        <f>VLOOKUP($A31,地图配置辅助表!$A$3:$AP$245,地图配置辅助表!AK$1,FALSE)</f>
        <v>0</v>
      </c>
      <c r="AZ31" s="8">
        <f>VLOOKUP($A31,地图配置辅助表!$A$3:$AP$245,地图配置辅助表!AL$1,FALSE)</f>
        <v>0</v>
      </c>
      <c r="BA31" s="8">
        <f>VLOOKUP($A31,地图配置辅助表!$A$3:$AP$245,地图配置辅助表!AM$1,FALSE)</f>
        <v>0</v>
      </c>
      <c r="BB31" s="8">
        <f>VLOOKUP($A31,地图配置辅助表!$A$3:$AP$245,地图配置辅助表!AN$1,FALSE)</f>
        <v>0</v>
      </c>
      <c r="BC31" s="8">
        <f>VLOOKUP($A31,地图配置辅助表!$A$3:$AP$245,地图配置辅助表!AO$1,FALSE)</f>
        <v>0</v>
      </c>
      <c r="BD31" s="8">
        <f>VLOOKUP($A31,地图配置辅助表!$A$3:$AP$245,地图配置辅助表!AP$1,FALSE)</f>
        <v>0</v>
      </c>
    </row>
    <row r="32" spans="1:56" s="8" customFormat="1" x14ac:dyDescent="0.15">
      <c r="A32">
        <f>地图配置辅助表!A33</f>
        <v>3004</v>
      </c>
      <c r="B32" s="8">
        <f>地图配置辅助表!B33</f>
        <v>1</v>
      </c>
      <c r="C32" s="8">
        <f>地图配置辅助表!C33</f>
        <v>3</v>
      </c>
      <c r="D32" s="9" t="str">
        <f>地图配置辅助表!D33</f>
        <v>遭遇诬陷</v>
      </c>
      <c r="E32" s="8" t="s">
        <v>287</v>
      </c>
      <c r="F32" s="8" t="s">
        <v>0</v>
      </c>
      <c r="G32" s="8">
        <v>29</v>
      </c>
      <c r="H32" s="8">
        <v>200</v>
      </c>
      <c r="I32" s="8">
        <v>140</v>
      </c>
      <c r="J32" s="8">
        <v>200</v>
      </c>
      <c r="K32" s="8">
        <v>140</v>
      </c>
      <c r="L32" s="8" t="s">
        <v>136</v>
      </c>
      <c r="M32" s="8">
        <v>0</v>
      </c>
      <c r="R32" s="8" t="s">
        <v>136</v>
      </c>
      <c r="S32" s="11">
        <f>VLOOKUP($A32,地图配置辅助表!$A$3:$AP$245,地图配置辅助表!E$1,FALSE)</f>
        <v>6</v>
      </c>
      <c r="T32" s="8">
        <f>VLOOKUP($A32,地图配置辅助表!$A$3:$AP$245,地图配置辅助表!F$1,FALSE)</f>
        <v>2787</v>
      </c>
      <c r="U32" s="8">
        <f>VLOOKUP($A32,地图配置辅助表!$A$3:$AP$245,地图配置辅助表!G$1,FALSE)</f>
        <v>1</v>
      </c>
      <c r="V32" s="8">
        <f>VLOOKUP($A32,地图配置辅助表!$A$3:$AP$245,地图配置辅助表!H$1,FALSE)</f>
        <v>1</v>
      </c>
      <c r="W32" s="8">
        <f>VLOOKUP($A32,地图配置辅助表!$A$3:$AP$245,地图配置辅助表!I$1,FALSE)</f>
        <v>0</v>
      </c>
      <c r="X32" s="8">
        <f>VLOOKUP($A32,地图配置辅助表!$A$3:$AP$245,地图配置辅助表!J$1,FALSE)</f>
        <v>0</v>
      </c>
      <c r="Y32" s="8">
        <f>VLOOKUP($A32,地图配置辅助表!$A$3:$AP$245,地图配置辅助表!K$1,FALSE)</f>
        <v>0</v>
      </c>
      <c r="Z32" s="8">
        <f>VLOOKUP($A32,地图配置辅助表!$A$3:$AP$245,地图配置辅助表!L$1,FALSE)</f>
        <v>0</v>
      </c>
      <c r="AA32" s="8">
        <f>VLOOKUP($A32,地图配置辅助表!$A$3:$AP$245,地图配置辅助表!M$1,FALSE)</f>
        <v>1</v>
      </c>
      <c r="AB32">
        <f>VLOOKUP($A32,地图配置辅助表!$A$3:$AP$245,地图配置辅助表!N$1,FALSE)</f>
        <v>1</v>
      </c>
      <c r="AC32" s="8">
        <f>VLOOKUP($A32,地图配置辅助表!$A$3:$AP$245,地图配置辅助表!O$1,FALSE)</f>
        <v>3</v>
      </c>
      <c r="AD32">
        <f>VLOOKUP($A32,地图配置辅助表!$A$3:$AP$245,地图配置辅助表!P$1,FALSE)</f>
        <v>3003</v>
      </c>
      <c r="AE32" s="8">
        <f>VLOOKUP($A32,地图配置辅助表!$A$3:$AP$245,地图配置辅助表!Q$1,FALSE)</f>
        <v>0</v>
      </c>
      <c r="AF32" s="8">
        <f>VLOOKUP($A32,地图配置辅助表!$A$3:$AP$245,地图配置辅助表!R$1,FALSE)</f>
        <v>0</v>
      </c>
      <c r="AG32" s="11">
        <f>VLOOKUP($A32,地图配置辅助表!$A$3:$AP$245,地图配置辅助表!S$1,FALSE)</f>
        <v>503004</v>
      </c>
      <c r="AH32" s="11">
        <f>VLOOKUP($A32,地图配置辅助表!$A$3:$AP$245,地图配置辅助表!T$1,FALSE)</f>
        <v>134104</v>
      </c>
      <c r="AI32" s="8">
        <f>VLOOKUP($A32,地图配置辅助表!$A$3:$AP$245,地图配置辅助表!U$1,FALSE)</f>
        <v>3</v>
      </c>
      <c r="AJ32" s="8">
        <f>VLOOKUP($A32,地图配置辅助表!$A$3:$AP$245,地图配置辅助表!V$1,FALSE)</f>
        <v>134101</v>
      </c>
      <c r="AK32" s="8">
        <f>VLOOKUP($A32,地图配置辅助表!$A$3:$AP$245,地图配置辅助表!W$1,FALSE)</f>
        <v>134102</v>
      </c>
      <c r="AL32" s="8">
        <f>VLOOKUP($A32,地图配置辅助表!$A$3:$AP$245,地图配置辅助表!X$1,FALSE)</f>
        <v>134103</v>
      </c>
      <c r="AM32" s="8">
        <f>VLOOKUP($A32,地图配置辅助表!$A$3:$AP$245,地图配置辅助表!Y$1,FALSE)</f>
        <v>0</v>
      </c>
      <c r="AN32" s="8">
        <f>VLOOKUP($A32,地图配置辅助表!$A$3:$AP$245,地图配置辅助表!Z$1,FALSE)</f>
        <v>0</v>
      </c>
      <c r="AO32" s="8">
        <f>VLOOKUP($A32,地图配置辅助表!$A$3:$AP$245,地图配置辅助表!AA$1,FALSE)</f>
        <v>0</v>
      </c>
      <c r="AP32" s="8">
        <f>VLOOKUP($A32,地图配置辅助表!$A$3:$AP$245,地图配置辅助表!AB$1,FALSE)</f>
        <v>0</v>
      </c>
      <c r="AQ32" s="8">
        <f>VLOOKUP($A32,地图配置辅助表!$A$3:$AP$245,地图配置辅助表!AC$1,FALSE)</f>
        <v>0</v>
      </c>
      <c r="AR32" s="8">
        <f>VLOOKUP($A32,地图配置辅助表!$A$3:$AP$245,地图配置辅助表!AD$1,FALSE)</f>
        <v>0</v>
      </c>
      <c r="AS32" s="8">
        <f>VLOOKUP($A32,地图配置辅助表!$A$3:$AP$245,地图配置辅助表!AE$1,FALSE)</f>
        <v>0</v>
      </c>
      <c r="AT32" s="8">
        <f>VLOOKUP($A32,地图配置辅助表!$A$3:$AP$245,地图配置辅助表!AF$1,FALSE)</f>
        <v>6</v>
      </c>
      <c r="AU32" s="8">
        <f>VLOOKUP($A32,地图配置辅助表!$A$3:$AP$245,地图配置辅助表!AG$1,FALSE)</f>
        <v>154</v>
      </c>
      <c r="AV32" s="8">
        <f>VLOOKUP($A32,地图配置辅助表!$A$3:$AP$245,地图配置辅助表!AH$1,FALSE)</f>
        <v>155</v>
      </c>
      <c r="AW32" s="8">
        <f>VLOOKUP($A32,地图配置辅助表!$A$3:$AP$245,地图配置辅助表!AI$1,FALSE)</f>
        <v>156</v>
      </c>
      <c r="AX32" s="8">
        <f>VLOOKUP($A32,地图配置辅助表!$A$3:$AP$245,地图配置辅助表!AJ$1,FALSE)</f>
        <v>433</v>
      </c>
      <c r="AY32" s="8">
        <f>VLOOKUP($A32,地图配置辅助表!$A$3:$AP$245,地图配置辅助表!AK$1,FALSE)</f>
        <v>434</v>
      </c>
      <c r="AZ32" s="8">
        <f>VLOOKUP($A32,地图配置辅助表!$A$3:$AP$245,地图配置辅助表!AL$1,FALSE)</f>
        <v>437</v>
      </c>
      <c r="BA32" s="8">
        <f>VLOOKUP($A32,地图配置辅助表!$A$3:$AP$245,地图配置辅助表!AM$1,FALSE)</f>
        <v>0</v>
      </c>
      <c r="BB32" s="8">
        <f>VLOOKUP($A32,地图配置辅助表!$A$3:$AP$245,地图配置辅助表!AN$1,FALSE)</f>
        <v>0</v>
      </c>
      <c r="BC32" s="8">
        <f>VLOOKUP($A32,地图配置辅助表!$A$3:$AP$245,地图配置辅助表!AO$1,FALSE)</f>
        <v>0</v>
      </c>
      <c r="BD32" s="8">
        <f>VLOOKUP($A32,地图配置辅助表!$A$3:$AP$245,地图配置辅助表!AP$1,FALSE)</f>
        <v>0</v>
      </c>
    </row>
    <row r="33" spans="1:56" s="8" customFormat="1" x14ac:dyDescent="0.15">
      <c r="A33">
        <f>地图配置辅助表!A34</f>
        <v>3005</v>
      </c>
      <c r="B33" s="8">
        <f>地图配置辅助表!B34</f>
        <v>1</v>
      </c>
      <c r="C33" s="8">
        <f>地图配置辅助表!C34</f>
        <v>3</v>
      </c>
      <c r="D33" s="9" t="str">
        <f>地图配置辅助表!D34</f>
        <v>掩护浩南</v>
      </c>
      <c r="E33" s="8" t="s">
        <v>288</v>
      </c>
      <c r="F33" s="8" t="s">
        <v>0</v>
      </c>
      <c r="G33" s="8">
        <v>29</v>
      </c>
      <c r="H33" s="8">
        <v>200</v>
      </c>
      <c r="I33" s="8">
        <v>140</v>
      </c>
      <c r="J33" s="8">
        <v>200</v>
      </c>
      <c r="K33" s="8">
        <v>140</v>
      </c>
      <c r="L33" s="8" t="s">
        <v>137</v>
      </c>
      <c r="M33" s="8">
        <v>0</v>
      </c>
      <c r="R33" s="8" t="s">
        <v>137</v>
      </c>
      <c r="S33" s="11">
        <f>VLOOKUP($A33,地图配置辅助表!$A$3:$AP$245,地图配置辅助表!E$1,FALSE)</f>
        <v>6</v>
      </c>
      <c r="T33" s="8">
        <f>VLOOKUP($A33,地图配置辅助表!$A$3:$AP$245,地图配置辅助表!F$1,FALSE)</f>
        <v>3114</v>
      </c>
      <c r="U33" s="8">
        <f>VLOOKUP($A33,地图配置辅助表!$A$3:$AP$245,地图配置辅助表!G$1,FALSE)</f>
        <v>1</v>
      </c>
      <c r="V33" s="8">
        <f>VLOOKUP($A33,地图配置辅助表!$A$3:$AP$245,地图配置辅助表!H$1,FALSE)</f>
        <v>1</v>
      </c>
      <c r="W33" s="8">
        <f>VLOOKUP($A33,地图配置辅助表!$A$3:$AP$245,地图配置辅助表!I$1,FALSE)</f>
        <v>0</v>
      </c>
      <c r="X33" s="8">
        <f>VLOOKUP($A33,地图配置辅助表!$A$3:$AP$245,地图配置辅助表!J$1,FALSE)</f>
        <v>0</v>
      </c>
      <c r="Y33" s="8">
        <f>VLOOKUP($A33,地图配置辅助表!$A$3:$AP$245,地图配置辅助表!K$1,FALSE)</f>
        <v>0</v>
      </c>
      <c r="Z33" s="8">
        <f>VLOOKUP($A33,地图配置辅助表!$A$3:$AP$245,地图配置辅助表!L$1,FALSE)</f>
        <v>0</v>
      </c>
      <c r="AA33" s="8">
        <f>VLOOKUP($A33,地图配置辅助表!$A$3:$AP$245,地图配置辅助表!M$1,FALSE)</f>
        <v>1</v>
      </c>
      <c r="AB33">
        <f>VLOOKUP($A33,地图配置辅助表!$A$3:$AP$245,地图配置辅助表!N$1,FALSE)</f>
        <v>1</v>
      </c>
      <c r="AC33" s="8">
        <f>VLOOKUP($A33,地图配置辅助表!$A$3:$AP$245,地图配置辅助表!O$1,FALSE)</f>
        <v>3</v>
      </c>
      <c r="AD33">
        <f>VLOOKUP($A33,地图配置辅助表!$A$3:$AP$245,地图配置辅助表!P$1,FALSE)</f>
        <v>3004</v>
      </c>
      <c r="AE33" s="8">
        <f>VLOOKUP($A33,地图配置辅助表!$A$3:$AP$245,地图配置辅助表!Q$1,FALSE)</f>
        <v>0</v>
      </c>
      <c r="AF33" s="8">
        <f>VLOOKUP($A33,地图配置辅助表!$A$3:$AP$245,地图配置辅助表!R$1,FALSE)</f>
        <v>0</v>
      </c>
      <c r="AG33" s="11">
        <f>VLOOKUP($A33,地图配置辅助表!$A$3:$AP$245,地图配置辅助表!S$1,FALSE)</f>
        <v>503005</v>
      </c>
      <c r="AH33" s="11">
        <f>VLOOKUP($A33,地图配置辅助表!$A$3:$AP$245,地图配置辅助表!T$1,FALSE)</f>
        <v>135104</v>
      </c>
      <c r="AI33" s="8">
        <f>VLOOKUP($A33,地图配置辅助表!$A$3:$AP$245,地图配置辅助表!U$1,FALSE)</f>
        <v>3</v>
      </c>
      <c r="AJ33" s="8">
        <f>VLOOKUP($A33,地图配置辅助表!$A$3:$AP$245,地图配置辅助表!V$1,FALSE)</f>
        <v>135101</v>
      </c>
      <c r="AK33" s="8">
        <f>VLOOKUP($A33,地图配置辅助表!$A$3:$AP$245,地图配置辅助表!W$1,FALSE)</f>
        <v>135102</v>
      </c>
      <c r="AL33" s="8">
        <f>VLOOKUP($A33,地图配置辅助表!$A$3:$AP$245,地图配置辅助表!X$1,FALSE)</f>
        <v>135103</v>
      </c>
      <c r="AM33" s="8">
        <f>VLOOKUP($A33,地图配置辅助表!$A$3:$AP$245,地图配置辅助表!Y$1,FALSE)</f>
        <v>0</v>
      </c>
      <c r="AN33" s="8">
        <f>VLOOKUP($A33,地图配置辅助表!$A$3:$AP$245,地图配置辅助表!Z$1,FALSE)</f>
        <v>0</v>
      </c>
      <c r="AO33" s="8">
        <f>VLOOKUP($A33,地图配置辅助表!$A$3:$AP$245,地图配置辅助表!AA$1,FALSE)</f>
        <v>0</v>
      </c>
      <c r="AP33" s="8">
        <f>VLOOKUP($A33,地图配置辅助表!$A$3:$AP$245,地图配置辅助表!AB$1,FALSE)</f>
        <v>0</v>
      </c>
      <c r="AQ33" s="8">
        <f>VLOOKUP($A33,地图配置辅助表!$A$3:$AP$245,地图配置辅助表!AC$1,FALSE)</f>
        <v>0</v>
      </c>
      <c r="AR33" s="8">
        <f>VLOOKUP($A33,地图配置辅助表!$A$3:$AP$245,地图配置辅助表!AD$1,FALSE)</f>
        <v>0</v>
      </c>
      <c r="AS33" s="8">
        <f>VLOOKUP($A33,地图配置辅助表!$A$3:$AP$245,地图配置辅助表!AE$1,FALSE)</f>
        <v>0</v>
      </c>
      <c r="AT33" s="8">
        <f>VLOOKUP($A33,地图配置辅助表!$A$3:$AP$245,地图配置辅助表!AF$1,FALSE)</f>
        <v>6</v>
      </c>
      <c r="AU33" s="8">
        <f>VLOOKUP($A33,地图配置辅助表!$A$3:$AP$245,地图配置辅助表!AG$1,FALSE)</f>
        <v>154</v>
      </c>
      <c r="AV33" s="8">
        <f>VLOOKUP($A33,地图配置辅助表!$A$3:$AP$245,地图配置辅助表!AH$1,FALSE)</f>
        <v>155</v>
      </c>
      <c r="AW33" s="8">
        <f>VLOOKUP($A33,地图配置辅助表!$A$3:$AP$245,地图配置辅助表!AI$1,FALSE)</f>
        <v>156</v>
      </c>
      <c r="AX33" s="8">
        <f>VLOOKUP($A33,地图配置辅助表!$A$3:$AP$245,地图配置辅助表!AJ$1,FALSE)</f>
        <v>433</v>
      </c>
      <c r="AY33" s="8">
        <f>VLOOKUP($A33,地图配置辅助表!$A$3:$AP$245,地图配置辅助表!AK$1,FALSE)</f>
        <v>434</v>
      </c>
      <c r="AZ33" s="8">
        <f>VLOOKUP($A33,地图配置辅助表!$A$3:$AP$245,地图配置辅助表!AL$1,FALSE)</f>
        <v>437</v>
      </c>
      <c r="BA33" s="8">
        <f>VLOOKUP($A33,地图配置辅助表!$A$3:$AP$245,地图配置辅助表!AM$1,FALSE)</f>
        <v>0</v>
      </c>
      <c r="BB33" s="8">
        <f>VLOOKUP($A33,地图配置辅助表!$A$3:$AP$245,地图配置辅助表!AN$1,FALSE)</f>
        <v>0</v>
      </c>
      <c r="BC33" s="8">
        <f>VLOOKUP($A33,地图配置辅助表!$A$3:$AP$245,地图配置辅助表!AO$1,FALSE)</f>
        <v>0</v>
      </c>
      <c r="BD33" s="8">
        <f>VLOOKUP($A33,地图配置辅助表!$A$3:$AP$245,地图配置辅助表!AP$1,FALSE)</f>
        <v>0</v>
      </c>
    </row>
    <row r="34" spans="1:56" s="8" customFormat="1" x14ac:dyDescent="0.15">
      <c r="A34">
        <f>地图配置辅助表!A35</f>
        <v>3006</v>
      </c>
      <c r="B34" s="8">
        <f>地图配置辅助表!B35</f>
        <v>1</v>
      </c>
      <c r="C34" s="8">
        <f>地图配置辅助表!C35</f>
        <v>3</v>
      </c>
      <c r="D34" s="9" t="str">
        <f>地图配置辅助表!D35</f>
        <v>获取弹药</v>
      </c>
      <c r="E34" s="8" t="s">
        <v>289</v>
      </c>
      <c r="F34" s="8" t="s">
        <v>0</v>
      </c>
      <c r="G34" s="8">
        <v>29</v>
      </c>
      <c r="H34" s="8">
        <v>200</v>
      </c>
      <c r="I34" s="8">
        <v>140</v>
      </c>
      <c r="J34" s="8">
        <v>200</v>
      </c>
      <c r="K34" s="8">
        <v>140</v>
      </c>
      <c r="L34" s="8" t="s">
        <v>138</v>
      </c>
      <c r="M34" s="8">
        <v>0</v>
      </c>
      <c r="R34" s="8" t="s">
        <v>138</v>
      </c>
      <c r="S34" s="11">
        <f>VLOOKUP($A34,地图配置辅助表!$A$3:$AP$245,地图配置辅助表!E$1,FALSE)</f>
        <v>6</v>
      </c>
      <c r="T34" s="8">
        <f>VLOOKUP($A34,地图配置辅助表!$A$3:$AP$245,地图配置辅助表!F$1,FALSE)</f>
        <v>3429</v>
      </c>
      <c r="U34" s="8">
        <f>VLOOKUP($A34,地图配置辅助表!$A$3:$AP$245,地图配置辅助表!G$1,FALSE)</f>
        <v>1</v>
      </c>
      <c r="V34" s="8">
        <f>VLOOKUP($A34,地图配置辅助表!$A$3:$AP$245,地图配置辅助表!H$1,FALSE)</f>
        <v>1</v>
      </c>
      <c r="W34" s="8">
        <f>VLOOKUP($A34,地图配置辅助表!$A$3:$AP$245,地图配置辅助表!I$1,FALSE)</f>
        <v>0</v>
      </c>
      <c r="X34" s="8">
        <f>VLOOKUP($A34,地图配置辅助表!$A$3:$AP$245,地图配置辅助表!J$1,FALSE)</f>
        <v>0</v>
      </c>
      <c r="Y34" s="8">
        <f>VLOOKUP($A34,地图配置辅助表!$A$3:$AP$245,地图配置辅助表!K$1,FALSE)</f>
        <v>0</v>
      </c>
      <c r="Z34" s="8">
        <f>VLOOKUP($A34,地图配置辅助表!$A$3:$AP$245,地图配置辅助表!L$1,FALSE)</f>
        <v>0</v>
      </c>
      <c r="AA34" s="8">
        <f>VLOOKUP($A34,地图配置辅助表!$A$3:$AP$245,地图配置辅助表!M$1,FALSE)</f>
        <v>1</v>
      </c>
      <c r="AB34">
        <f>VLOOKUP($A34,地图配置辅助表!$A$3:$AP$245,地图配置辅助表!N$1,FALSE)</f>
        <v>1</v>
      </c>
      <c r="AC34" s="8">
        <f>VLOOKUP($A34,地图配置辅助表!$A$3:$AP$245,地图配置辅助表!O$1,FALSE)</f>
        <v>3</v>
      </c>
      <c r="AD34">
        <f>VLOOKUP($A34,地图配置辅助表!$A$3:$AP$245,地图配置辅助表!P$1,FALSE)</f>
        <v>3005</v>
      </c>
      <c r="AE34" s="8">
        <f>VLOOKUP($A34,地图配置辅助表!$A$3:$AP$245,地图配置辅助表!Q$1,FALSE)</f>
        <v>0</v>
      </c>
      <c r="AF34" s="8">
        <f>VLOOKUP($A34,地图配置辅助表!$A$3:$AP$245,地图配置辅助表!R$1,FALSE)</f>
        <v>0</v>
      </c>
      <c r="AG34" s="11">
        <f>VLOOKUP($A34,地图配置辅助表!$A$3:$AP$245,地图配置辅助表!S$1,FALSE)</f>
        <v>503006</v>
      </c>
      <c r="AH34" s="11">
        <f>VLOOKUP($A34,地图配置辅助表!$A$3:$AP$245,地图配置辅助表!T$1,FALSE)</f>
        <v>136104</v>
      </c>
      <c r="AI34" s="8">
        <f>VLOOKUP($A34,地图配置辅助表!$A$3:$AP$245,地图配置辅助表!U$1,FALSE)</f>
        <v>3</v>
      </c>
      <c r="AJ34" s="8">
        <f>VLOOKUP($A34,地图配置辅助表!$A$3:$AP$245,地图配置辅助表!V$1,FALSE)</f>
        <v>136101</v>
      </c>
      <c r="AK34" s="8">
        <f>VLOOKUP($A34,地图配置辅助表!$A$3:$AP$245,地图配置辅助表!W$1,FALSE)</f>
        <v>136102</v>
      </c>
      <c r="AL34" s="8">
        <f>VLOOKUP($A34,地图配置辅助表!$A$3:$AP$245,地图配置辅助表!X$1,FALSE)</f>
        <v>136103</v>
      </c>
      <c r="AM34" s="8">
        <f>VLOOKUP($A34,地图配置辅助表!$A$3:$AP$245,地图配置辅助表!Y$1,FALSE)</f>
        <v>0</v>
      </c>
      <c r="AN34" s="8">
        <f>VLOOKUP($A34,地图配置辅助表!$A$3:$AP$245,地图配置辅助表!Z$1,FALSE)</f>
        <v>0</v>
      </c>
      <c r="AO34" s="8">
        <f>VLOOKUP($A34,地图配置辅助表!$A$3:$AP$245,地图配置辅助表!AA$1,FALSE)</f>
        <v>0</v>
      </c>
      <c r="AP34" s="8">
        <f>VLOOKUP($A34,地图配置辅助表!$A$3:$AP$245,地图配置辅助表!AB$1,FALSE)</f>
        <v>0</v>
      </c>
      <c r="AQ34" s="8">
        <f>VLOOKUP($A34,地图配置辅助表!$A$3:$AP$245,地图配置辅助表!AC$1,FALSE)</f>
        <v>0</v>
      </c>
      <c r="AR34" s="8">
        <f>VLOOKUP($A34,地图配置辅助表!$A$3:$AP$245,地图配置辅助表!AD$1,FALSE)</f>
        <v>0</v>
      </c>
      <c r="AS34" s="8">
        <f>VLOOKUP($A34,地图配置辅助表!$A$3:$AP$245,地图配置辅助表!AE$1,FALSE)</f>
        <v>0</v>
      </c>
      <c r="AT34" s="8">
        <f>VLOOKUP($A34,地图配置辅助表!$A$3:$AP$245,地图配置辅助表!AF$1,FALSE)</f>
        <v>4</v>
      </c>
      <c r="AU34" s="8">
        <f>VLOOKUP($A34,地图配置辅助表!$A$3:$AP$245,地图配置辅助表!AG$1,FALSE)</f>
        <v>145</v>
      </c>
      <c r="AV34" s="8">
        <f>VLOOKUP($A34,地图配置辅助表!$A$3:$AP$245,地图配置辅助表!AH$1,FALSE)</f>
        <v>146</v>
      </c>
      <c r="AW34" s="8">
        <f>VLOOKUP($A34,地图配置辅助表!$A$3:$AP$245,地图配置辅助表!AI$1,FALSE)</f>
        <v>147</v>
      </c>
      <c r="AX34" s="8">
        <f>VLOOKUP($A34,地图配置辅助表!$A$3:$AP$245,地图配置辅助表!AJ$1,FALSE)</f>
        <v>167</v>
      </c>
      <c r="AY34" s="8">
        <f>VLOOKUP($A34,地图配置辅助表!$A$3:$AP$245,地图配置辅助表!AK$1,FALSE)</f>
        <v>0</v>
      </c>
      <c r="AZ34" s="8">
        <f>VLOOKUP($A34,地图配置辅助表!$A$3:$AP$245,地图配置辅助表!AL$1,FALSE)</f>
        <v>0</v>
      </c>
      <c r="BA34" s="8">
        <f>VLOOKUP($A34,地图配置辅助表!$A$3:$AP$245,地图配置辅助表!AM$1,FALSE)</f>
        <v>0</v>
      </c>
      <c r="BB34" s="8">
        <f>VLOOKUP($A34,地图配置辅助表!$A$3:$AP$245,地图配置辅助表!AN$1,FALSE)</f>
        <v>0</v>
      </c>
      <c r="BC34" s="8">
        <f>VLOOKUP($A34,地图配置辅助表!$A$3:$AP$245,地图配置辅助表!AO$1,FALSE)</f>
        <v>0</v>
      </c>
      <c r="BD34" s="8">
        <f>VLOOKUP($A34,地图配置辅助表!$A$3:$AP$245,地图配置辅助表!AP$1,FALSE)</f>
        <v>0</v>
      </c>
    </row>
    <row r="35" spans="1:56" s="8" customFormat="1" x14ac:dyDescent="0.15">
      <c r="A35">
        <f>地图配置辅助表!A36</f>
        <v>3007</v>
      </c>
      <c r="B35" s="8">
        <f>地图配置辅助表!B36</f>
        <v>1</v>
      </c>
      <c r="C35" s="8">
        <f>地图配置辅助表!C36</f>
        <v>3</v>
      </c>
      <c r="D35" s="9" t="str">
        <f>地图配置辅助表!D36</f>
        <v>小结巴之死</v>
      </c>
      <c r="E35" s="8" t="s">
        <v>287</v>
      </c>
      <c r="F35" s="8" t="s">
        <v>0</v>
      </c>
      <c r="G35" s="8">
        <v>29</v>
      </c>
      <c r="H35" s="8">
        <v>200</v>
      </c>
      <c r="I35" s="8">
        <v>140</v>
      </c>
      <c r="J35" s="8">
        <v>200</v>
      </c>
      <c r="K35" s="8">
        <v>140</v>
      </c>
      <c r="L35" s="8" t="s">
        <v>623</v>
      </c>
      <c r="M35" s="8">
        <v>0</v>
      </c>
      <c r="R35" s="8" t="s">
        <v>623</v>
      </c>
      <c r="S35" s="11">
        <f>VLOOKUP($A35,地图配置辅助表!$A$3:$AP$245,地图配置辅助表!E$1,FALSE)</f>
        <v>6</v>
      </c>
      <c r="T35" s="8">
        <f>VLOOKUP($A35,地图配置辅助表!$A$3:$AP$245,地图配置辅助表!F$1,FALSE)</f>
        <v>3832</v>
      </c>
      <c r="U35" s="8">
        <f>VLOOKUP($A35,地图配置辅助表!$A$3:$AP$245,地图配置辅助表!G$1,FALSE)</f>
        <v>1</v>
      </c>
      <c r="V35" s="8">
        <f>VLOOKUP($A35,地图配置辅助表!$A$3:$AP$245,地图配置辅助表!H$1,FALSE)</f>
        <v>1</v>
      </c>
      <c r="W35" s="8">
        <f>VLOOKUP($A35,地图配置辅助表!$A$3:$AP$245,地图配置辅助表!I$1,FALSE)</f>
        <v>0</v>
      </c>
      <c r="X35" s="8">
        <f>VLOOKUP($A35,地图配置辅助表!$A$3:$AP$245,地图配置辅助表!J$1,FALSE)</f>
        <v>0</v>
      </c>
      <c r="Y35" s="8">
        <f>VLOOKUP($A35,地图配置辅助表!$A$3:$AP$245,地图配置辅助表!K$1,FALSE)</f>
        <v>0</v>
      </c>
      <c r="Z35" s="8">
        <f>VLOOKUP($A35,地图配置辅助表!$A$3:$AP$245,地图配置辅助表!L$1,FALSE)</f>
        <v>0</v>
      </c>
      <c r="AA35" s="8">
        <f>VLOOKUP($A35,地图配置辅助表!$A$3:$AP$245,地图配置辅助表!M$1,FALSE)</f>
        <v>1</v>
      </c>
      <c r="AB35">
        <f>VLOOKUP($A35,地图配置辅助表!$A$3:$AP$245,地图配置辅助表!N$1,FALSE)</f>
        <v>1</v>
      </c>
      <c r="AC35" s="8">
        <f>VLOOKUP($A35,地图配置辅助表!$A$3:$AP$245,地图配置辅助表!O$1,FALSE)</f>
        <v>3</v>
      </c>
      <c r="AD35">
        <f>VLOOKUP($A35,地图配置辅助表!$A$3:$AP$245,地图配置辅助表!P$1,FALSE)</f>
        <v>3006</v>
      </c>
      <c r="AE35" s="8">
        <f>VLOOKUP($A35,地图配置辅助表!$A$3:$AP$245,地图配置辅助表!Q$1,FALSE)</f>
        <v>0</v>
      </c>
      <c r="AF35" s="8">
        <f>VLOOKUP($A35,地图配置辅助表!$A$3:$AP$245,地图配置辅助表!R$1,FALSE)</f>
        <v>0</v>
      </c>
      <c r="AG35" s="11">
        <f>VLOOKUP($A35,地图配置辅助表!$A$3:$AP$245,地图配置辅助表!S$1,FALSE)</f>
        <v>503007</v>
      </c>
      <c r="AH35" s="11">
        <f>VLOOKUP($A35,地图配置辅助表!$A$3:$AP$245,地图配置辅助表!T$1,FALSE)</f>
        <v>137104</v>
      </c>
      <c r="AI35" s="8">
        <f>VLOOKUP($A35,地图配置辅助表!$A$3:$AP$245,地图配置辅助表!U$1,FALSE)</f>
        <v>3</v>
      </c>
      <c r="AJ35" s="8">
        <f>VLOOKUP($A35,地图配置辅助表!$A$3:$AP$245,地图配置辅助表!V$1,FALSE)</f>
        <v>137101</v>
      </c>
      <c r="AK35" s="8">
        <f>VLOOKUP($A35,地图配置辅助表!$A$3:$AP$245,地图配置辅助表!W$1,FALSE)</f>
        <v>137102</v>
      </c>
      <c r="AL35" s="8">
        <f>VLOOKUP($A35,地图配置辅助表!$A$3:$AP$245,地图配置辅助表!X$1,FALSE)</f>
        <v>137103</v>
      </c>
      <c r="AM35" s="8">
        <f>VLOOKUP($A35,地图配置辅助表!$A$3:$AP$245,地图配置辅助表!Y$1,FALSE)</f>
        <v>0</v>
      </c>
      <c r="AN35" s="8">
        <f>VLOOKUP($A35,地图配置辅助表!$A$3:$AP$245,地图配置辅助表!Z$1,FALSE)</f>
        <v>0</v>
      </c>
      <c r="AO35" s="8">
        <f>VLOOKUP($A35,地图配置辅助表!$A$3:$AP$245,地图配置辅助表!AA$1,FALSE)</f>
        <v>0</v>
      </c>
      <c r="AP35" s="8">
        <f>VLOOKUP($A35,地图配置辅助表!$A$3:$AP$245,地图配置辅助表!AB$1,FALSE)</f>
        <v>0</v>
      </c>
      <c r="AQ35" s="8">
        <f>VLOOKUP($A35,地图配置辅助表!$A$3:$AP$245,地图配置辅助表!AC$1,FALSE)</f>
        <v>0</v>
      </c>
      <c r="AR35" s="8">
        <f>VLOOKUP($A35,地图配置辅助表!$A$3:$AP$245,地图配置辅助表!AD$1,FALSE)</f>
        <v>0</v>
      </c>
      <c r="AS35" s="8">
        <f>VLOOKUP($A35,地图配置辅助表!$A$3:$AP$245,地图配置辅助表!AE$1,FALSE)</f>
        <v>0</v>
      </c>
      <c r="AT35" s="8">
        <f>VLOOKUP($A35,地图配置辅助表!$A$3:$AP$245,地图配置辅助表!AF$1,FALSE)</f>
        <v>6</v>
      </c>
      <c r="AU35" s="8">
        <f>VLOOKUP($A35,地图配置辅助表!$A$3:$AP$245,地图配置辅助表!AG$1,FALSE)</f>
        <v>154</v>
      </c>
      <c r="AV35" s="8">
        <f>VLOOKUP($A35,地图配置辅助表!$A$3:$AP$245,地图配置辅助表!AH$1,FALSE)</f>
        <v>155</v>
      </c>
      <c r="AW35" s="8">
        <f>VLOOKUP($A35,地图配置辅助表!$A$3:$AP$245,地图配置辅助表!AI$1,FALSE)</f>
        <v>156</v>
      </c>
      <c r="AX35" s="8">
        <f>VLOOKUP($A35,地图配置辅助表!$A$3:$AP$245,地图配置辅助表!AJ$1,FALSE)</f>
        <v>433</v>
      </c>
      <c r="AY35" s="8">
        <f>VLOOKUP($A35,地图配置辅助表!$A$3:$AP$245,地图配置辅助表!AK$1,FALSE)</f>
        <v>434</v>
      </c>
      <c r="AZ35" s="8">
        <f>VLOOKUP($A35,地图配置辅助表!$A$3:$AP$245,地图配置辅助表!AL$1,FALSE)</f>
        <v>437</v>
      </c>
      <c r="BA35" s="8">
        <f>VLOOKUP($A35,地图配置辅助表!$A$3:$AP$245,地图配置辅助表!AM$1,FALSE)</f>
        <v>0</v>
      </c>
      <c r="BB35" s="8">
        <f>VLOOKUP($A35,地图配置辅助表!$A$3:$AP$245,地图配置辅助表!AN$1,FALSE)</f>
        <v>0</v>
      </c>
      <c r="BC35" s="8">
        <f>VLOOKUP($A35,地图配置辅助表!$A$3:$AP$245,地图配置辅助表!AO$1,FALSE)</f>
        <v>0</v>
      </c>
      <c r="BD35" s="8">
        <f>VLOOKUP($A35,地图配置辅助表!$A$3:$AP$245,地图配置辅助表!AP$1,FALSE)</f>
        <v>0</v>
      </c>
    </row>
    <row r="36" spans="1:56" s="8" customFormat="1" x14ac:dyDescent="0.15">
      <c r="A36">
        <f>地图配置辅助表!A37</f>
        <v>3008</v>
      </c>
      <c r="B36" s="8">
        <f>地图配置辅助表!B37</f>
        <v>1</v>
      </c>
      <c r="C36" s="8">
        <f>地图配置辅助表!C37</f>
        <v>3</v>
      </c>
      <c r="D36" s="9" t="str">
        <f>地图配置辅助表!D37</f>
        <v>复仇之路</v>
      </c>
      <c r="E36" s="8" t="s">
        <v>288</v>
      </c>
      <c r="F36" s="8" t="s">
        <v>0</v>
      </c>
      <c r="G36" s="8">
        <v>29</v>
      </c>
      <c r="H36" s="8">
        <v>200</v>
      </c>
      <c r="I36" s="8">
        <v>140</v>
      </c>
      <c r="J36" s="8">
        <v>200</v>
      </c>
      <c r="K36" s="8">
        <v>140</v>
      </c>
      <c r="L36" s="8" t="s">
        <v>624</v>
      </c>
      <c r="M36" s="8">
        <v>0</v>
      </c>
      <c r="R36" s="8" t="s">
        <v>624</v>
      </c>
      <c r="S36" s="11">
        <f>VLOOKUP($A36,地图配置辅助表!$A$3:$AP$245,地图配置辅助表!E$1,FALSE)</f>
        <v>6</v>
      </c>
      <c r="T36" s="8">
        <f>VLOOKUP($A36,地图配置辅助表!$A$3:$AP$245,地图配置辅助表!F$1,FALSE)</f>
        <v>4240</v>
      </c>
      <c r="U36" s="8">
        <f>VLOOKUP($A36,地图配置辅助表!$A$3:$AP$245,地图配置辅助表!G$1,FALSE)</f>
        <v>1</v>
      </c>
      <c r="V36" s="8">
        <f>VLOOKUP($A36,地图配置辅助表!$A$3:$AP$245,地图配置辅助表!H$1,FALSE)</f>
        <v>1</v>
      </c>
      <c r="W36" s="8">
        <f>VLOOKUP($A36,地图配置辅助表!$A$3:$AP$245,地图配置辅助表!I$1,FALSE)</f>
        <v>0</v>
      </c>
      <c r="X36" s="8">
        <f>VLOOKUP($A36,地图配置辅助表!$A$3:$AP$245,地图配置辅助表!J$1,FALSE)</f>
        <v>0</v>
      </c>
      <c r="Y36" s="8">
        <f>VLOOKUP($A36,地图配置辅助表!$A$3:$AP$245,地图配置辅助表!K$1,FALSE)</f>
        <v>0</v>
      </c>
      <c r="Z36" s="8">
        <f>VLOOKUP($A36,地图配置辅助表!$A$3:$AP$245,地图配置辅助表!L$1,FALSE)</f>
        <v>0</v>
      </c>
      <c r="AA36" s="8">
        <f>VLOOKUP($A36,地图配置辅助表!$A$3:$AP$245,地图配置辅助表!M$1,FALSE)</f>
        <v>1</v>
      </c>
      <c r="AB36">
        <f>VLOOKUP($A36,地图配置辅助表!$A$3:$AP$245,地图配置辅助表!N$1,FALSE)</f>
        <v>1</v>
      </c>
      <c r="AC36" s="8">
        <f>VLOOKUP($A36,地图配置辅助表!$A$3:$AP$245,地图配置辅助表!O$1,FALSE)</f>
        <v>3</v>
      </c>
      <c r="AD36">
        <f>VLOOKUP($A36,地图配置辅助表!$A$3:$AP$245,地图配置辅助表!P$1,FALSE)</f>
        <v>3007</v>
      </c>
      <c r="AE36" s="8">
        <f>VLOOKUP($A36,地图配置辅助表!$A$3:$AP$245,地图配置辅助表!Q$1,FALSE)</f>
        <v>0</v>
      </c>
      <c r="AF36" s="8">
        <f>VLOOKUP($A36,地图配置辅助表!$A$3:$AP$245,地图配置辅助表!R$1,FALSE)</f>
        <v>0</v>
      </c>
      <c r="AG36" s="11">
        <f>VLOOKUP($A36,地图配置辅助表!$A$3:$AP$245,地图配置辅助表!S$1,FALSE)</f>
        <v>503008</v>
      </c>
      <c r="AH36" s="11">
        <f>VLOOKUP($A36,地图配置辅助表!$A$3:$AP$245,地图配置辅助表!T$1,FALSE)</f>
        <v>138104</v>
      </c>
      <c r="AI36" s="8">
        <f>VLOOKUP($A36,地图配置辅助表!$A$3:$AP$245,地图配置辅助表!U$1,FALSE)</f>
        <v>3</v>
      </c>
      <c r="AJ36" s="8">
        <f>VLOOKUP($A36,地图配置辅助表!$A$3:$AP$245,地图配置辅助表!V$1,FALSE)</f>
        <v>138101</v>
      </c>
      <c r="AK36" s="8">
        <f>VLOOKUP($A36,地图配置辅助表!$A$3:$AP$245,地图配置辅助表!W$1,FALSE)</f>
        <v>138102</v>
      </c>
      <c r="AL36" s="8">
        <f>VLOOKUP($A36,地图配置辅助表!$A$3:$AP$245,地图配置辅助表!X$1,FALSE)</f>
        <v>138103</v>
      </c>
      <c r="AM36" s="8">
        <f>VLOOKUP($A36,地图配置辅助表!$A$3:$AP$245,地图配置辅助表!Y$1,FALSE)</f>
        <v>0</v>
      </c>
      <c r="AN36" s="8">
        <f>VLOOKUP($A36,地图配置辅助表!$A$3:$AP$245,地图配置辅助表!Z$1,FALSE)</f>
        <v>0</v>
      </c>
      <c r="AO36" s="8">
        <f>VLOOKUP($A36,地图配置辅助表!$A$3:$AP$245,地图配置辅助表!AA$1,FALSE)</f>
        <v>0</v>
      </c>
      <c r="AP36" s="8">
        <f>VLOOKUP($A36,地图配置辅助表!$A$3:$AP$245,地图配置辅助表!AB$1,FALSE)</f>
        <v>0</v>
      </c>
      <c r="AQ36" s="8">
        <f>VLOOKUP($A36,地图配置辅助表!$A$3:$AP$245,地图配置辅助表!AC$1,FALSE)</f>
        <v>0</v>
      </c>
      <c r="AR36" s="8">
        <f>VLOOKUP($A36,地图配置辅助表!$A$3:$AP$245,地图配置辅助表!AD$1,FALSE)</f>
        <v>0</v>
      </c>
      <c r="AS36" s="8">
        <f>VLOOKUP($A36,地图配置辅助表!$A$3:$AP$245,地图配置辅助表!AE$1,FALSE)</f>
        <v>0</v>
      </c>
      <c r="AT36" s="8">
        <f>VLOOKUP($A36,地图配置辅助表!$A$3:$AP$245,地图配置辅助表!AF$1,FALSE)</f>
        <v>3</v>
      </c>
      <c r="AU36" s="8">
        <f>VLOOKUP($A36,地图配置辅助表!$A$3:$AP$245,地图配置辅助表!AG$1,FALSE)</f>
        <v>230</v>
      </c>
      <c r="AV36" s="8">
        <f>VLOOKUP($A36,地图配置辅助表!$A$3:$AP$245,地图配置辅助表!AH$1,FALSE)</f>
        <v>231</v>
      </c>
      <c r="AW36" s="8">
        <f>VLOOKUP($A36,地图配置辅助表!$A$3:$AP$245,地图配置辅助表!AI$1,FALSE)</f>
        <v>232</v>
      </c>
      <c r="AX36" s="8">
        <f>VLOOKUP($A36,地图配置辅助表!$A$3:$AP$245,地图配置辅助表!AJ$1,FALSE)</f>
        <v>0</v>
      </c>
      <c r="AY36" s="8">
        <f>VLOOKUP($A36,地图配置辅助表!$A$3:$AP$245,地图配置辅助表!AK$1,FALSE)</f>
        <v>0</v>
      </c>
      <c r="AZ36" s="8">
        <f>VLOOKUP($A36,地图配置辅助表!$A$3:$AP$245,地图配置辅助表!AL$1,FALSE)</f>
        <v>0</v>
      </c>
      <c r="BA36" s="8">
        <f>VLOOKUP($A36,地图配置辅助表!$A$3:$AP$245,地图配置辅助表!AM$1,FALSE)</f>
        <v>0</v>
      </c>
      <c r="BB36" s="8">
        <f>VLOOKUP($A36,地图配置辅助表!$A$3:$AP$245,地图配置辅助表!AN$1,FALSE)</f>
        <v>0</v>
      </c>
      <c r="BC36" s="8">
        <f>VLOOKUP($A36,地图配置辅助表!$A$3:$AP$245,地图配置辅助表!AO$1,FALSE)</f>
        <v>0</v>
      </c>
      <c r="BD36" s="8">
        <f>VLOOKUP($A36,地图配置辅助表!$A$3:$AP$245,地图配置辅助表!AP$1,FALSE)</f>
        <v>0</v>
      </c>
    </row>
    <row r="37" spans="1:56" s="8" customFormat="1" x14ac:dyDescent="0.15">
      <c r="A37">
        <f>地图配置辅助表!A38</f>
        <v>3009</v>
      </c>
      <c r="B37" s="8">
        <f>地图配置辅助表!B38</f>
        <v>1</v>
      </c>
      <c r="C37" s="8">
        <f>地图配置辅助表!C38</f>
        <v>3</v>
      </c>
      <c r="D37" s="9" t="str">
        <f>地图配置辅助表!D38</f>
        <v>双虎覆灭</v>
      </c>
      <c r="E37" s="8" t="s">
        <v>289</v>
      </c>
      <c r="F37" s="8" t="s">
        <v>0</v>
      </c>
      <c r="G37" s="8">
        <v>29</v>
      </c>
      <c r="H37" s="8">
        <v>200</v>
      </c>
      <c r="I37" s="8">
        <v>140</v>
      </c>
      <c r="J37" s="8">
        <v>200</v>
      </c>
      <c r="K37" s="8">
        <v>140</v>
      </c>
      <c r="L37" s="8" t="s">
        <v>625</v>
      </c>
      <c r="M37" s="8">
        <v>0</v>
      </c>
      <c r="R37" s="8" t="s">
        <v>625</v>
      </c>
      <c r="S37" s="11">
        <f>VLOOKUP($A37,地图配置辅助表!$A$3:$AP$245,地图配置辅助表!E$1,FALSE)</f>
        <v>6</v>
      </c>
      <c r="T37" s="8">
        <f>VLOOKUP($A37,地图配置辅助表!$A$3:$AP$245,地图配置辅助表!F$1,FALSE)</f>
        <v>5313</v>
      </c>
      <c r="U37" s="8">
        <f>VLOOKUP($A37,地图配置辅助表!$A$3:$AP$245,地图配置辅助表!G$1,FALSE)</f>
        <v>1</v>
      </c>
      <c r="V37" s="8">
        <f>VLOOKUP($A37,地图配置辅助表!$A$3:$AP$245,地图配置辅助表!H$1,FALSE)</f>
        <v>1</v>
      </c>
      <c r="W37" s="8">
        <f>VLOOKUP($A37,地图配置辅助表!$A$3:$AP$245,地图配置辅助表!I$1,FALSE)</f>
        <v>0</v>
      </c>
      <c r="X37" s="8">
        <f>VLOOKUP($A37,地图配置辅助表!$A$3:$AP$245,地图配置辅助表!J$1,FALSE)</f>
        <v>0</v>
      </c>
      <c r="Y37" s="8">
        <f>VLOOKUP($A37,地图配置辅助表!$A$3:$AP$245,地图配置辅助表!K$1,FALSE)</f>
        <v>0</v>
      </c>
      <c r="Z37" s="8">
        <f>VLOOKUP($A37,地图配置辅助表!$A$3:$AP$245,地图配置辅助表!L$1,FALSE)</f>
        <v>0</v>
      </c>
      <c r="AA37" s="8">
        <f>VLOOKUP($A37,地图配置辅助表!$A$3:$AP$245,地图配置辅助表!M$1,FALSE)</f>
        <v>1</v>
      </c>
      <c r="AB37">
        <f>VLOOKUP($A37,地图配置辅助表!$A$3:$AP$245,地图配置辅助表!N$1,FALSE)</f>
        <v>1</v>
      </c>
      <c r="AC37" s="8">
        <f>VLOOKUP($A37,地图配置辅助表!$A$3:$AP$245,地图配置辅助表!O$1,FALSE)</f>
        <v>3</v>
      </c>
      <c r="AD37">
        <f>VLOOKUP($A37,地图配置辅助表!$A$3:$AP$245,地图配置辅助表!P$1,FALSE)</f>
        <v>3008</v>
      </c>
      <c r="AE37" s="8">
        <f>VLOOKUP($A37,地图配置辅助表!$A$3:$AP$245,地图配置辅助表!Q$1,FALSE)</f>
        <v>0</v>
      </c>
      <c r="AF37" s="8">
        <f>VLOOKUP($A37,地图配置辅助表!$A$3:$AP$245,地图配置辅助表!R$1,FALSE)</f>
        <v>0</v>
      </c>
      <c r="AG37" s="11">
        <f>VLOOKUP($A37,地图配置辅助表!$A$3:$AP$245,地图配置辅助表!S$1,FALSE)</f>
        <v>503009</v>
      </c>
      <c r="AH37" s="11">
        <f>VLOOKUP($A37,地图配置辅助表!$A$3:$AP$245,地图配置辅助表!T$1,FALSE)</f>
        <v>139104</v>
      </c>
      <c r="AI37" s="8">
        <f>VLOOKUP($A37,地图配置辅助表!$A$3:$AP$245,地图配置辅助表!U$1,FALSE)</f>
        <v>3</v>
      </c>
      <c r="AJ37" s="8">
        <f>VLOOKUP($A37,地图配置辅助表!$A$3:$AP$245,地图配置辅助表!V$1,FALSE)</f>
        <v>139101</v>
      </c>
      <c r="AK37" s="8">
        <f>VLOOKUP($A37,地图配置辅助表!$A$3:$AP$245,地图配置辅助表!W$1,FALSE)</f>
        <v>139102</v>
      </c>
      <c r="AL37" s="8">
        <f>VLOOKUP($A37,地图配置辅助表!$A$3:$AP$245,地图配置辅助表!X$1,FALSE)</f>
        <v>139103</v>
      </c>
      <c r="AM37" s="8">
        <f>VLOOKUP($A37,地图配置辅助表!$A$3:$AP$245,地图配置辅助表!Y$1,FALSE)</f>
        <v>0</v>
      </c>
      <c r="AN37" s="8">
        <f>VLOOKUP($A37,地图配置辅助表!$A$3:$AP$245,地图配置辅助表!Z$1,FALSE)</f>
        <v>0</v>
      </c>
      <c r="AO37" s="8">
        <f>VLOOKUP($A37,地图配置辅助表!$A$3:$AP$245,地图配置辅助表!AA$1,FALSE)</f>
        <v>0</v>
      </c>
      <c r="AP37" s="8">
        <f>VLOOKUP($A37,地图配置辅助表!$A$3:$AP$245,地图配置辅助表!AB$1,FALSE)</f>
        <v>0</v>
      </c>
      <c r="AQ37" s="8">
        <f>VLOOKUP($A37,地图配置辅助表!$A$3:$AP$245,地图配置辅助表!AC$1,FALSE)</f>
        <v>0</v>
      </c>
      <c r="AR37" s="8">
        <f>VLOOKUP($A37,地图配置辅助表!$A$3:$AP$245,地图配置辅助表!AD$1,FALSE)</f>
        <v>0</v>
      </c>
      <c r="AS37" s="8">
        <f>VLOOKUP($A37,地图配置辅助表!$A$3:$AP$245,地图配置辅助表!AE$1,FALSE)</f>
        <v>0</v>
      </c>
      <c r="AT37" s="8">
        <f>VLOOKUP($A37,地图配置辅助表!$A$3:$AP$245,地图配置辅助表!AF$1,FALSE)</f>
        <v>4</v>
      </c>
      <c r="AU37" s="8">
        <f>VLOOKUP($A37,地图配置辅助表!$A$3:$AP$245,地图配置辅助表!AG$1,FALSE)</f>
        <v>145</v>
      </c>
      <c r="AV37" s="8">
        <f>VLOOKUP($A37,地图配置辅助表!$A$3:$AP$245,地图配置辅助表!AH$1,FALSE)</f>
        <v>146</v>
      </c>
      <c r="AW37" s="8">
        <f>VLOOKUP($A37,地图配置辅助表!$A$3:$AP$245,地图配置辅助表!AI$1,FALSE)</f>
        <v>147</v>
      </c>
      <c r="AX37" s="8">
        <f>VLOOKUP($A37,地图配置辅助表!$A$3:$AP$245,地图配置辅助表!AJ$1,FALSE)</f>
        <v>167</v>
      </c>
      <c r="AY37" s="8">
        <f>VLOOKUP($A37,地图配置辅助表!$A$3:$AP$245,地图配置辅助表!AK$1,FALSE)</f>
        <v>0</v>
      </c>
      <c r="AZ37" s="8">
        <f>VLOOKUP($A37,地图配置辅助表!$A$3:$AP$245,地图配置辅助表!AL$1,FALSE)</f>
        <v>0</v>
      </c>
      <c r="BA37" s="8">
        <f>VLOOKUP($A37,地图配置辅助表!$A$3:$AP$245,地图配置辅助表!AM$1,FALSE)</f>
        <v>0</v>
      </c>
      <c r="BB37" s="8">
        <f>VLOOKUP($A37,地图配置辅助表!$A$3:$AP$245,地图配置辅助表!AN$1,FALSE)</f>
        <v>0</v>
      </c>
      <c r="BC37" s="8">
        <f>VLOOKUP($A37,地图配置辅助表!$A$3:$AP$245,地图配置辅助表!AO$1,FALSE)</f>
        <v>0</v>
      </c>
      <c r="BD37" s="8">
        <f>VLOOKUP($A37,地图配置辅助表!$A$3:$AP$245,地图配置辅助表!AP$1,FALSE)</f>
        <v>0</v>
      </c>
    </row>
    <row r="38" spans="1:56" s="8" customFormat="1" x14ac:dyDescent="0.15">
      <c r="A38">
        <f>地图配置辅助表!A39</f>
        <v>4001</v>
      </c>
      <c r="B38" s="8">
        <f>地图配置辅助表!B39</f>
        <v>1</v>
      </c>
      <c r="C38" s="8">
        <f>地图配置辅助表!C39</f>
        <v>4</v>
      </c>
      <c r="D38" s="9" t="str">
        <f>地图配置辅助表!D39</f>
        <v>驱除袭击者</v>
      </c>
      <c r="E38" s="8" t="s">
        <v>387</v>
      </c>
      <c r="F38" s="8" t="s">
        <v>0</v>
      </c>
      <c r="G38" s="8">
        <v>29</v>
      </c>
      <c r="H38" s="8">
        <v>200</v>
      </c>
      <c r="I38" s="8">
        <v>140</v>
      </c>
      <c r="J38" s="8">
        <v>200</v>
      </c>
      <c r="K38" s="8">
        <v>140</v>
      </c>
      <c r="L38" s="8" t="s">
        <v>139</v>
      </c>
      <c r="M38" s="8">
        <v>0</v>
      </c>
      <c r="R38" s="8" t="s">
        <v>139</v>
      </c>
      <c r="S38" s="11">
        <f>VLOOKUP($A38,地图配置辅助表!$A$3:$AP$245,地图配置辅助表!E$1,FALSE)</f>
        <v>8</v>
      </c>
      <c r="T38" s="8">
        <f>VLOOKUP($A38,地图配置辅助表!$A$3:$AP$245,地图配置辅助表!F$1,FALSE)</f>
        <v>5141</v>
      </c>
      <c r="U38" s="8">
        <f>VLOOKUP($A38,地图配置辅助表!$A$3:$AP$245,地图配置辅助表!G$1,FALSE)</f>
        <v>1</v>
      </c>
      <c r="V38" s="8">
        <f>VLOOKUP($A38,地图配置辅助表!$A$3:$AP$245,地图配置辅助表!H$1,FALSE)</f>
        <v>1</v>
      </c>
      <c r="W38" s="8">
        <f>VLOOKUP($A38,地图配置辅助表!$A$3:$AP$245,地图配置辅助表!I$1,FALSE)</f>
        <v>0</v>
      </c>
      <c r="X38" s="8">
        <f>VLOOKUP($A38,地图配置辅助表!$A$3:$AP$245,地图配置辅助表!J$1,FALSE)</f>
        <v>0</v>
      </c>
      <c r="Y38" s="8">
        <f>VLOOKUP($A38,地图配置辅助表!$A$3:$AP$245,地图配置辅助表!K$1,FALSE)</f>
        <v>0</v>
      </c>
      <c r="Z38" s="8">
        <f>VLOOKUP($A38,地图配置辅助表!$A$3:$AP$245,地图配置辅助表!L$1,FALSE)</f>
        <v>0</v>
      </c>
      <c r="AA38" s="8">
        <f>VLOOKUP($A38,地图配置辅助表!$A$3:$AP$245,地图配置辅助表!M$1,FALSE)</f>
        <v>2</v>
      </c>
      <c r="AB38">
        <f>VLOOKUP($A38,地图配置辅助表!$A$3:$AP$245,地图配置辅助表!N$1,FALSE)</f>
        <v>1</v>
      </c>
      <c r="AC38" s="8">
        <f>VLOOKUP($A38,地图配置辅助表!$A$3:$AP$245,地图配置辅助表!O$1,FALSE)</f>
        <v>3</v>
      </c>
      <c r="AD38">
        <f>VLOOKUP($A38,地图配置辅助表!$A$3:$AP$245,地图配置辅助表!P$1,FALSE)</f>
        <v>3009</v>
      </c>
      <c r="AE38" s="8">
        <f>VLOOKUP($A38,地图配置辅助表!$A$3:$AP$245,地图配置辅助表!Q$1,FALSE)</f>
        <v>1</v>
      </c>
      <c r="AF38" s="8">
        <f>VLOOKUP($A38,地图配置辅助表!$A$3:$AP$245,地图配置辅助表!R$1,FALSE)</f>
        <v>29</v>
      </c>
      <c r="AG38" s="11">
        <f>VLOOKUP($A38,地图配置辅助表!$A$3:$AP$245,地图配置辅助表!S$1,FALSE)</f>
        <v>504001</v>
      </c>
      <c r="AH38" s="11">
        <f>VLOOKUP($A38,地图配置辅助表!$A$3:$AP$245,地图配置辅助表!T$1,FALSE)</f>
        <v>141104</v>
      </c>
      <c r="AI38" s="8">
        <f>VLOOKUP($A38,地图配置辅助表!$A$3:$AP$245,地图配置辅助表!U$1,FALSE)</f>
        <v>3</v>
      </c>
      <c r="AJ38" s="8">
        <f>VLOOKUP($A38,地图配置辅助表!$A$3:$AP$245,地图配置辅助表!V$1,FALSE)</f>
        <v>141101</v>
      </c>
      <c r="AK38" s="8">
        <f>VLOOKUP($A38,地图配置辅助表!$A$3:$AP$245,地图配置辅助表!W$1,FALSE)</f>
        <v>141102</v>
      </c>
      <c r="AL38" s="8">
        <f>VLOOKUP($A38,地图配置辅助表!$A$3:$AP$245,地图配置辅助表!X$1,FALSE)</f>
        <v>141103</v>
      </c>
      <c r="AM38" s="8">
        <f>VLOOKUP($A38,地图配置辅助表!$A$3:$AP$245,地图配置辅助表!Y$1,FALSE)</f>
        <v>0</v>
      </c>
      <c r="AN38" s="8">
        <f>VLOOKUP($A38,地图配置辅助表!$A$3:$AP$245,地图配置辅助表!Z$1,FALSE)</f>
        <v>0</v>
      </c>
      <c r="AO38" s="8">
        <f>VLOOKUP($A38,地图配置辅助表!$A$3:$AP$245,地图配置辅助表!AA$1,FALSE)</f>
        <v>0</v>
      </c>
      <c r="AP38" s="8">
        <f>VLOOKUP($A38,地图配置辅助表!$A$3:$AP$245,地图配置辅助表!AB$1,FALSE)</f>
        <v>0</v>
      </c>
      <c r="AQ38" s="8">
        <f>VLOOKUP($A38,地图配置辅助表!$A$3:$AP$245,地图配置辅助表!AC$1,FALSE)</f>
        <v>0</v>
      </c>
      <c r="AR38" s="8">
        <f>VLOOKUP($A38,地图配置辅助表!$A$3:$AP$245,地图配置辅助表!AD$1,FALSE)</f>
        <v>0</v>
      </c>
      <c r="AS38" s="8">
        <f>VLOOKUP($A38,地图配置辅助表!$A$3:$AP$245,地图配置辅助表!AE$1,FALSE)</f>
        <v>0</v>
      </c>
      <c r="AT38" s="8">
        <f>VLOOKUP($A38,地图配置辅助表!$A$3:$AP$245,地图配置辅助表!AF$1,FALSE)</f>
        <v>4</v>
      </c>
      <c r="AU38" s="8">
        <f>VLOOKUP($A38,地图配置辅助表!$A$3:$AP$245,地图配置辅助表!AG$1,FALSE)</f>
        <v>129</v>
      </c>
      <c r="AV38" s="8">
        <f>VLOOKUP($A38,地图配置辅助表!$A$3:$AP$245,地图配置辅助表!AH$1,FALSE)</f>
        <v>130</v>
      </c>
      <c r="AW38" s="8">
        <f>VLOOKUP($A38,地图配置辅助表!$A$3:$AP$245,地图配置辅助表!AI$1,FALSE)</f>
        <v>131</v>
      </c>
      <c r="AX38" s="8">
        <f>VLOOKUP($A38,地图配置辅助表!$A$3:$AP$245,地图配置辅助表!AJ$1,FALSE)</f>
        <v>178</v>
      </c>
      <c r="AY38" s="8">
        <f>VLOOKUP($A38,地图配置辅助表!$A$3:$AP$245,地图配置辅助表!AK$1,FALSE)</f>
        <v>0</v>
      </c>
      <c r="AZ38" s="8">
        <f>VLOOKUP($A38,地图配置辅助表!$A$3:$AP$245,地图配置辅助表!AL$1,FALSE)</f>
        <v>0</v>
      </c>
      <c r="BA38" s="8">
        <f>VLOOKUP($A38,地图配置辅助表!$A$3:$AP$245,地图配置辅助表!AM$1,FALSE)</f>
        <v>0</v>
      </c>
      <c r="BB38" s="8">
        <f>VLOOKUP($A38,地图配置辅助表!$A$3:$AP$245,地图配置辅助表!AN$1,FALSE)</f>
        <v>0</v>
      </c>
      <c r="BC38" s="8">
        <f>VLOOKUP($A38,地图配置辅助表!$A$3:$AP$245,地图配置辅助表!AO$1,FALSE)</f>
        <v>0</v>
      </c>
      <c r="BD38" s="8">
        <f>VLOOKUP($A38,地图配置辅助表!$A$3:$AP$245,地图配置辅助表!AP$1,FALSE)</f>
        <v>0</v>
      </c>
    </row>
    <row r="39" spans="1:56" s="8" customFormat="1" x14ac:dyDescent="0.15">
      <c r="A39">
        <f>地图配置辅助表!A40</f>
        <v>4002</v>
      </c>
      <c r="B39" s="8">
        <f>地图配置辅助表!B40</f>
        <v>1</v>
      </c>
      <c r="C39" s="8">
        <f>地图配置辅助表!C40</f>
        <v>4</v>
      </c>
      <c r="D39" s="9" t="str">
        <f>地图配置辅助表!D40</f>
        <v>屯门之争</v>
      </c>
      <c r="E39" s="8" t="s">
        <v>290</v>
      </c>
      <c r="F39" s="8" t="s">
        <v>0</v>
      </c>
      <c r="G39" s="8">
        <v>29</v>
      </c>
      <c r="H39" s="8">
        <v>200</v>
      </c>
      <c r="I39" s="8">
        <v>140</v>
      </c>
      <c r="J39" s="8">
        <v>200</v>
      </c>
      <c r="K39" s="8">
        <v>140</v>
      </c>
      <c r="L39" s="8" t="s">
        <v>140</v>
      </c>
      <c r="M39" s="8">
        <v>0</v>
      </c>
      <c r="R39" s="8" t="s">
        <v>140</v>
      </c>
      <c r="S39" s="11">
        <f>VLOOKUP($A39,地图配置辅助表!$A$3:$AP$245,地图配置辅助表!E$1,FALSE)</f>
        <v>8</v>
      </c>
      <c r="T39" s="8">
        <f>VLOOKUP($A39,地图配置辅助表!$A$3:$AP$245,地图配置辅助表!F$1,FALSE)</f>
        <v>5685</v>
      </c>
      <c r="U39" s="8">
        <f>VLOOKUP($A39,地图配置辅助表!$A$3:$AP$245,地图配置辅助表!G$1,FALSE)</f>
        <v>1</v>
      </c>
      <c r="V39" s="8">
        <f>VLOOKUP($A39,地图配置辅助表!$A$3:$AP$245,地图配置辅助表!H$1,FALSE)</f>
        <v>1</v>
      </c>
      <c r="W39" s="8">
        <f>VLOOKUP($A39,地图配置辅助表!$A$3:$AP$245,地图配置辅助表!I$1,FALSE)</f>
        <v>0</v>
      </c>
      <c r="X39" s="8">
        <f>VLOOKUP($A39,地图配置辅助表!$A$3:$AP$245,地图配置辅助表!J$1,FALSE)</f>
        <v>0</v>
      </c>
      <c r="Y39" s="8">
        <f>VLOOKUP($A39,地图配置辅助表!$A$3:$AP$245,地图配置辅助表!K$1,FALSE)</f>
        <v>0</v>
      </c>
      <c r="Z39" s="8">
        <f>VLOOKUP($A39,地图配置辅助表!$A$3:$AP$245,地图配置辅助表!L$1,FALSE)</f>
        <v>0</v>
      </c>
      <c r="AA39" s="8">
        <f>VLOOKUP($A39,地图配置辅助表!$A$3:$AP$245,地图配置辅助表!M$1,FALSE)</f>
        <v>2</v>
      </c>
      <c r="AB39">
        <f>VLOOKUP($A39,地图配置辅助表!$A$3:$AP$245,地图配置辅助表!N$1,FALSE)</f>
        <v>1</v>
      </c>
      <c r="AC39" s="8">
        <f>VLOOKUP($A39,地图配置辅助表!$A$3:$AP$245,地图配置辅助表!O$1,FALSE)</f>
        <v>3</v>
      </c>
      <c r="AD39">
        <f>VLOOKUP($A39,地图配置辅助表!$A$3:$AP$245,地图配置辅助表!P$1,FALSE)</f>
        <v>4001</v>
      </c>
      <c r="AE39" s="8">
        <f>VLOOKUP($A39,地图配置辅助表!$A$3:$AP$245,地图配置辅助表!Q$1,FALSE)</f>
        <v>1</v>
      </c>
      <c r="AF39" s="8">
        <f>VLOOKUP($A39,地图配置辅助表!$A$3:$AP$245,地图配置辅助表!R$1,FALSE)</f>
        <v>29</v>
      </c>
      <c r="AG39" s="11">
        <f>VLOOKUP($A39,地图配置辅助表!$A$3:$AP$245,地图配置辅助表!S$1,FALSE)</f>
        <v>504002</v>
      </c>
      <c r="AH39" s="11">
        <f>VLOOKUP($A39,地图配置辅助表!$A$3:$AP$245,地图配置辅助表!T$1,FALSE)</f>
        <v>142104</v>
      </c>
      <c r="AI39" s="8">
        <f>VLOOKUP($A39,地图配置辅助表!$A$3:$AP$245,地图配置辅助表!U$1,FALSE)</f>
        <v>3</v>
      </c>
      <c r="AJ39" s="8">
        <f>VLOOKUP($A39,地图配置辅助表!$A$3:$AP$245,地图配置辅助表!V$1,FALSE)</f>
        <v>142101</v>
      </c>
      <c r="AK39" s="8">
        <f>VLOOKUP($A39,地图配置辅助表!$A$3:$AP$245,地图配置辅助表!W$1,FALSE)</f>
        <v>142102</v>
      </c>
      <c r="AL39" s="8">
        <f>VLOOKUP($A39,地图配置辅助表!$A$3:$AP$245,地图配置辅助表!X$1,FALSE)</f>
        <v>142103</v>
      </c>
      <c r="AM39" s="8">
        <f>VLOOKUP($A39,地图配置辅助表!$A$3:$AP$245,地图配置辅助表!Y$1,FALSE)</f>
        <v>0</v>
      </c>
      <c r="AN39" s="8">
        <f>VLOOKUP($A39,地图配置辅助表!$A$3:$AP$245,地图配置辅助表!Z$1,FALSE)</f>
        <v>0</v>
      </c>
      <c r="AO39" s="8">
        <f>VLOOKUP($A39,地图配置辅助表!$A$3:$AP$245,地图配置辅助表!AA$1,FALSE)</f>
        <v>0</v>
      </c>
      <c r="AP39" s="8">
        <f>VLOOKUP($A39,地图配置辅助表!$A$3:$AP$245,地图配置辅助表!AB$1,FALSE)</f>
        <v>0</v>
      </c>
      <c r="AQ39" s="8">
        <f>VLOOKUP($A39,地图配置辅助表!$A$3:$AP$245,地图配置辅助表!AC$1,FALSE)</f>
        <v>0</v>
      </c>
      <c r="AR39" s="8">
        <f>VLOOKUP($A39,地图配置辅助表!$A$3:$AP$245,地图配置辅助表!AD$1,FALSE)</f>
        <v>0</v>
      </c>
      <c r="AS39" s="8">
        <f>VLOOKUP($A39,地图配置辅助表!$A$3:$AP$245,地图配置辅助表!AE$1,FALSE)</f>
        <v>0</v>
      </c>
      <c r="AT39" s="8">
        <f>VLOOKUP($A39,地图配置辅助表!$A$3:$AP$245,地图配置辅助表!AF$1,FALSE)</f>
        <v>4</v>
      </c>
      <c r="AU39" s="8">
        <f>VLOOKUP($A39,地图配置辅助表!$A$3:$AP$245,地图配置辅助表!AG$1,FALSE)</f>
        <v>116</v>
      </c>
      <c r="AV39" s="8">
        <f>VLOOKUP($A39,地图配置辅助表!$A$3:$AP$245,地图配置辅助表!AH$1,FALSE)</f>
        <v>117</v>
      </c>
      <c r="AW39" s="8">
        <f>VLOOKUP($A39,地图配置辅助表!$A$3:$AP$245,地图配置辅助表!AI$1,FALSE)</f>
        <v>118</v>
      </c>
      <c r="AX39" s="8">
        <f>VLOOKUP($A39,地图配置辅助表!$A$3:$AP$245,地图配置辅助表!AJ$1,FALSE)</f>
        <v>160</v>
      </c>
      <c r="AY39" s="8">
        <f>VLOOKUP($A39,地图配置辅助表!$A$3:$AP$245,地图配置辅助表!AK$1,FALSE)</f>
        <v>0</v>
      </c>
      <c r="AZ39" s="8">
        <f>VLOOKUP($A39,地图配置辅助表!$A$3:$AP$245,地图配置辅助表!AL$1,FALSE)</f>
        <v>0</v>
      </c>
      <c r="BA39" s="8">
        <f>VLOOKUP($A39,地图配置辅助表!$A$3:$AP$245,地图配置辅助表!AM$1,FALSE)</f>
        <v>0</v>
      </c>
      <c r="BB39" s="8">
        <f>VLOOKUP($A39,地图配置辅助表!$A$3:$AP$245,地图配置辅助表!AN$1,FALSE)</f>
        <v>0</v>
      </c>
      <c r="BC39" s="8">
        <f>VLOOKUP($A39,地图配置辅助表!$A$3:$AP$245,地图配置辅助表!AO$1,FALSE)</f>
        <v>0</v>
      </c>
      <c r="BD39" s="8">
        <f>VLOOKUP($A39,地图配置辅助表!$A$3:$AP$245,地图配置辅助表!AP$1,FALSE)</f>
        <v>0</v>
      </c>
    </row>
    <row r="40" spans="1:56" s="8" customFormat="1" x14ac:dyDescent="0.15">
      <c r="A40">
        <f>地图配置辅助表!A41</f>
        <v>4003</v>
      </c>
      <c r="B40" s="8">
        <f>地图配置辅助表!B41</f>
        <v>1</v>
      </c>
      <c r="C40" s="8">
        <f>地图配置辅助表!C41</f>
        <v>4</v>
      </c>
      <c r="D40" s="9" t="str">
        <f>地图配置辅助表!D41</f>
        <v>教会解围</v>
      </c>
      <c r="E40" s="8" t="s">
        <v>291</v>
      </c>
      <c r="F40" s="8" t="s">
        <v>0</v>
      </c>
      <c r="G40" s="8">
        <v>29</v>
      </c>
      <c r="H40" s="8">
        <v>200</v>
      </c>
      <c r="I40" s="8">
        <v>140</v>
      </c>
      <c r="J40" s="8">
        <v>200</v>
      </c>
      <c r="K40" s="8">
        <v>140</v>
      </c>
      <c r="L40" s="8" t="s">
        <v>141</v>
      </c>
      <c r="M40" s="8">
        <v>0</v>
      </c>
      <c r="R40" s="8" t="s">
        <v>141</v>
      </c>
      <c r="S40" s="11">
        <f>VLOOKUP($A40,地图配置辅助表!$A$3:$AP$245,地图配置辅助表!E$1,FALSE)</f>
        <v>8</v>
      </c>
      <c r="T40" s="8">
        <f>VLOOKUP($A40,地图配置辅助表!$A$3:$AP$245,地图配置辅助表!F$1,FALSE)</f>
        <v>6329</v>
      </c>
      <c r="U40" s="8">
        <f>VLOOKUP($A40,地图配置辅助表!$A$3:$AP$245,地图配置辅助表!G$1,FALSE)</f>
        <v>1</v>
      </c>
      <c r="V40" s="8">
        <f>VLOOKUP($A40,地图配置辅助表!$A$3:$AP$245,地图配置辅助表!H$1,FALSE)</f>
        <v>1</v>
      </c>
      <c r="W40" s="8">
        <f>VLOOKUP($A40,地图配置辅助表!$A$3:$AP$245,地图配置辅助表!I$1,FALSE)</f>
        <v>0</v>
      </c>
      <c r="X40" s="8">
        <f>VLOOKUP($A40,地图配置辅助表!$A$3:$AP$245,地图配置辅助表!J$1,FALSE)</f>
        <v>0</v>
      </c>
      <c r="Y40" s="8">
        <f>VLOOKUP($A40,地图配置辅助表!$A$3:$AP$245,地图配置辅助表!K$1,FALSE)</f>
        <v>0</v>
      </c>
      <c r="Z40" s="8">
        <f>VLOOKUP($A40,地图配置辅助表!$A$3:$AP$245,地图配置辅助表!L$1,FALSE)</f>
        <v>0</v>
      </c>
      <c r="AA40" s="8">
        <f>VLOOKUP($A40,地图配置辅助表!$A$3:$AP$245,地图配置辅助表!M$1,FALSE)</f>
        <v>2</v>
      </c>
      <c r="AB40">
        <f>VLOOKUP($A40,地图配置辅助表!$A$3:$AP$245,地图配置辅助表!N$1,FALSE)</f>
        <v>1</v>
      </c>
      <c r="AC40" s="8">
        <f>VLOOKUP($A40,地图配置辅助表!$A$3:$AP$245,地图配置辅助表!O$1,FALSE)</f>
        <v>3</v>
      </c>
      <c r="AD40">
        <f>VLOOKUP($A40,地图配置辅助表!$A$3:$AP$245,地图配置辅助表!P$1,FALSE)</f>
        <v>4002</v>
      </c>
      <c r="AE40" s="8">
        <f>VLOOKUP($A40,地图配置辅助表!$A$3:$AP$245,地图配置辅助表!Q$1,FALSE)</f>
        <v>1</v>
      </c>
      <c r="AF40" s="8">
        <f>VLOOKUP($A40,地图配置辅助表!$A$3:$AP$245,地图配置辅助表!R$1,FALSE)</f>
        <v>29</v>
      </c>
      <c r="AG40" s="11">
        <f>VLOOKUP($A40,地图配置辅助表!$A$3:$AP$245,地图配置辅助表!S$1,FALSE)</f>
        <v>504003</v>
      </c>
      <c r="AH40" s="11">
        <f>VLOOKUP($A40,地图配置辅助表!$A$3:$AP$245,地图配置辅助表!T$1,FALSE)</f>
        <v>143104</v>
      </c>
      <c r="AI40" s="8">
        <f>VLOOKUP($A40,地图配置辅助表!$A$3:$AP$245,地图配置辅助表!U$1,FALSE)</f>
        <v>3</v>
      </c>
      <c r="AJ40" s="8">
        <f>VLOOKUP($A40,地图配置辅助表!$A$3:$AP$245,地图配置辅助表!V$1,FALSE)</f>
        <v>143101</v>
      </c>
      <c r="AK40" s="8">
        <f>VLOOKUP($A40,地图配置辅助表!$A$3:$AP$245,地图配置辅助表!W$1,FALSE)</f>
        <v>143102</v>
      </c>
      <c r="AL40" s="8">
        <f>VLOOKUP($A40,地图配置辅助表!$A$3:$AP$245,地图配置辅助表!X$1,FALSE)</f>
        <v>143103</v>
      </c>
      <c r="AM40" s="8">
        <f>VLOOKUP($A40,地图配置辅助表!$A$3:$AP$245,地图配置辅助表!Y$1,FALSE)</f>
        <v>0</v>
      </c>
      <c r="AN40" s="8">
        <f>VLOOKUP($A40,地图配置辅助表!$A$3:$AP$245,地图配置辅助表!Z$1,FALSE)</f>
        <v>0</v>
      </c>
      <c r="AO40" s="8">
        <f>VLOOKUP($A40,地图配置辅助表!$A$3:$AP$245,地图配置辅助表!AA$1,FALSE)</f>
        <v>0</v>
      </c>
      <c r="AP40" s="8">
        <f>VLOOKUP($A40,地图配置辅助表!$A$3:$AP$245,地图配置辅助表!AB$1,FALSE)</f>
        <v>0</v>
      </c>
      <c r="AQ40" s="8">
        <f>VLOOKUP($A40,地图配置辅助表!$A$3:$AP$245,地图配置辅助表!AC$1,FALSE)</f>
        <v>0</v>
      </c>
      <c r="AR40" s="8">
        <f>VLOOKUP($A40,地图配置辅助表!$A$3:$AP$245,地图配置辅助表!AD$1,FALSE)</f>
        <v>0</v>
      </c>
      <c r="AS40" s="8">
        <f>VLOOKUP($A40,地图配置辅助表!$A$3:$AP$245,地图配置辅助表!AE$1,FALSE)</f>
        <v>0</v>
      </c>
      <c r="AT40" s="8">
        <f>VLOOKUP($A40,地图配置辅助表!$A$3:$AP$245,地图配置辅助表!AF$1,FALSE)</f>
        <v>3</v>
      </c>
      <c r="AU40" s="8">
        <f>VLOOKUP($A40,地图配置辅助表!$A$3:$AP$245,地图配置辅助表!AG$1,FALSE)</f>
        <v>121</v>
      </c>
      <c r="AV40" s="8">
        <f>VLOOKUP($A40,地图配置辅助表!$A$3:$AP$245,地图配置辅助表!AH$1,FALSE)</f>
        <v>122</v>
      </c>
      <c r="AW40" s="8">
        <f>VLOOKUP($A40,地图配置辅助表!$A$3:$AP$245,地图配置辅助表!AI$1,FALSE)</f>
        <v>123</v>
      </c>
      <c r="AX40" s="8">
        <f>VLOOKUP($A40,地图配置辅助表!$A$3:$AP$245,地图配置辅助表!AJ$1,FALSE)</f>
        <v>0</v>
      </c>
      <c r="AY40" s="8">
        <f>VLOOKUP($A40,地图配置辅助表!$A$3:$AP$245,地图配置辅助表!AK$1,FALSE)</f>
        <v>0</v>
      </c>
      <c r="AZ40" s="8">
        <f>VLOOKUP($A40,地图配置辅助表!$A$3:$AP$245,地图配置辅助表!AL$1,FALSE)</f>
        <v>0</v>
      </c>
      <c r="BA40" s="8">
        <f>VLOOKUP($A40,地图配置辅助表!$A$3:$AP$245,地图配置辅助表!AM$1,FALSE)</f>
        <v>0</v>
      </c>
      <c r="BB40" s="8">
        <f>VLOOKUP($A40,地图配置辅助表!$A$3:$AP$245,地图配置辅助表!AN$1,FALSE)</f>
        <v>0</v>
      </c>
      <c r="BC40" s="8">
        <f>VLOOKUP($A40,地图配置辅助表!$A$3:$AP$245,地图配置辅助表!AO$1,FALSE)</f>
        <v>0</v>
      </c>
      <c r="BD40" s="8">
        <f>VLOOKUP($A40,地图配置辅助表!$A$3:$AP$245,地图配置辅助表!AP$1,FALSE)</f>
        <v>0</v>
      </c>
    </row>
    <row r="41" spans="1:56" s="8" customFormat="1" x14ac:dyDescent="0.15">
      <c r="A41">
        <f>地图配置辅助表!A42</f>
        <v>4004</v>
      </c>
      <c r="B41" s="8">
        <f>地图配置辅助表!B42</f>
        <v>1</v>
      </c>
      <c r="C41" s="8">
        <f>地图配置辅助表!C42</f>
        <v>4</v>
      </c>
      <c r="D41" s="9" t="str">
        <f>地图配置辅助表!D42</f>
        <v>地盘纷争</v>
      </c>
      <c r="E41" s="8" t="s">
        <v>292</v>
      </c>
      <c r="F41" s="8" t="s">
        <v>0</v>
      </c>
      <c r="G41" s="8">
        <v>29</v>
      </c>
      <c r="H41" s="8">
        <v>200</v>
      </c>
      <c r="I41" s="8">
        <v>140</v>
      </c>
      <c r="J41" s="8">
        <v>200</v>
      </c>
      <c r="K41" s="8">
        <v>140</v>
      </c>
      <c r="L41" s="8" t="s">
        <v>142</v>
      </c>
      <c r="M41" s="8">
        <v>0</v>
      </c>
      <c r="R41" s="8" t="s">
        <v>142</v>
      </c>
      <c r="S41" s="11">
        <f>VLOOKUP($A41,地图配置辅助表!$A$3:$AP$245,地图配置辅助表!E$1,FALSE)</f>
        <v>8</v>
      </c>
      <c r="T41" s="8">
        <f>VLOOKUP($A41,地图配置辅助表!$A$3:$AP$245,地图配置辅助表!F$1,FALSE)</f>
        <v>7006</v>
      </c>
      <c r="U41" s="8">
        <f>VLOOKUP($A41,地图配置辅助表!$A$3:$AP$245,地图配置辅助表!G$1,FALSE)</f>
        <v>1</v>
      </c>
      <c r="V41" s="8">
        <f>VLOOKUP($A41,地图配置辅助表!$A$3:$AP$245,地图配置辅助表!H$1,FALSE)</f>
        <v>1</v>
      </c>
      <c r="W41" s="8">
        <f>VLOOKUP($A41,地图配置辅助表!$A$3:$AP$245,地图配置辅助表!I$1,FALSE)</f>
        <v>0</v>
      </c>
      <c r="X41" s="8">
        <f>VLOOKUP($A41,地图配置辅助表!$A$3:$AP$245,地图配置辅助表!J$1,FALSE)</f>
        <v>0</v>
      </c>
      <c r="Y41" s="8">
        <f>VLOOKUP($A41,地图配置辅助表!$A$3:$AP$245,地图配置辅助表!K$1,FALSE)</f>
        <v>0</v>
      </c>
      <c r="Z41" s="8">
        <f>VLOOKUP($A41,地图配置辅助表!$A$3:$AP$245,地图配置辅助表!L$1,FALSE)</f>
        <v>0</v>
      </c>
      <c r="AA41" s="8">
        <f>VLOOKUP($A41,地图配置辅助表!$A$3:$AP$245,地图配置辅助表!M$1,FALSE)</f>
        <v>2</v>
      </c>
      <c r="AB41">
        <f>VLOOKUP($A41,地图配置辅助表!$A$3:$AP$245,地图配置辅助表!N$1,FALSE)</f>
        <v>1</v>
      </c>
      <c r="AC41" s="8">
        <f>VLOOKUP($A41,地图配置辅助表!$A$3:$AP$245,地图配置辅助表!O$1,FALSE)</f>
        <v>3</v>
      </c>
      <c r="AD41">
        <f>VLOOKUP($A41,地图配置辅助表!$A$3:$AP$245,地图配置辅助表!P$1,FALSE)</f>
        <v>4003</v>
      </c>
      <c r="AE41" s="8">
        <f>VLOOKUP($A41,地图配置辅助表!$A$3:$AP$245,地图配置辅助表!Q$1,FALSE)</f>
        <v>1</v>
      </c>
      <c r="AF41" s="8">
        <f>VLOOKUP($A41,地图配置辅助表!$A$3:$AP$245,地图配置辅助表!R$1,FALSE)</f>
        <v>29</v>
      </c>
      <c r="AG41" s="11">
        <f>VLOOKUP($A41,地图配置辅助表!$A$3:$AP$245,地图配置辅助表!S$1,FALSE)</f>
        <v>504004</v>
      </c>
      <c r="AH41" s="11">
        <f>VLOOKUP($A41,地图配置辅助表!$A$3:$AP$245,地图配置辅助表!T$1,FALSE)</f>
        <v>144104</v>
      </c>
      <c r="AI41" s="8">
        <f>VLOOKUP($A41,地图配置辅助表!$A$3:$AP$245,地图配置辅助表!U$1,FALSE)</f>
        <v>3</v>
      </c>
      <c r="AJ41" s="8">
        <f>VLOOKUP($A41,地图配置辅助表!$A$3:$AP$245,地图配置辅助表!V$1,FALSE)</f>
        <v>144101</v>
      </c>
      <c r="AK41" s="8">
        <f>VLOOKUP($A41,地图配置辅助表!$A$3:$AP$245,地图配置辅助表!W$1,FALSE)</f>
        <v>144102</v>
      </c>
      <c r="AL41" s="8">
        <f>VLOOKUP($A41,地图配置辅助表!$A$3:$AP$245,地图配置辅助表!X$1,FALSE)</f>
        <v>144103</v>
      </c>
      <c r="AM41" s="8">
        <f>VLOOKUP($A41,地图配置辅助表!$A$3:$AP$245,地图配置辅助表!Y$1,FALSE)</f>
        <v>0</v>
      </c>
      <c r="AN41" s="8">
        <f>VLOOKUP($A41,地图配置辅助表!$A$3:$AP$245,地图配置辅助表!Z$1,FALSE)</f>
        <v>0</v>
      </c>
      <c r="AO41" s="8">
        <f>VLOOKUP($A41,地图配置辅助表!$A$3:$AP$245,地图配置辅助表!AA$1,FALSE)</f>
        <v>0</v>
      </c>
      <c r="AP41" s="8">
        <f>VLOOKUP($A41,地图配置辅助表!$A$3:$AP$245,地图配置辅助表!AB$1,FALSE)</f>
        <v>0</v>
      </c>
      <c r="AQ41" s="8">
        <f>VLOOKUP($A41,地图配置辅助表!$A$3:$AP$245,地图配置辅助表!AC$1,FALSE)</f>
        <v>0</v>
      </c>
      <c r="AR41" s="8">
        <f>VLOOKUP($A41,地图配置辅助表!$A$3:$AP$245,地图配置辅助表!AD$1,FALSE)</f>
        <v>0</v>
      </c>
      <c r="AS41" s="8">
        <f>VLOOKUP($A41,地图配置辅助表!$A$3:$AP$245,地图配置辅助表!AE$1,FALSE)</f>
        <v>0</v>
      </c>
      <c r="AT41" s="8">
        <f>VLOOKUP($A41,地图配置辅助表!$A$3:$AP$245,地图配置辅助表!AF$1,FALSE)</f>
        <v>3</v>
      </c>
      <c r="AU41" s="8">
        <f>VLOOKUP($A41,地图配置辅助表!$A$3:$AP$245,地图配置辅助表!AG$1,FALSE)</f>
        <v>156</v>
      </c>
      <c r="AV41" s="8">
        <f>VLOOKUP($A41,地图配置辅助表!$A$3:$AP$245,地图配置辅助表!AH$1,FALSE)</f>
        <v>157</v>
      </c>
      <c r="AW41" s="8">
        <f>VLOOKUP($A41,地图配置辅助表!$A$3:$AP$245,地图配置辅助表!AI$1,FALSE)</f>
        <v>158</v>
      </c>
      <c r="AX41" s="8">
        <f>VLOOKUP($A41,地图配置辅助表!$A$3:$AP$245,地图配置辅助表!AJ$1,FALSE)</f>
        <v>209</v>
      </c>
      <c r="AY41" s="8">
        <f>VLOOKUP($A41,地图配置辅助表!$A$3:$AP$245,地图配置辅助表!AK$1,FALSE)</f>
        <v>0</v>
      </c>
      <c r="AZ41" s="8">
        <f>VLOOKUP($A41,地图配置辅助表!$A$3:$AP$245,地图配置辅助表!AL$1,FALSE)</f>
        <v>0</v>
      </c>
      <c r="BA41" s="8">
        <f>VLOOKUP($A41,地图配置辅助表!$A$3:$AP$245,地图配置辅助表!AM$1,FALSE)</f>
        <v>0</v>
      </c>
      <c r="BB41" s="8">
        <f>VLOOKUP($A41,地图配置辅助表!$A$3:$AP$245,地图配置辅助表!AN$1,FALSE)</f>
        <v>0</v>
      </c>
      <c r="BC41" s="8">
        <f>VLOOKUP($A41,地图配置辅助表!$A$3:$AP$245,地图配置辅助表!AO$1,FALSE)</f>
        <v>0</v>
      </c>
      <c r="BD41" s="8">
        <f>VLOOKUP($A41,地图配置辅助表!$A$3:$AP$245,地图配置辅助表!AP$1,FALSE)</f>
        <v>0</v>
      </c>
    </row>
    <row r="42" spans="1:56" s="8" customFormat="1" x14ac:dyDescent="0.15">
      <c r="A42">
        <f>地图配置辅助表!A43</f>
        <v>4005</v>
      </c>
      <c r="B42" s="8">
        <f>地图配置辅助表!B43</f>
        <v>1</v>
      </c>
      <c r="C42" s="8">
        <f>地图配置辅助表!C43</f>
        <v>4</v>
      </c>
      <c r="D42" s="9" t="str">
        <f>地图配置辅助表!D43</f>
        <v>营救大天二</v>
      </c>
      <c r="E42" s="8" t="s">
        <v>293</v>
      </c>
      <c r="F42" s="8" t="s">
        <v>0</v>
      </c>
      <c r="G42" s="8">
        <v>29</v>
      </c>
      <c r="H42" s="8">
        <v>200</v>
      </c>
      <c r="I42" s="8">
        <v>140</v>
      </c>
      <c r="J42" s="8">
        <v>200</v>
      </c>
      <c r="K42" s="8">
        <v>140</v>
      </c>
      <c r="L42" s="8" t="s">
        <v>143</v>
      </c>
      <c r="M42" s="8">
        <v>0</v>
      </c>
      <c r="R42" s="8" t="s">
        <v>143</v>
      </c>
      <c r="S42" s="11">
        <f>VLOOKUP($A42,地图配置辅助表!$A$3:$AP$245,地图配置辅助表!E$1,FALSE)</f>
        <v>8</v>
      </c>
      <c r="T42" s="8">
        <f>VLOOKUP($A42,地图配置辅助表!$A$3:$AP$245,地图配置辅助表!F$1,FALSE)</f>
        <v>7734</v>
      </c>
      <c r="U42" s="8">
        <f>VLOOKUP($A42,地图配置辅助表!$A$3:$AP$245,地图配置辅助表!G$1,FALSE)</f>
        <v>1</v>
      </c>
      <c r="V42" s="8">
        <f>VLOOKUP($A42,地图配置辅助表!$A$3:$AP$245,地图配置辅助表!H$1,FALSE)</f>
        <v>1</v>
      </c>
      <c r="W42" s="8">
        <f>VLOOKUP($A42,地图配置辅助表!$A$3:$AP$245,地图配置辅助表!I$1,FALSE)</f>
        <v>0</v>
      </c>
      <c r="X42" s="8">
        <f>VLOOKUP($A42,地图配置辅助表!$A$3:$AP$245,地图配置辅助表!J$1,FALSE)</f>
        <v>0</v>
      </c>
      <c r="Y42" s="8">
        <f>VLOOKUP($A42,地图配置辅助表!$A$3:$AP$245,地图配置辅助表!K$1,FALSE)</f>
        <v>0</v>
      </c>
      <c r="Z42" s="8">
        <f>VLOOKUP($A42,地图配置辅助表!$A$3:$AP$245,地图配置辅助表!L$1,FALSE)</f>
        <v>0</v>
      </c>
      <c r="AA42" s="8">
        <f>VLOOKUP($A42,地图配置辅助表!$A$3:$AP$245,地图配置辅助表!M$1,FALSE)</f>
        <v>2</v>
      </c>
      <c r="AB42">
        <f>VLOOKUP($A42,地图配置辅助表!$A$3:$AP$245,地图配置辅助表!N$1,FALSE)</f>
        <v>1</v>
      </c>
      <c r="AC42" s="8">
        <f>VLOOKUP($A42,地图配置辅助表!$A$3:$AP$245,地图配置辅助表!O$1,FALSE)</f>
        <v>3</v>
      </c>
      <c r="AD42">
        <f>VLOOKUP($A42,地图配置辅助表!$A$3:$AP$245,地图配置辅助表!P$1,FALSE)</f>
        <v>4004</v>
      </c>
      <c r="AE42" s="8">
        <f>VLOOKUP($A42,地图配置辅助表!$A$3:$AP$245,地图配置辅助表!Q$1,FALSE)</f>
        <v>1</v>
      </c>
      <c r="AF42" s="8">
        <f>VLOOKUP($A42,地图配置辅助表!$A$3:$AP$245,地图配置辅助表!R$1,FALSE)</f>
        <v>29</v>
      </c>
      <c r="AG42" s="11">
        <f>VLOOKUP($A42,地图配置辅助表!$A$3:$AP$245,地图配置辅助表!S$1,FALSE)</f>
        <v>504005</v>
      </c>
      <c r="AH42" s="11">
        <f>VLOOKUP($A42,地图配置辅助表!$A$3:$AP$245,地图配置辅助表!T$1,FALSE)</f>
        <v>145104</v>
      </c>
      <c r="AI42" s="8">
        <f>VLOOKUP($A42,地图配置辅助表!$A$3:$AP$245,地图配置辅助表!U$1,FALSE)</f>
        <v>3</v>
      </c>
      <c r="AJ42" s="8">
        <f>VLOOKUP($A42,地图配置辅助表!$A$3:$AP$245,地图配置辅助表!V$1,FALSE)</f>
        <v>145101</v>
      </c>
      <c r="AK42" s="8">
        <f>VLOOKUP($A42,地图配置辅助表!$A$3:$AP$245,地图配置辅助表!W$1,FALSE)</f>
        <v>145102</v>
      </c>
      <c r="AL42" s="8">
        <f>VLOOKUP($A42,地图配置辅助表!$A$3:$AP$245,地图配置辅助表!X$1,FALSE)</f>
        <v>145103</v>
      </c>
      <c r="AM42" s="8">
        <f>VLOOKUP($A42,地图配置辅助表!$A$3:$AP$245,地图配置辅助表!Y$1,FALSE)</f>
        <v>0</v>
      </c>
      <c r="AN42" s="8">
        <f>VLOOKUP($A42,地图配置辅助表!$A$3:$AP$245,地图配置辅助表!Z$1,FALSE)</f>
        <v>0</v>
      </c>
      <c r="AO42" s="8">
        <f>VLOOKUP($A42,地图配置辅助表!$A$3:$AP$245,地图配置辅助表!AA$1,FALSE)</f>
        <v>0</v>
      </c>
      <c r="AP42" s="8">
        <f>VLOOKUP($A42,地图配置辅助表!$A$3:$AP$245,地图配置辅助表!AB$1,FALSE)</f>
        <v>0</v>
      </c>
      <c r="AQ42" s="8">
        <f>VLOOKUP($A42,地图配置辅助表!$A$3:$AP$245,地图配置辅助表!AC$1,FALSE)</f>
        <v>0</v>
      </c>
      <c r="AR42" s="8">
        <f>VLOOKUP($A42,地图配置辅助表!$A$3:$AP$245,地图配置辅助表!AD$1,FALSE)</f>
        <v>0</v>
      </c>
      <c r="AS42" s="8">
        <f>VLOOKUP($A42,地图配置辅助表!$A$3:$AP$245,地图配置辅助表!AE$1,FALSE)</f>
        <v>0</v>
      </c>
      <c r="AT42" s="8">
        <f>VLOOKUP($A42,地图配置辅助表!$A$3:$AP$245,地图配置辅助表!AF$1,FALSE)</f>
        <v>3</v>
      </c>
      <c r="AU42" s="8">
        <f>VLOOKUP($A42,地图配置辅助表!$A$3:$AP$245,地图配置辅助表!AG$1,FALSE)</f>
        <v>107</v>
      </c>
      <c r="AV42" s="8">
        <f>VLOOKUP($A42,地图配置辅助表!$A$3:$AP$245,地图配置辅助表!AH$1,FALSE)</f>
        <v>108</v>
      </c>
      <c r="AW42" s="8">
        <f>VLOOKUP($A42,地图配置辅助表!$A$3:$AP$245,地图配置辅助表!AI$1,FALSE)</f>
        <v>109</v>
      </c>
      <c r="AX42" s="8">
        <f>VLOOKUP($A42,地图配置辅助表!$A$3:$AP$245,地图配置辅助表!AJ$1,FALSE)</f>
        <v>0</v>
      </c>
      <c r="AY42" s="8">
        <f>VLOOKUP($A42,地图配置辅助表!$A$3:$AP$245,地图配置辅助表!AK$1,FALSE)</f>
        <v>0</v>
      </c>
      <c r="AZ42" s="8">
        <f>VLOOKUP($A42,地图配置辅助表!$A$3:$AP$245,地图配置辅助表!AL$1,FALSE)</f>
        <v>0</v>
      </c>
      <c r="BA42" s="8">
        <f>VLOOKUP($A42,地图配置辅助表!$A$3:$AP$245,地图配置辅助表!AM$1,FALSE)</f>
        <v>0</v>
      </c>
      <c r="BB42" s="8">
        <f>VLOOKUP($A42,地图配置辅助表!$A$3:$AP$245,地图配置辅助表!AN$1,FALSE)</f>
        <v>0</v>
      </c>
      <c r="BC42" s="8">
        <f>VLOOKUP($A42,地图配置辅助表!$A$3:$AP$245,地图配置辅助表!AO$1,FALSE)</f>
        <v>0</v>
      </c>
      <c r="BD42" s="8">
        <f>VLOOKUP($A42,地图配置辅助表!$A$3:$AP$245,地图配置辅助表!AP$1,FALSE)</f>
        <v>0</v>
      </c>
    </row>
    <row r="43" spans="1:56" s="8" customFormat="1" x14ac:dyDescent="0.15">
      <c r="A43">
        <f>地图配置辅助表!A44</f>
        <v>4006</v>
      </c>
      <c r="B43" s="8">
        <f>地图配置辅助表!B44</f>
        <v>1</v>
      </c>
      <c r="C43" s="8">
        <f>地图配置辅助表!C44</f>
        <v>4</v>
      </c>
      <c r="D43" s="9" t="str">
        <f>地图配置辅助表!D44</f>
        <v>调虎离山</v>
      </c>
      <c r="E43" s="8" t="s">
        <v>294</v>
      </c>
      <c r="F43" s="8" t="s">
        <v>0</v>
      </c>
      <c r="G43" s="8">
        <v>29</v>
      </c>
      <c r="H43" s="8">
        <v>200</v>
      </c>
      <c r="I43" s="8">
        <v>140</v>
      </c>
      <c r="J43" s="8">
        <v>200</v>
      </c>
      <c r="K43" s="8">
        <v>140</v>
      </c>
      <c r="L43" s="8" t="s">
        <v>144</v>
      </c>
      <c r="M43" s="8">
        <v>0</v>
      </c>
      <c r="R43" s="8" t="s">
        <v>144</v>
      </c>
      <c r="S43" s="11">
        <f>VLOOKUP($A43,地图配置辅助表!$A$3:$AP$245,地图配置辅助表!E$1,FALSE)</f>
        <v>8</v>
      </c>
      <c r="T43" s="8">
        <f>VLOOKUP($A43,地图配置辅助表!$A$3:$AP$245,地图配置辅助表!F$1,FALSE)</f>
        <v>8526</v>
      </c>
      <c r="U43" s="8">
        <f>VLOOKUP($A43,地图配置辅助表!$A$3:$AP$245,地图配置辅助表!G$1,FALSE)</f>
        <v>1</v>
      </c>
      <c r="V43" s="8">
        <f>VLOOKUP($A43,地图配置辅助表!$A$3:$AP$245,地图配置辅助表!H$1,FALSE)</f>
        <v>1</v>
      </c>
      <c r="W43" s="8">
        <f>VLOOKUP($A43,地图配置辅助表!$A$3:$AP$245,地图配置辅助表!I$1,FALSE)</f>
        <v>0</v>
      </c>
      <c r="X43" s="8">
        <f>VLOOKUP($A43,地图配置辅助表!$A$3:$AP$245,地图配置辅助表!J$1,FALSE)</f>
        <v>0</v>
      </c>
      <c r="Y43" s="8">
        <f>VLOOKUP($A43,地图配置辅助表!$A$3:$AP$245,地图配置辅助表!K$1,FALSE)</f>
        <v>0</v>
      </c>
      <c r="Z43" s="8">
        <f>VLOOKUP($A43,地图配置辅助表!$A$3:$AP$245,地图配置辅助表!L$1,FALSE)</f>
        <v>0</v>
      </c>
      <c r="AA43" s="8">
        <f>VLOOKUP($A43,地图配置辅助表!$A$3:$AP$245,地图配置辅助表!M$1,FALSE)</f>
        <v>2</v>
      </c>
      <c r="AB43">
        <f>VLOOKUP($A43,地图配置辅助表!$A$3:$AP$245,地图配置辅助表!N$1,FALSE)</f>
        <v>1</v>
      </c>
      <c r="AC43" s="8">
        <f>VLOOKUP($A43,地图配置辅助表!$A$3:$AP$245,地图配置辅助表!O$1,FALSE)</f>
        <v>3</v>
      </c>
      <c r="AD43">
        <f>VLOOKUP($A43,地图配置辅助表!$A$3:$AP$245,地图配置辅助表!P$1,FALSE)</f>
        <v>4005</v>
      </c>
      <c r="AE43" s="8">
        <f>VLOOKUP($A43,地图配置辅助表!$A$3:$AP$245,地图配置辅助表!Q$1,FALSE)</f>
        <v>1</v>
      </c>
      <c r="AF43" s="8">
        <f>VLOOKUP($A43,地图配置辅助表!$A$3:$AP$245,地图配置辅助表!R$1,FALSE)</f>
        <v>29</v>
      </c>
      <c r="AG43" s="11">
        <f>VLOOKUP($A43,地图配置辅助表!$A$3:$AP$245,地图配置辅助表!S$1,FALSE)</f>
        <v>504006</v>
      </c>
      <c r="AH43" s="11">
        <f>VLOOKUP($A43,地图配置辅助表!$A$3:$AP$245,地图配置辅助表!T$1,FALSE)</f>
        <v>146104</v>
      </c>
      <c r="AI43" s="8">
        <f>VLOOKUP($A43,地图配置辅助表!$A$3:$AP$245,地图配置辅助表!U$1,FALSE)</f>
        <v>3</v>
      </c>
      <c r="AJ43" s="8">
        <f>VLOOKUP($A43,地图配置辅助表!$A$3:$AP$245,地图配置辅助表!V$1,FALSE)</f>
        <v>146101</v>
      </c>
      <c r="AK43" s="8">
        <f>VLOOKUP($A43,地图配置辅助表!$A$3:$AP$245,地图配置辅助表!W$1,FALSE)</f>
        <v>146102</v>
      </c>
      <c r="AL43" s="8">
        <f>VLOOKUP($A43,地图配置辅助表!$A$3:$AP$245,地图配置辅助表!X$1,FALSE)</f>
        <v>146103</v>
      </c>
      <c r="AM43" s="8">
        <f>VLOOKUP($A43,地图配置辅助表!$A$3:$AP$245,地图配置辅助表!Y$1,FALSE)</f>
        <v>0</v>
      </c>
      <c r="AN43" s="8">
        <f>VLOOKUP($A43,地图配置辅助表!$A$3:$AP$245,地图配置辅助表!Z$1,FALSE)</f>
        <v>0</v>
      </c>
      <c r="AO43" s="8">
        <f>VLOOKUP($A43,地图配置辅助表!$A$3:$AP$245,地图配置辅助表!AA$1,FALSE)</f>
        <v>0</v>
      </c>
      <c r="AP43" s="8">
        <f>VLOOKUP($A43,地图配置辅助表!$A$3:$AP$245,地图配置辅助表!AB$1,FALSE)</f>
        <v>0</v>
      </c>
      <c r="AQ43" s="8">
        <f>VLOOKUP($A43,地图配置辅助表!$A$3:$AP$245,地图配置辅助表!AC$1,FALSE)</f>
        <v>0</v>
      </c>
      <c r="AR43" s="8">
        <f>VLOOKUP($A43,地图配置辅助表!$A$3:$AP$245,地图配置辅助表!AD$1,FALSE)</f>
        <v>0</v>
      </c>
      <c r="AS43" s="8">
        <f>VLOOKUP($A43,地图配置辅助表!$A$3:$AP$245,地图配置辅助表!AE$1,FALSE)</f>
        <v>0</v>
      </c>
      <c r="AT43" s="8">
        <f>VLOOKUP($A43,地图配置辅助表!$A$3:$AP$245,地图配置辅助表!AF$1,FALSE)</f>
        <v>4</v>
      </c>
      <c r="AU43" s="8">
        <f>VLOOKUP($A43,地图配置辅助表!$A$3:$AP$245,地图配置辅助表!AG$1,FALSE)</f>
        <v>122</v>
      </c>
      <c r="AV43" s="8">
        <f>VLOOKUP($A43,地图配置辅助表!$A$3:$AP$245,地图配置辅助表!AH$1,FALSE)</f>
        <v>123</v>
      </c>
      <c r="AW43" s="8">
        <f>VLOOKUP($A43,地图配置辅助表!$A$3:$AP$245,地图配置辅助表!AI$1,FALSE)</f>
        <v>124</v>
      </c>
      <c r="AX43" s="8">
        <f>VLOOKUP($A43,地图配置辅助表!$A$3:$AP$245,地图配置辅助表!AJ$1,FALSE)</f>
        <v>167</v>
      </c>
      <c r="AY43" s="8">
        <f>VLOOKUP($A43,地图配置辅助表!$A$3:$AP$245,地图配置辅助表!AK$1,FALSE)</f>
        <v>0</v>
      </c>
      <c r="AZ43" s="8">
        <f>VLOOKUP($A43,地图配置辅助表!$A$3:$AP$245,地图配置辅助表!AL$1,FALSE)</f>
        <v>0</v>
      </c>
      <c r="BA43" s="8">
        <f>VLOOKUP($A43,地图配置辅助表!$A$3:$AP$245,地图配置辅助表!AM$1,FALSE)</f>
        <v>0</v>
      </c>
      <c r="BB43" s="8">
        <f>VLOOKUP($A43,地图配置辅助表!$A$3:$AP$245,地图配置辅助表!AN$1,FALSE)</f>
        <v>0</v>
      </c>
      <c r="BC43" s="8">
        <f>VLOOKUP($A43,地图配置辅助表!$A$3:$AP$245,地图配置辅助表!AO$1,FALSE)</f>
        <v>0</v>
      </c>
      <c r="BD43" s="8">
        <f>VLOOKUP($A43,地图配置辅助表!$A$3:$AP$245,地图配置辅助表!AP$1,FALSE)</f>
        <v>0</v>
      </c>
    </row>
    <row r="44" spans="1:56" s="8" customFormat="1" x14ac:dyDescent="0.15">
      <c r="A44">
        <f>地图配置辅助表!A45</f>
        <v>4007</v>
      </c>
      <c r="B44" s="8">
        <f>地图配置辅助表!B45</f>
        <v>1</v>
      </c>
      <c r="C44" s="8">
        <f>地图配置辅助表!C45</f>
        <v>4</v>
      </c>
      <c r="D44" s="9" t="str">
        <f>地图配置辅助表!D45</f>
        <v>痛失战友</v>
      </c>
      <c r="E44" s="8" t="s">
        <v>292</v>
      </c>
      <c r="F44" s="8" t="s">
        <v>0</v>
      </c>
      <c r="G44" s="8">
        <v>29</v>
      </c>
      <c r="H44" s="8">
        <v>200</v>
      </c>
      <c r="I44" s="8">
        <v>140</v>
      </c>
      <c r="J44" s="8">
        <v>200</v>
      </c>
      <c r="K44" s="8">
        <v>140</v>
      </c>
      <c r="L44" s="8" t="s">
        <v>626</v>
      </c>
      <c r="M44" s="8">
        <v>0</v>
      </c>
      <c r="R44" s="8" t="s">
        <v>626</v>
      </c>
      <c r="S44" s="11">
        <f>VLOOKUP($A44,地图配置辅助表!$A$3:$AP$245,地图配置辅助表!E$1,FALSE)</f>
        <v>8</v>
      </c>
      <c r="T44" s="8">
        <f>VLOOKUP($A44,地图配置辅助表!$A$3:$AP$245,地图配置辅助表!F$1,FALSE)</f>
        <v>9364</v>
      </c>
      <c r="U44" s="8">
        <f>VLOOKUP($A44,地图配置辅助表!$A$3:$AP$245,地图配置辅助表!G$1,FALSE)</f>
        <v>1</v>
      </c>
      <c r="V44" s="8">
        <f>VLOOKUP($A44,地图配置辅助表!$A$3:$AP$245,地图配置辅助表!H$1,FALSE)</f>
        <v>1</v>
      </c>
      <c r="W44" s="8">
        <f>VLOOKUP($A44,地图配置辅助表!$A$3:$AP$245,地图配置辅助表!I$1,FALSE)</f>
        <v>0</v>
      </c>
      <c r="X44" s="8">
        <f>VLOOKUP($A44,地图配置辅助表!$A$3:$AP$245,地图配置辅助表!J$1,FALSE)</f>
        <v>0</v>
      </c>
      <c r="Y44" s="8">
        <f>VLOOKUP($A44,地图配置辅助表!$A$3:$AP$245,地图配置辅助表!K$1,FALSE)</f>
        <v>0</v>
      </c>
      <c r="Z44" s="8">
        <f>VLOOKUP($A44,地图配置辅助表!$A$3:$AP$245,地图配置辅助表!L$1,FALSE)</f>
        <v>0</v>
      </c>
      <c r="AA44" s="8">
        <f>VLOOKUP($A44,地图配置辅助表!$A$3:$AP$245,地图配置辅助表!M$1,FALSE)</f>
        <v>2</v>
      </c>
      <c r="AB44">
        <f>VLOOKUP($A44,地图配置辅助表!$A$3:$AP$245,地图配置辅助表!N$1,FALSE)</f>
        <v>1</v>
      </c>
      <c r="AC44" s="8">
        <f>VLOOKUP($A44,地图配置辅助表!$A$3:$AP$245,地图配置辅助表!O$1,FALSE)</f>
        <v>3</v>
      </c>
      <c r="AD44">
        <f>VLOOKUP($A44,地图配置辅助表!$A$3:$AP$245,地图配置辅助表!P$1,FALSE)</f>
        <v>4006</v>
      </c>
      <c r="AE44" s="8">
        <f>VLOOKUP($A44,地图配置辅助表!$A$3:$AP$245,地图配置辅助表!Q$1,FALSE)</f>
        <v>1</v>
      </c>
      <c r="AF44" s="8">
        <f>VLOOKUP($A44,地图配置辅助表!$A$3:$AP$245,地图配置辅助表!R$1,FALSE)</f>
        <v>29</v>
      </c>
      <c r="AG44" s="11">
        <f>VLOOKUP($A44,地图配置辅助表!$A$3:$AP$245,地图配置辅助表!S$1,FALSE)</f>
        <v>504007</v>
      </c>
      <c r="AH44" s="11">
        <f>VLOOKUP($A44,地图配置辅助表!$A$3:$AP$245,地图配置辅助表!T$1,FALSE)</f>
        <v>147104</v>
      </c>
      <c r="AI44" s="8">
        <f>VLOOKUP($A44,地图配置辅助表!$A$3:$AP$245,地图配置辅助表!U$1,FALSE)</f>
        <v>3</v>
      </c>
      <c r="AJ44" s="8">
        <f>VLOOKUP($A44,地图配置辅助表!$A$3:$AP$245,地图配置辅助表!V$1,FALSE)</f>
        <v>147101</v>
      </c>
      <c r="AK44" s="8">
        <f>VLOOKUP($A44,地图配置辅助表!$A$3:$AP$245,地图配置辅助表!W$1,FALSE)</f>
        <v>147102</v>
      </c>
      <c r="AL44" s="8">
        <f>VLOOKUP($A44,地图配置辅助表!$A$3:$AP$245,地图配置辅助表!X$1,FALSE)</f>
        <v>147103</v>
      </c>
      <c r="AM44" s="8">
        <f>VLOOKUP($A44,地图配置辅助表!$A$3:$AP$245,地图配置辅助表!Y$1,FALSE)</f>
        <v>0</v>
      </c>
      <c r="AN44" s="8">
        <f>VLOOKUP($A44,地图配置辅助表!$A$3:$AP$245,地图配置辅助表!Z$1,FALSE)</f>
        <v>0</v>
      </c>
      <c r="AO44" s="8">
        <f>VLOOKUP($A44,地图配置辅助表!$A$3:$AP$245,地图配置辅助表!AA$1,FALSE)</f>
        <v>0</v>
      </c>
      <c r="AP44" s="8">
        <f>VLOOKUP($A44,地图配置辅助表!$A$3:$AP$245,地图配置辅助表!AB$1,FALSE)</f>
        <v>0</v>
      </c>
      <c r="AQ44" s="8">
        <f>VLOOKUP($A44,地图配置辅助表!$A$3:$AP$245,地图配置辅助表!AC$1,FALSE)</f>
        <v>0</v>
      </c>
      <c r="AR44" s="8">
        <f>VLOOKUP($A44,地图配置辅助表!$A$3:$AP$245,地图配置辅助表!AD$1,FALSE)</f>
        <v>0</v>
      </c>
      <c r="AS44" s="8">
        <f>VLOOKUP($A44,地图配置辅助表!$A$3:$AP$245,地图配置辅助表!AE$1,FALSE)</f>
        <v>0</v>
      </c>
      <c r="AT44" s="8">
        <f>VLOOKUP($A44,地图配置辅助表!$A$3:$AP$245,地图配置辅助表!AF$1,FALSE)</f>
        <v>3</v>
      </c>
      <c r="AU44" s="8">
        <f>VLOOKUP($A44,地图配置辅助表!$A$3:$AP$245,地图配置辅助表!AG$1,FALSE)</f>
        <v>156</v>
      </c>
      <c r="AV44" s="8">
        <f>VLOOKUP($A44,地图配置辅助表!$A$3:$AP$245,地图配置辅助表!AH$1,FALSE)</f>
        <v>157</v>
      </c>
      <c r="AW44" s="8">
        <f>VLOOKUP($A44,地图配置辅助表!$A$3:$AP$245,地图配置辅助表!AI$1,FALSE)</f>
        <v>158</v>
      </c>
      <c r="AX44" s="8">
        <f>VLOOKUP($A44,地图配置辅助表!$A$3:$AP$245,地图配置辅助表!AJ$1,FALSE)</f>
        <v>209</v>
      </c>
      <c r="AY44" s="8">
        <f>VLOOKUP($A44,地图配置辅助表!$A$3:$AP$245,地图配置辅助表!AK$1,FALSE)</f>
        <v>0</v>
      </c>
      <c r="AZ44" s="8">
        <f>VLOOKUP($A44,地图配置辅助表!$A$3:$AP$245,地图配置辅助表!AL$1,FALSE)</f>
        <v>0</v>
      </c>
      <c r="BA44" s="8">
        <f>VLOOKUP($A44,地图配置辅助表!$A$3:$AP$245,地图配置辅助表!AM$1,FALSE)</f>
        <v>0</v>
      </c>
      <c r="BB44" s="8">
        <f>VLOOKUP($A44,地图配置辅助表!$A$3:$AP$245,地图配置辅助表!AN$1,FALSE)</f>
        <v>0</v>
      </c>
      <c r="BC44" s="8">
        <f>VLOOKUP($A44,地图配置辅助表!$A$3:$AP$245,地图配置辅助表!AO$1,FALSE)</f>
        <v>0</v>
      </c>
      <c r="BD44" s="8">
        <f>VLOOKUP($A44,地图配置辅助表!$A$3:$AP$245,地图配置辅助表!AP$1,FALSE)</f>
        <v>0</v>
      </c>
    </row>
    <row r="45" spans="1:56" s="8" customFormat="1" x14ac:dyDescent="0.15">
      <c r="A45">
        <f>地图配置辅助表!A46</f>
        <v>4008</v>
      </c>
      <c r="B45" s="8">
        <f>地图配置辅助表!B46</f>
        <v>1</v>
      </c>
      <c r="C45" s="8">
        <f>地图配置辅助表!C46</f>
        <v>4</v>
      </c>
      <c r="D45" s="9" t="str">
        <f>地图配置辅助表!D46</f>
        <v>追击真凶</v>
      </c>
      <c r="E45" s="8" t="s">
        <v>293</v>
      </c>
      <c r="F45" s="8" t="s">
        <v>0</v>
      </c>
      <c r="G45" s="8">
        <v>29</v>
      </c>
      <c r="H45" s="8">
        <v>200</v>
      </c>
      <c r="I45" s="8">
        <v>140</v>
      </c>
      <c r="J45" s="8">
        <v>200</v>
      </c>
      <c r="K45" s="8">
        <v>140</v>
      </c>
      <c r="L45" s="8" t="s">
        <v>627</v>
      </c>
      <c r="M45" s="8">
        <v>0</v>
      </c>
      <c r="R45" s="8" t="s">
        <v>627</v>
      </c>
      <c r="S45" s="11">
        <f>VLOOKUP($A45,地图配置辅助表!$A$3:$AP$245,地图配置辅助表!E$1,FALSE)</f>
        <v>8</v>
      </c>
      <c r="T45" s="8">
        <f>VLOOKUP($A45,地图配置辅助表!$A$3:$AP$245,地图配置辅助表!F$1,FALSE)</f>
        <v>10249</v>
      </c>
      <c r="U45" s="8">
        <f>VLOOKUP($A45,地图配置辅助表!$A$3:$AP$245,地图配置辅助表!G$1,FALSE)</f>
        <v>1</v>
      </c>
      <c r="V45" s="8">
        <f>VLOOKUP($A45,地图配置辅助表!$A$3:$AP$245,地图配置辅助表!H$1,FALSE)</f>
        <v>1</v>
      </c>
      <c r="W45" s="8">
        <f>VLOOKUP($A45,地图配置辅助表!$A$3:$AP$245,地图配置辅助表!I$1,FALSE)</f>
        <v>0</v>
      </c>
      <c r="X45" s="8">
        <f>VLOOKUP($A45,地图配置辅助表!$A$3:$AP$245,地图配置辅助表!J$1,FALSE)</f>
        <v>0</v>
      </c>
      <c r="Y45" s="8">
        <f>VLOOKUP($A45,地图配置辅助表!$A$3:$AP$245,地图配置辅助表!K$1,FALSE)</f>
        <v>0</v>
      </c>
      <c r="Z45" s="8">
        <f>VLOOKUP($A45,地图配置辅助表!$A$3:$AP$245,地图配置辅助表!L$1,FALSE)</f>
        <v>0</v>
      </c>
      <c r="AA45" s="8">
        <f>VLOOKUP($A45,地图配置辅助表!$A$3:$AP$245,地图配置辅助表!M$1,FALSE)</f>
        <v>2</v>
      </c>
      <c r="AB45">
        <f>VLOOKUP($A45,地图配置辅助表!$A$3:$AP$245,地图配置辅助表!N$1,FALSE)</f>
        <v>1</v>
      </c>
      <c r="AC45" s="8">
        <f>VLOOKUP($A45,地图配置辅助表!$A$3:$AP$245,地图配置辅助表!O$1,FALSE)</f>
        <v>3</v>
      </c>
      <c r="AD45">
        <f>VLOOKUP($A45,地图配置辅助表!$A$3:$AP$245,地图配置辅助表!P$1,FALSE)</f>
        <v>4007</v>
      </c>
      <c r="AE45" s="8">
        <f>VLOOKUP($A45,地图配置辅助表!$A$3:$AP$245,地图配置辅助表!Q$1,FALSE)</f>
        <v>1</v>
      </c>
      <c r="AF45" s="8">
        <f>VLOOKUP($A45,地图配置辅助表!$A$3:$AP$245,地图配置辅助表!R$1,FALSE)</f>
        <v>29</v>
      </c>
      <c r="AG45" s="11">
        <f>VLOOKUP($A45,地图配置辅助表!$A$3:$AP$245,地图配置辅助表!S$1,FALSE)</f>
        <v>504008</v>
      </c>
      <c r="AH45" s="11">
        <f>VLOOKUP($A45,地图配置辅助表!$A$3:$AP$245,地图配置辅助表!T$1,FALSE)</f>
        <v>148104</v>
      </c>
      <c r="AI45" s="8">
        <f>VLOOKUP($A45,地图配置辅助表!$A$3:$AP$245,地图配置辅助表!U$1,FALSE)</f>
        <v>3</v>
      </c>
      <c r="AJ45" s="8">
        <f>VLOOKUP($A45,地图配置辅助表!$A$3:$AP$245,地图配置辅助表!V$1,FALSE)</f>
        <v>148101</v>
      </c>
      <c r="AK45" s="8">
        <f>VLOOKUP($A45,地图配置辅助表!$A$3:$AP$245,地图配置辅助表!W$1,FALSE)</f>
        <v>148102</v>
      </c>
      <c r="AL45" s="8">
        <f>VLOOKUP($A45,地图配置辅助表!$A$3:$AP$245,地图配置辅助表!X$1,FALSE)</f>
        <v>148103</v>
      </c>
      <c r="AM45" s="8">
        <f>VLOOKUP($A45,地图配置辅助表!$A$3:$AP$245,地图配置辅助表!Y$1,FALSE)</f>
        <v>0</v>
      </c>
      <c r="AN45" s="8">
        <f>VLOOKUP($A45,地图配置辅助表!$A$3:$AP$245,地图配置辅助表!Z$1,FALSE)</f>
        <v>0</v>
      </c>
      <c r="AO45" s="8">
        <f>VLOOKUP($A45,地图配置辅助表!$A$3:$AP$245,地图配置辅助表!AA$1,FALSE)</f>
        <v>0</v>
      </c>
      <c r="AP45" s="8">
        <f>VLOOKUP($A45,地图配置辅助表!$A$3:$AP$245,地图配置辅助表!AB$1,FALSE)</f>
        <v>0</v>
      </c>
      <c r="AQ45" s="8">
        <f>VLOOKUP($A45,地图配置辅助表!$A$3:$AP$245,地图配置辅助表!AC$1,FALSE)</f>
        <v>0</v>
      </c>
      <c r="AR45" s="8">
        <f>VLOOKUP($A45,地图配置辅助表!$A$3:$AP$245,地图配置辅助表!AD$1,FALSE)</f>
        <v>0</v>
      </c>
      <c r="AS45" s="8">
        <f>VLOOKUP($A45,地图配置辅助表!$A$3:$AP$245,地图配置辅助表!AE$1,FALSE)</f>
        <v>0</v>
      </c>
      <c r="AT45" s="8">
        <f>VLOOKUP($A45,地图配置辅助表!$A$3:$AP$245,地图配置辅助表!AF$1,FALSE)</f>
        <v>3</v>
      </c>
      <c r="AU45" s="8">
        <f>VLOOKUP($A45,地图配置辅助表!$A$3:$AP$245,地图配置辅助表!AG$1,FALSE)</f>
        <v>107</v>
      </c>
      <c r="AV45" s="8">
        <f>VLOOKUP($A45,地图配置辅助表!$A$3:$AP$245,地图配置辅助表!AH$1,FALSE)</f>
        <v>108</v>
      </c>
      <c r="AW45" s="8">
        <f>VLOOKUP($A45,地图配置辅助表!$A$3:$AP$245,地图配置辅助表!AI$1,FALSE)</f>
        <v>109</v>
      </c>
      <c r="AX45" s="8">
        <f>VLOOKUP($A45,地图配置辅助表!$A$3:$AP$245,地图配置辅助表!AJ$1,FALSE)</f>
        <v>0</v>
      </c>
      <c r="AY45" s="8">
        <f>VLOOKUP($A45,地图配置辅助表!$A$3:$AP$245,地图配置辅助表!AK$1,FALSE)</f>
        <v>0</v>
      </c>
      <c r="AZ45" s="8">
        <f>VLOOKUP($A45,地图配置辅助表!$A$3:$AP$245,地图配置辅助表!AL$1,FALSE)</f>
        <v>0</v>
      </c>
      <c r="BA45" s="8">
        <f>VLOOKUP($A45,地图配置辅助表!$A$3:$AP$245,地图配置辅助表!AM$1,FALSE)</f>
        <v>0</v>
      </c>
      <c r="BB45" s="8">
        <f>VLOOKUP($A45,地图配置辅助表!$A$3:$AP$245,地图配置辅助表!AN$1,FALSE)</f>
        <v>0</v>
      </c>
      <c r="BC45" s="8">
        <f>VLOOKUP($A45,地图配置辅助表!$A$3:$AP$245,地图配置辅助表!AO$1,FALSE)</f>
        <v>0</v>
      </c>
      <c r="BD45" s="8">
        <f>VLOOKUP($A45,地图配置辅助表!$A$3:$AP$245,地图配置辅助表!AP$1,FALSE)</f>
        <v>0</v>
      </c>
    </row>
    <row r="46" spans="1:56" s="8" customFormat="1" x14ac:dyDescent="0.15">
      <c r="A46">
        <f>地图配置辅助表!A47</f>
        <v>4009</v>
      </c>
      <c r="B46" s="8">
        <f>地图配置辅助表!B47</f>
        <v>1</v>
      </c>
      <c r="C46" s="8">
        <f>地图配置辅助表!C47</f>
        <v>4</v>
      </c>
      <c r="D46" s="9" t="str">
        <f>地图配置辅助表!D47</f>
        <v>一决雌雄</v>
      </c>
      <c r="E46" s="8" t="s">
        <v>294</v>
      </c>
      <c r="F46" s="8" t="s">
        <v>0</v>
      </c>
      <c r="G46" s="8">
        <v>29</v>
      </c>
      <c r="H46" s="8">
        <v>200</v>
      </c>
      <c r="I46" s="8">
        <v>140</v>
      </c>
      <c r="J46" s="8">
        <v>200</v>
      </c>
      <c r="K46" s="8">
        <v>140</v>
      </c>
      <c r="L46" s="8" t="s">
        <v>628</v>
      </c>
      <c r="M46" s="8">
        <v>0</v>
      </c>
      <c r="R46" s="8" t="s">
        <v>628</v>
      </c>
      <c r="S46" s="11">
        <f>VLOOKUP($A46,地图配置辅助表!$A$3:$AP$245,地图配置辅助表!E$1,FALSE)</f>
        <v>8</v>
      </c>
      <c r="T46" s="8">
        <f>VLOOKUP($A46,地图配置辅助表!$A$3:$AP$245,地图配置辅助表!F$1,FALSE)</f>
        <v>12886</v>
      </c>
      <c r="U46" s="8">
        <f>VLOOKUP($A46,地图配置辅助表!$A$3:$AP$245,地图配置辅助表!G$1,FALSE)</f>
        <v>1</v>
      </c>
      <c r="V46" s="8">
        <f>VLOOKUP($A46,地图配置辅助表!$A$3:$AP$245,地图配置辅助表!H$1,FALSE)</f>
        <v>1</v>
      </c>
      <c r="W46" s="8">
        <f>VLOOKUP($A46,地图配置辅助表!$A$3:$AP$245,地图配置辅助表!I$1,FALSE)</f>
        <v>0</v>
      </c>
      <c r="X46" s="8">
        <f>VLOOKUP($A46,地图配置辅助表!$A$3:$AP$245,地图配置辅助表!J$1,FALSE)</f>
        <v>0</v>
      </c>
      <c r="Y46" s="8">
        <f>VLOOKUP($A46,地图配置辅助表!$A$3:$AP$245,地图配置辅助表!K$1,FALSE)</f>
        <v>0</v>
      </c>
      <c r="Z46" s="8">
        <f>VLOOKUP($A46,地图配置辅助表!$A$3:$AP$245,地图配置辅助表!L$1,FALSE)</f>
        <v>0</v>
      </c>
      <c r="AA46" s="8">
        <f>VLOOKUP($A46,地图配置辅助表!$A$3:$AP$245,地图配置辅助表!M$1,FALSE)</f>
        <v>2</v>
      </c>
      <c r="AB46">
        <f>VLOOKUP($A46,地图配置辅助表!$A$3:$AP$245,地图配置辅助表!N$1,FALSE)</f>
        <v>1</v>
      </c>
      <c r="AC46" s="8">
        <f>VLOOKUP($A46,地图配置辅助表!$A$3:$AP$245,地图配置辅助表!O$1,FALSE)</f>
        <v>3</v>
      </c>
      <c r="AD46">
        <f>VLOOKUP($A46,地图配置辅助表!$A$3:$AP$245,地图配置辅助表!P$1,FALSE)</f>
        <v>4008</v>
      </c>
      <c r="AE46" s="8">
        <f>VLOOKUP($A46,地图配置辅助表!$A$3:$AP$245,地图配置辅助表!Q$1,FALSE)</f>
        <v>1</v>
      </c>
      <c r="AF46" s="8">
        <f>VLOOKUP($A46,地图配置辅助表!$A$3:$AP$245,地图配置辅助表!R$1,FALSE)</f>
        <v>29</v>
      </c>
      <c r="AG46" s="11">
        <f>VLOOKUP($A46,地图配置辅助表!$A$3:$AP$245,地图配置辅助表!S$1,FALSE)</f>
        <v>504009</v>
      </c>
      <c r="AH46" s="11">
        <f>VLOOKUP($A46,地图配置辅助表!$A$3:$AP$245,地图配置辅助表!T$1,FALSE)</f>
        <v>149104</v>
      </c>
      <c r="AI46" s="8">
        <f>VLOOKUP($A46,地图配置辅助表!$A$3:$AP$245,地图配置辅助表!U$1,FALSE)</f>
        <v>3</v>
      </c>
      <c r="AJ46" s="8">
        <f>VLOOKUP($A46,地图配置辅助表!$A$3:$AP$245,地图配置辅助表!V$1,FALSE)</f>
        <v>149101</v>
      </c>
      <c r="AK46" s="8">
        <f>VLOOKUP($A46,地图配置辅助表!$A$3:$AP$245,地图配置辅助表!W$1,FALSE)</f>
        <v>149102</v>
      </c>
      <c r="AL46" s="8">
        <f>VLOOKUP($A46,地图配置辅助表!$A$3:$AP$245,地图配置辅助表!X$1,FALSE)</f>
        <v>149103</v>
      </c>
      <c r="AM46" s="8">
        <f>VLOOKUP($A46,地图配置辅助表!$A$3:$AP$245,地图配置辅助表!Y$1,FALSE)</f>
        <v>0</v>
      </c>
      <c r="AN46" s="8">
        <f>VLOOKUP($A46,地图配置辅助表!$A$3:$AP$245,地图配置辅助表!Z$1,FALSE)</f>
        <v>0</v>
      </c>
      <c r="AO46" s="8">
        <f>VLOOKUP($A46,地图配置辅助表!$A$3:$AP$245,地图配置辅助表!AA$1,FALSE)</f>
        <v>0</v>
      </c>
      <c r="AP46" s="8">
        <f>VLOOKUP($A46,地图配置辅助表!$A$3:$AP$245,地图配置辅助表!AB$1,FALSE)</f>
        <v>0</v>
      </c>
      <c r="AQ46" s="8">
        <f>VLOOKUP($A46,地图配置辅助表!$A$3:$AP$245,地图配置辅助表!AC$1,FALSE)</f>
        <v>0</v>
      </c>
      <c r="AR46" s="8">
        <f>VLOOKUP($A46,地图配置辅助表!$A$3:$AP$245,地图配置辅助表!AD$1,FALSE)</f>
        <v>0</v>
      </c>
      <c r="AS46" s="8">
        <f>VLOOKUP($A46,地图配置辅助表!$A$3:$AP$245,地图配置辅助表!AE$1,FALSE)</f>
        <v>0</v>
      </c>
      <c r="AT46" s="8">
        <f>VLOOKUP($A46,地图配置辅助表!$A$3:$AP$245,地图配置辅助表!AF$1,FALSE)</f>
        <v>4</v>
      </c>
      <c r="AU46" s="8">
        <f>VLOOKUP($A46,地图配置辅助表!$A$3:$AP$245,地图配置辅助表!AG$1,FALSE)</f>
        <v>122</v>
      </c>
      <c r="AV46" s="8">
        <f>VLOOKUP($A46,地图配置辅助表!$A$3:$AP$245,地图配置辅助表!AH$1,FALSE)</f>
        <v>123</v>
      </c>
      <c r="AW46" s="8">
        <f>VLOOKUP($A46,地图配置辅助表!$A$3:$AP$245,地图配置辅助表!AI$1,FALSE)</f>
        <v>124</v>
      </c>
      <c r="AX46" s="8">
        <f>VLOOKUP($A46,地图配置辅助表!$A$3:$AP$245,地图配置辅助表!AJ$1,FALSE)</f>
        <v>167</v>
      </c>
      <c r="AY46" s="8">
        <f>VLOOKUP($A46,地图配置辅助表!$A$3:$AP$245,地图配置辅助表!AK$1,FALSE)</f>
        <v>0</v>
      </c>
      <c r="AZ46" s="8">
        <f>VLOOKUP($A46,地图配置辅助表!$A$3:$AP$245,地图配置辅助表!AL$1,FALSE)</f>
        <v>0</v>
      </c>
      <c r="BA46" s="8">
        <f>VLOOKUP($A46,地图配置辅助表!$A$3:$AP$245,地图配置辅助表!AM$1,FALSE)</f>
        <v>0</v>
      </c>
      <c r="BB46" s="8">
        <f>VLOOKUP($A46,地图配置辅助表!$A$3:$AP$245,地图配置辅助表!AN$1,FALSE)</f>
        <v>0</v>
      </c>
      <c r="BC46" s="8">
        <f>VLOOKUP($A46,地图配置辅助表!$A$3:$AP$245,地图配置辅助表!AO$1,FALSE)</f>
        <v>0</v>
      </c>
      <c r="BD46" s="8">
        <f>VLOOKUP($A46,地图配置辅助表!$A$3:$AP$245,地图配置辅助表!AP$1,FALSE)</f>
        <v>0</v>
      </c>
    </row>
    <row r="47" spans="1:56" s="8" customFormat="1" x14ac:dyDescent="0.15">
      <c r="A47">
        <f>地图配置辅助表!A48</f>
        <v>5001</v>
      </c>
      <c r="B47" s="8">
        <f>地图配置辅助表!B48</f>
        <v>1</v>
      </c>
      <c r="C47" s="8">
        <f>地图配置辅助表!C48</f>
        <v>5</v>
      </c>
      <c r="D47" s="9" t="str">
        <f>地图配置辅助表!D48</f>
        <v>双雄之争</v>
      </c>
      <c r="E47" s="8" t="s">
        <v>295</v>
      </c>
      <c r="F47" s="8" t="s">
        <v>0</v>
      </c>
      <c r="G47" s="8">
        <v>29</v>
      </c>
      <c r="H47" s="8">
        <v>200</v>
      </c>
      <c r="I47" s="8">
        <v>140</v>
      </c>
      <c r="J47" s="8">
        <v>200</v>
      </c>
      <c r="K47" s="8">
        <v>140</v>
      </c>
      <c r="L47" s="8" t="s">
        <v>145</v>
      </c>
      <c r="M47" s="8">
        <v>0</v>
      </c>
      <c r="R47" s="8" t="s">
        <v>145</v>
      </c>
      <c r="S47" s="11">
        <f>VLOOKUP($A47,地图配置辅助表!$A$3:$AP$245,地图配置辅助表!E$1,FALSE)</f>
        <v>8</v>
      </c>
      <c r="T47" s="8">
        <f>VLOOKUP($A47,地图配置辅助表!$A$3:$AP$245,地图配置辅助表!F$1,FALSE)</f>
        <v>12287</v>
      </c>
      <c r="U47" s="8">
        <f>VLOOKUP($A47,地图配置辅助表!$A$3:$AP$245,地图配置辅助表!G$1,FALSE)</f>
        <v>1</v>
      </c>
      <c r="V47" s="8">
        <f>VLOOKUP($A47,地图配置辅助表!$A$3:$AP$245,地图配置辅助表!H$1,FALSE)</f>
        <v>1</v>
      </c>
      <c r="W47" s="8">
        <f>VLOOKUP($A47,地图配置辅助表!$A$3:$AP$245,地图配置辅助表!I$1,FALSE)</f>
        <v>0</v>
      </c>
      <c r="X47" s="8">
        <f>VLOOKUP($A47,地图配置辅助表!$A$3:$AP$245,地图配置辅助表!J$1,FALSE)</f>
        <v>0</v>
      </c>
      <c r="Y47" s="8">
        <f>VLOOKUP($A47,地图配置辅助表!$A$3:$AP$245,地图配置辅助表!K$1,FALSE)</f>
        <v>0</v>
      </c>
      <c r="Z47" s="8">
        <f>VLOOKUP($A47,地图配置辅助表!$A$3:$AP$245,地图配置辅助表!L$1,FALSE)</f>
        <v>0</v>
      </c>
      <c r="AA47" s="8">
        <f>VLOOKUP($A47,地图配置辅助表!$A$3:$AP$245,地图配置辅助表!M$1,FALSE)</f>
        <v>2</v>
      </c>
      <c r="AB47">
        <f>VLOOKUP($A47,地图配置辅助表!$A$3:$AP$245,地图配置辅助表!N$1,FALSE)</f>
        <v>1</v>
      </c>
      <c r="AC47" s="8">
        <f>VLOOKUP($A47,地图配置辅助表!$A$3:$AP$245,地图配置辅助表!O$1,FALSE)</f>
        <v>3</v>
      </c>
      <c r="AD47">
        <f>VLOOKUP($A47,地图配置辅助表!$A$3:$AP$245,地图配置辅助表!P$1,FALSE)</f>
        <v>4009</v>
      </c>
      <c r="AE47" s="8">
        <f>VLOOKUP($A47,地图配置辅助表!$A$3:$AP$245,地图配置辅助表!Q$1,FALSE)</f>
        <v>1</v>
      </c>
      <c r="AF47" s="8">
        <f>VLOOKUP($A47,地图配置辅助表!$A$3:$AP$245,地图配置辅助表!R$1,FALSE)</f>
        <v>38</v>
      </c>
      <c r="AG47" s="11">
        <f>VLOOKUP($A47,地图配置辅助表!$A$3:$AP$245,地图配置辅助表!S$1,FALSE)</f>
        <v>505001</v>
      </c>
      <c r="AH47" s="11">
        <f>VLOOKUP($A47,地图配置辅助表!$A$3:$AP$245,地图配置辅助表!T$1,FALSE)</f>
        <v>151104</v>
      </c>
      <c r="AI47" s="8">
        <f>VLOOKUP($A47,地图配置辅助表!$A$3:$AP$245,地图配置辅助表!U$1,FALSE)</f>
        <v>3</v>
      </c>
      <c r="AJ47" s="8">
        <f>VLOOKUP($A47,地图配置辅助表!$A$3:$AP$245,地图配置辅助表!V$1,FALSE)</f>
        <v>151101</v>
      </c>
      <c r="AK47" s="8">
        <f>VLOOKUP($A47,地图配置辅助表!$A$3:$AP$245,地图配置辅助表!W$1,FALSE)</f>
        <v>151102</v>
      </c>
      <c r="AL47" s="8">
        <f>VLOOKUP($A47,地图配置辅助表!$A$3:$AP$245,地图配置辅助表!X$1,FALSE)</f>
        <v>151103</v>
      </c>
      <c r="AM47" s="8">
        <f>VLOOKUP($A47,地图配置辅助表!$A$3:$AP$245,地图配置辅助表!Y$1,FALSE)</f>
        <v>0</v>
      </c>
      <c r="AN47" s="8">
        <f>VLOOKUP($A47,地图配置辅助表!$A$3:$AP$245,地图配置辅助表!Z$1,FALSE)</f>
        <v>0</v>
      </c>
      <c r="AO47" s="8">
        <f>VLOOKUP($A47,地图配置辅助表!$A$3:$AP$245,地图配置辅助表!AA$1,FALSE)</f>
        <v>0</v>
      </c>
      <c r="AP47" s="8">
        <f>VLOOKUP($A47,地图配置辅助表!$A$3:$AP$245,地图配置辅助表!AB$1,FALSE)</f>
        <v>0</v>
      </c>
      <c r="AQ47" s="8">
        <f>VLOOKUP($A47,地图配置辅助表!$A$3:$AP$245,地图配置辅助表!AC$1,FALSE)</f>
        <v>0</v>
      </c>
      <c r="AR47" s="8">
        <f>VLOOKUP($A47,地图配置辅助表!$A$3:$AP$245,地图配置辅助表!AD$1,FALSE)</f>
        <v>0</v>
      </c>
      <c r="AS47" s="8">
        <f>VLOOKUP($A47,地图配置辅助表!$A$3:$AP$245,地图配置辅助表!AE$1,FALSE)</f>
        <v>0</v>
      </c>
      <c r="AT47" s="8">
        <f>VLOOKUP($A47,地图配置辅助表!$A$3:$AP$245,地图配置辅助表!AF$1,FALSE)</f>
        <v>4</v>
      </c>
      <c r="AU47" s="8">
        <f>VLOOKUP($A47,地图配置辅助表!$A$3:$AP$245,地图配置辅助表!AG$1,FALSE)</f>
        <v>137</v>
      </c>
      <c r="AV47" s="8">
        <f>VLOOKUP($A47,地图配置辅助表!$A$3:$AP$245,地图配置辅助表!AH$1,FALSE)</f>
        <v>138</v>
      </c>
      <c r="AW47" s="8">
        <f>VLOOKUP($A47,地图配置辅助表!$A$3:$AP$245,地图配置辅助表!AI$1,FALSE)</f>
        <v>139</v>
      </c>
      <c r="AX47" s="8">
        <f>VLOOKUP($A47,地图配置辅助表!$A$3:$AP$245,地图配置辅助表!AJ$1,FALSE)</f>
        <v>153</v>
      </c>
      <c r="AY47" s="8">
        <f>VLOOKUP($A47,地图配置辅助表!$A$3:$AP$245,地图配置辅助表!AK$1,FALSE)</f>
        <v>0</v>
      </c>
      <c r="AZ47" s="8">
        <f>VLOOKUP($A47,地图配置辅助表!$A$3:$AP$245,地图配置辅助表!AL$1,FALSE)</f>
        <v>0</v>
      </c>
      <c r="BA47" s="8">
        <f>VLOOKUP($A47,地图配置辅助表!$A$3:$AP$245,地图配置辅助表!AM$1,FALSE)</f>
        <v>0</v>
      </c>
      <c r="BB47" s="8">
        <f>VLOOKUP($A47,地图配置辅助表!$A$3:$AP$245,地图配置辅助表!AN$1,FALSE)</f>
        <v>0</v>
      </c>
      <c r="BC47" s="8">
        <f>VLOOKUP($A47,地图配置辅助表!$A$3:$AP$245,地图配置辅助表!AO$1,FALSE)</f>
        <v>0</v>
      </c>
      <c r="BD47" s="8">
        <f>VLOOKUP($A47,地图配置辅助表!$A$3:$AP$245,地图配置辅助表!AP$1,FALSE)</f>
        <v>0</v>
      </c>
    </row>
    <row r="48" spans="1:56" s="8" customFormat="1" x14ac:dyDescent="0.15">
      <c r="A48">
        <f>地图配置辅助表!A49</f>
        <v>5002</v>
      </c>
      <c r="B48" s="8">
        <f>地图配置辅助表!B49</f>
        <v>1</v>
      </c>
      <c r="C48" s="8">
        <f>地图配置辅助表!C49</f>
        <v>5</v>
      </c>
      <c r="D48" s="9" t="str">
        <f>地图配置辅助表!D49</f>
        <v>守卫赌船</v>
      </c>
      <c r="E48" s="8" t="s">
        <v>296</v>
      </c>
      <c r="F48" s="8" t="s">
        <v>0</v>
      </c>
      <c r="G48" s="8">
        <v>29</v>
      </c>
      <c r="H48" s="8">
        <v>200</v>
      </c>
      <c r="I48" s="8">
        <v>140</v>
      </c>
      <c r="J48" s="8">
        <v>200</v>
      </c>
      <c r="K48" s="8">
        <v>140</v>
      </c>
      <c r="L48" s="8" t="s">
        <v>146</v>
      </c>
      <c r="M48" s="8">
        <v>0</v>
      </c>
      <c r="R48" s="8" t="s">
        <v>146</v>
      </c>
      <c r="S48" s="11">
        <f>VLOOKUP($A48,地图配置辅助表!$A$3:$AP$245,地图配置辅助表!E$1,FALSE)</f>
        <v>8</v>
      </c>
      <c r="T48" s="8">
        <f>VLOOKUP($A48,地图配置辅助表!$A$3:$AP$245,地图配置辅助表!F$1,FALSE)</f>
        <v>13389</v>
      </c>
      <c r="U48" s="8">
        <f>VLOOKUP($A48,地图配置辅助表!$A$3:$AP$245,地图配置辅助表!G$1,FALSE)</f>
        <v>1</v>
      </c>
      <c r="V48" s="8">
        <f>VLOOKUP($A48,地图配置辅助表!$A$3:$AP$245,地图配置辅助表!H$1,FALSE)</f>
        <v>1</v>
      </c>
      <c r="W48" s="8">
        <f>VLOOKUP($A48,地图配置辅助表!$A$3:$AP$245,地图配置辅助表!I$1,FALSE)</f>
        <v>0</v>
      </c>
      <c r="X48" s="8">
        <f>VLOOKUP($A48,地图配置辅助表!$A$3:$AP$245,地图配置辅助表!J$1,FALSE)</f>
        <v>0</v>
      </c>
      <c r="Y48" s="8">
        <f>VLOOKUP($A48,地图配置辅助表!$A$3:$AP$245,地图配置辅助表!K$1,FALSE)</f>
        <v>0</v>
      </c>
      <c r="Z48" s="8">
        <f>VLOOKUP($A48,地图配置辅助表!$A$3:$AP$245,地图配置辅助表!L$1,FALSE)</f>
        <v>0</v>
      </c>
      <c r="AA48" s="8">
        <f>VLOOKUP($A48,地图配置辅助表!$A$3:$AP$245,地图配置辅助表!M$1,FALSE)</f>
        <v>2</v>
      </c>
      <c r="AB48">
        <f>VLOOKUP($A48,地图配置辅助表!$A$3:$AP$245,地图配置辅助表!N$1,FALSE)</f>
        <v>1</v>
      </c>
      <c r="AC48" s="8">
        <f>VLOOKUP($A48,地图配置辅助表!$A$3:$AP$245,地图配置辅助表!O$1,FALSE)</f>
        <v>3</v>
      </c>
      <c r="AD48">
        <f>VLOOKUP($A48,地图配置辅助表!$A$3:$AP$245,地图配置辅助表!P$1,FALSE)</f>
        <v>5001</v>
      </c>
      <c r="AE48" s="8">
        <f>VLOOKUP($A48,地图配置辅助表!$A$3:$AP$245,地图配置辅助表!Q$1,FALSE)</f>
        <v>1</v>
      </c>
      <c r="AF48" s="8">
        <f>VLOOKUP($A48,地图配置辅助表!$A$3:$AP$245,地图配置辅助表!R$1,FALSE)</f>
        <v>38</v>
      </c>
      <c r="AG48" s="11">
        <f>VLOOKUP($A48,地图配置辅助表!$A$3:$AP$245,地图配置辅助表!S$1,FALSE)</f>
        <v>505002</v>
      </c>
      <c r="AH48" s="11">
        <f>VLOOKUP($A48,地图配置辅助表!$A$3:$AP$245,地图配置辅助表!T$1,FALSE)</f>
        <v>152104</v>
      </c>
      <c r="AI48" s="8">
        <f>VLOOKUP($A48,地图配置辅助表!$A$3:$AP$245,地图配置辅助表!U$1,FALSE)</f>
        <v>3</v>
      </c>
      <c r="AJ48" s="8">
        <f>VLOOKUP($A48,地图配置辅助表!$A$3:$AP$245,地图配置辅助表!V$1,FALSE)</f>
        <v>152101</v>
      </c>
      <c r="AK48" s="8">
        <f>VLOOKUP($A48,地图配置辅助表!$A$3:$AP$245,地图配置辅助表!W$1,FALSE)</f>
        <v>152102</v>
      </c>
      <c r="AL48" s="8">
        <f>VLOOKUP($A48,地图配置辅助表!$A$3:$AP$245,地图配置辅助表!X$1,FALSE)</f>
        <v>152103</v>
      </c>
      <c r="AM48" s="8">
        <f>VLOOKUP($A48,地图配置辅助表!$A$3:$AP$245,地图配置辅助表!Y$1,FALSE)</f>
        <v>0</v>
      </c>
      <c r="AN48" s="8">
        <f>VLOOKUP($A48,地图配置辅助表!$A$3:$AP$245,地图配置辅助表!Z$1,FALSE)</f>
        <v>0</v>
      </c>
      <c r="AO48" s="8">
        <f>VLOOKUP($A48,地图配置辅助表!$A$3:$AP$245,地图配置辅助表!AA$1,FALSE)</f>
        <v>0</v>
      </c>
      <c r="AP48" s="8">
        <f>VLOOKUP($A48,地图配置辅助表!$A$3:$AP$245,地图配置辅助表!AB$1,FALSE)</f>
        <v>0</v>
      </c>
      <c r="AQ48" s="8">
        <f>VLOOKUP($A48,地图配置辅助表!$A$3:$AP$245,地图配置辅助表!AC$1,FALSE)</f>
        <v>0</v>
      </c>
      <c r="AR48" s="8">
        <f>VLOOKUP($A48,地图配置辅助表!$A$3:$AP$245,地图配置辅助表!AD$1,FALSE)</f>
        <v>0</v>
      </c>
      <c r="AS48" s="8">
        <f>VLOOKUP($A48,地图配置辅助表!$A$3:$AP$245,地图配置辅助表!AE$1,FALSE)</f>
        <v>0</v>
      </c>
      <c r="AT48" s="8">
        <f>VLOOKUP($A48,地图配置辅助表!$A$3:$AP$245,地图配置辅助表!AF$1,FALSE)</f>
        <v>4</v>
      </c>
      <c r="AU48" s="8">
        <f>VLOOKUP($A48,地图配置辅助表!$A$3:$AP$245,地图配置辅助表!AG$1,FALSE)</f>
        <v>163</v>
      </c>
      <c r="AV48" s="8">
        <f>VLOOKUP($A48,地图配置辅助表!$A$3:$AP$245,地图配置辅助表!AH$1,FALSE)</f>
        <v>164</v>
      </c>
      <c r="AW48" s="8">
        <f>VLOOKUP($A48,地图配置辅助表!$A$3:$AP$245,地图配置辅助表!AI$1,FALSE)</f>
        <v>165</v>
      </c>
      <c r="AX48" s="8">
        <f>VLOOKUP($A48,地图配置辅助表!$A$3:$AP$245,地图配置辅助表!AJ$1,FALSE)</f>
        <v>166</v>
      </c>
      <c r="AY48" s="8">
        <f>VLOOKUP($A48,地图配置辅助表!$A$3:$AP$245,地图配置辅助表!AK$1,FALSE)</f>
        <v>0</v>
      </c>
      <c r="AZ48" s="8">
        <f>VLOOKUP($A48,地图配置辅助表!$A$3:$AP$245,地图配置辅助表!AL$1,FALSE)</f>
        <v>0</v>
      </c>
      <c r="BA48" s="8">
        <f>VLOOKUP($A48,地图配置辅助表!$A$3:$AP$245,地图配置辅助表!AM$1,FALSE)</f>
        <v>0</v>
      </c>
      <c r="BB48" s="8">
        <f>VLOOKUP($A48,地图配置辅助表!$A$3:$AP$245,地图配置辅助表!AN$1,FALSE)</f>
        <v>0</v>
      </c>
      <c r="BC48" s="8">
        <f>VLOOKUP($A48,地图配置辅助表!$A$3:$AP$245,地图配置辅助表!AO$1,FALSE)</f>
        <v>0</v>
      </c>
      <c r="BD48" s="8">
        <f>VLOOKUP($A48,地图配置辅助表!$A$3:$AP$245,地图配置辅助表!AP$1,FALSE)</f>
        <v>0</v>
      </c>
    </row>
    <row r="49" spans="1:56" s="8" customFormat="1" x14ac:dyDescent="0.15">
      <c r="A49">
        <f>地图配置辅助表!A50</f>
        <v>5003</v>
      </c>
      <c r="B49" s="8">
        <f>地图配置辅助表!B50</f>
        <v>1</v>
      </c>
      <c r="C49" s="8">
        <f>地图配置辅助表!C50</f>
        <v>5</v>
      </c>
      <c r="D49" s="9" t="str">
        <f>地图配置辅助表!D50</f>
        <v>正面冲突</v>
      </c>
      <c r="E49" s="8" t="s">
        <v>297</v>
      </c>
      <c r="F49" s="8" t="s">
        <v>0</v>
      </c>
      <c r="G49" s="8">
        <v>29</v>
      </c>
      <c r="H49" s="8">
        <v>200</v>
      </c>
      <c r="I49" s="8">
        <v>140</v>
      </c>
      <c r="J49" s="8">
        <v>200</v>
      </c>
      <c r="K49" s="8">
        <v>140</v>
      </c>
      <c r="L49" s="8" t="s">
        <v>147</v>
      </c>
      <c r="M49" s="8">
        <v>0</v>
      </c>
      <c r="R49" s="8" t="s">
        <v>147</v>
      </c>
      <c r="S49" s="11">
        <f>VLOOKUP($A49,地图配置辅助表!$A$3:$AP$245,地图配置辅助表!E$1,FALSE)</f>
        <v>8</v>
      </c>
      <c r="T49" s="8">
        <f>VLOOKUP($A49,地图配置辅助表!$A$3:$AP$245,地图配置辅助表!F$1,FALSE)</f>
        <v>14689</v>
      </c>
      <c r="U49" s="8">
        <f>VLOOKUP($A49,地图配置辅助表!$A$3:$AP$245,地图配置辅助表!G$1,FALSE)</f>
        <v>1</v>
      </c>
      <c r="V49" s="8">
        <f>VLOOKUP($A49,地图配置辅助表!$A$3:$AP$245,地图配置辅助表!H$1,FALSE)</f>
        <v>1</v>
      </c>
      <c r="W49" s="8">
        <f>VLOOKUP($A49,地图配置辅助表!$A$3:$AP$245,地图配置辅助表!I$1,FALSE)</f>
        <v>0</v>
      </c>
      <c r="X49" s="8">
        <f>VLOOKUP($A49,地图配置辅助表!$A$3:$AP$245,地图配置辅助表!J$1,FALSE)</f>
        <v>0</v>
      </c>
      <c r="Y49" s="8">
        <f>VLOOKUP($A49,地图配置辅助表!$A$3:$AP$245,地图配置辅助表!K$1,FALSE)</f>
        <v>0</v>
      </c>
      <c r="Z49" s="8">
        <f>VLOOKUP($A49,地图配置辅助表!$A$3:$AP$245,地图配置辅助表!L$1,FALSE)</f>
        <v>0</v>
      </c>
      <c r="AA49" s="8">
        <f>VLOOKUP($A49,地图配置辅助表!$A$3:$AP$245,地图配置辅助表!M$1,FALSE)</f>
        <v>2</v>
      </c>
      <c r="AB49">
        <f>VLOOKUP($A49,地图配置辅助表!$A$3:$AP$245,地图配置辅助表!N$1,FALSE)</f>
        <v>1</v>
      </c>
      <c r="AC49" s="8">
        <f>VLOOKUP($A49,地图配置辅助表!$A$3:$AP$245,地图配置辅助表!O$1,FALSE)</f>
        <v>3</v>
      </c>
      <c r="AD49">
        <f>VLOOKUP($A49,地图配置辅助表!$A$3:$AP$245,地图配置辅助表!P$1,FALSE)</f>
        <v>5002</v>
      </c>
      <c r="AE49" s="8">
        <f>VLOOKUP($A49,地图配置辅助表!$A$3:$AP$245,地图配置辅助表!Q$1,FALSE)</f>
        <v>1</v>
      </c>
      <c r="AF49" s="8">
        <f>VLOOKUP($A49,地图配置辅助表!$A$3:$AP$245,地图配置辅助表!R$1,FALSE)</f>
        <v>38</v>
      </c>
      <c r="AG49" s="11">
        <f>VLOOKUP($A49,地图配置辅助表!$A$3:$AP$245,地图配置辅助表!S$1,FALSE)</f>
        <v>505003</v>
      </c>
      <c r="AH49" s="11">
        <f>VLOOKUP($A49,地图配置辅助表!$A$3:$AP$245,地图配置辅助表!T$1,FALSE)</f>
        <v>153104</v>
      </c>
      <c r="AI49" s="8">
        <f>VLOOKUP($A49,地图配置辅助表!$A$3:$AP$245,地图配置辅助表!U$1,FALSE)</f>
        <v>3</v>
      </c>
      <c r="AJ49" s="8">
        <f>VLOOKUP($A49,地图配置辅助表!$A$3:$AP$245,地图配置辅助表!V$1,FALSE)</f>
        <v>153101</v>
      </c>
      <c r="AK49" s="8">
        <f>VLOOKUP($A49,地图配置辅助表!$A$3:$AP$245,地图配置辅助表!W$1,FALSE)</f>
        <v>153102</v>
      </c>
      <c r="AL49" s="8">
        <f>VLOOKUP($A49,地图配置辅助表!$A$3:$AP$245,地图配置辅助表!X$1,FALSE)</f>
        <v>153103</v>
      </c>
      <c r="AM49" s="8">
        <f>VLOOKUP($A49,地图配置辅助表!$A$3:$AP$245,地图配置辅助表!Y$1,FALSE)</f>
        <v>0</v>
      </c>
      <c r="AN49" s="8">
        <f>VLOOKUP($A49,地图配置辅助表!$A$3:$AP$245,地图配置辅助表!Z$1,FALSE)</f>
        <v>0</v>
      </c>
      <c r="AO49" s="8">
        <f>VLOOKUP($A49,地图配置辅助表!$A$3:$AP$245,地图配置辅助表!AA$1,FALSE)</f>
        <v>0</v>
      </c>
      <c r="AP49" s="8">
        <f>VLOOKUP($A49,地图配置辅助表!$A$3:$AP$245,地图配置辅助表!AB$1,FALSE)</f>
        <v>0</v>
      </c>
      <c r="AQ49" s="8">
        <f>VLOOKUP($A49,地图配置辅助表!$A$3:$AP$245,地图配置辅助表!AC$1,FALSE)</f>
        <v>0</v>
      </c>
      <c r="AR49" s="8">
        <f>VLOOKUP($A49,地图配置辅助表!$A$3:$AP$245,地图配置辅助表!AD$1,FALSE)</f>
        <v>0</v>
      </c>
      <c r="AS49" s="8">
        <f>VLOOKUP($A49,地图配置辅助表!$A$3:$AP$245,地图配置辅助表!AE$1,FALSE)</f>
        <v>0</v>
      </c>
      <c r="AT49" s="8">
        <f>VLOOKUP($A49,地图配置辅助表!$A$3:$AP$245,地图配置辅助表!AF$1,FALSE)</f>
        <v>4</v>
      </c>
      <c r="AU49" s="8">
        <f>VLOOKUP($A49,地图配置辅助表!$A$3:$AP$245,地图配置辅助表!AG$1,FALSE)</f>
        <v>108</v>
      </c>
      <c r="AV49" s="8">
        <f>VLOOKUP($A49,地图配置辅助表!$A$3:$AP$245,地图配置辅助表!AH$1,FALSE)</f>
        <v>109</v>
      </c>
      <c r="AW49" s="8">
        <f>VLOOKUP($A49,地图配置辅助表!$A$3:$AP$245,地图配置辅助表!AI$1,FALSE)</f>
        <v>110</v>
      </c>
      <c r="AX49" s="8">
        <f>VLOOKUP($A49,地图配置辅助表!$A$3:$AP$245,地图配置辅助表!AJ$1,FALSE)</f>
        <v>111</v>
      </c>
      <c r="AY49" s="8">
        <f>VLOOKUP($A49,地图配置辅助表!$A$3:$AP$245,地图配置辅助表!AK$1,FALSE)</f>
        <v>0</v>
      </c>
      <c r="AZ49" s="8">
        <f>VLOOKUP($A49,地图配置辅助表!$A$3:$AP$245,地图配置辅助表!AL$1,FALSE)</f>
        <v>0</v>
      </c>
      <c r="BA49" s="8">
        <f>VLOOKUP($A49,地图配置辅助表!$A$3:$AP$245,地图配置辅助表!AM$1,FALSE)</f>
        <v>0</v>
      </c>
      <c r="BB49" s="8">
        <f>VLOOKUP($A49,地图配置辅助表!$A$3:$AP$245,地图配置辅助表!AN$1,FALSE)</f>
        <v>0</v>
      </c>
      <c r="BC49" s="8">
        <f>VLOOKUP($A49,地图配置辅助表!$A$3:$AP$245,地图配置辅助表!AO$1,FALSE)</f>
        <v>0</v>
      </c>
      <c r="BD49" s="8">
        <f>VLOOKUP($A49,地图配置辅助表!$A$3:$AP$245,地图配置辅助表!AP$1,FALSE)</f>
        <v>0</v>
      </c>
    </row>
    <row r="50" spans="1:56" s="8" customFormat="1" x14ac:dyDescent="0.15">
      <c r="A50">
        <f>地图配置辅助表!A51</f>
        <v>5004</v>
      </c>
      <c r="B50" s="8">
        <f>地图配置辅助表!B51</f>
        <v>1</v>
      </c>
      <c r="C50" s="8">
        <f>地图配置辅助表!C51</f>
        <v>5</v>
      </c>
      <c r="D50" s="9" t="str">
        <f>地图配置辅助表!D51</f>
        <v>冲突升级</v>
      </c>
      <c r="E50" s="8" t="s">
        <v>298</v>
      </c>
      <c r="F50" s="8" t="s">
        <v>0</v>
      </c>
      <c r="G50" s="8">
        <v>29</v>
      </c>
      <c r="H50" s="8">
        <v>200</v>
      </c>
      <c r="I50" s="8">
        <v>140</v>
      </c>
      <c r="J50" s="8">
        <v>200</v>
      </c>
      <c r="K50" s="8">
        <v>140</v>
      </c>
      <c r="L50" s="8" t="s">
        <v>148</v>
      </c>
      <c r="M50" s="8">
        <v>0</v>
      </c>
      <c r="R50" s="8" t="s">
        <v>148</v>
      </c>
      <c r="S50" s="11">
        <f>VLOOKUP($A50,地图配置辅助表!$A$3:$AP$245,地图配置辅助表!E$1,FALSE)</f>
        <v>8</v>
      </c>
      <c r="T50" s="8">
        <f>VLOOKUP($A50,地图配置辅助表!$A$3:$AP$245,地图配置辅助表!F$1,FALSE)</f>
        <v>16067</v>
      </c>
      <c r="U50" s="8">
        <f>VLOOKUP($A50,地图配置辅助表!$A$3:$AP$245,地图配置辅助表!G$1,FALSE)</f>
        <v>1</v>
      </c>
      <c r="V50" s="8">
        <f>VLOOKUP($A50,地图配置辅助表!$A$3:$AP$245,地图配置辅助表!H$1,FALSE)</f>
        <v>1</v>
      </c>
      <c r="W50" s="8">
        <f>VLOOKUP($A50,地图配置辅助表!$A$3:$AP$245,地图配置辅助表!I$1,FALSE)</f>
        <v>0</v>
      </c>
      <c r="X50" s="8">
        <f>VLOOKUP($A50,地图配置辅助表!$A$3:$AP$245,地图配置辅助表!J$1,FALSE)</f>
        <v>0</v>
      </c>
      <c r="Y50" s="8">
        <f>VLOOKUP($A50,地图配置辅助表!$A$3:$AP$245,地图配置辅助表!K$1,FALSE)</f>
        <v>0</v>
      </c>
      <c r="Z50" s="8">
        <f>VLOOKUP($A50,地图配置辅助表!$A$3:$AP$245,地图配置辅助表!L$1,FALSE)</f>
        <v>0</v>
      </c>
      <c r="AA50" s="8">
        <f>VLOOKUP($A50,地图配置辅助表!$A$3:$AP$245,地图配置辅助表!M$1,FALSE)</f>
        <v>2</v>
      </c>
      <c r="AB50">
        <f>VLOOKUP($A50,地图配置辅助表!$A$3:$AP$245,地图配置辅助表!N$1,FALSE)</f>
        <v>1</v>
      </c>
      <c r="AC50" s="8">
        <f>VLOOKUP($A50,地图配置辅助表!$A$3:$AP$245,地图配置辅助表!O$1,FALSE)</f>
        <v>3</v>
      </c>
      <c r="AD50">
        <f>VLOOKUP($A50,地图配置辅助表!$A$3:$AP$245,地图配置辅助表!P$1,FALSE)</f>
        <v>5003</v>
      </c>
      <c r="AE50" s="8">
        <f>VLOOKUP($A50,地图配置辅助表!$A$3:$AP$245,地图配置辅助表!Q$1,FALSE)</f>
        <v>1</v>
      </c>
      <c r="AF50" s="8">
        <f>VLOOKUP($A50,地图配置辅助表!$A$3:$AP$245,地图配置辅助表!R$1,FALSE)</f>
        <v>38</v>
      </c>
      <c r="AG50" s="11">
        <f>VLOOKUP($A50,地图配置辅助表!$A$3:$AP$245,地图配置辅助表!S$1,FALSE)</f>
        <v>505004</v>
      </c>
      <c r="AH50" s="11">
        <f>VLOOKUP($A50,地图配置辅助表!$A$3:$AP$245,地图配置辅助表!T$1,FALSE)</f>
        <v>154104</v>
      </c>
      <c r="AI50" s="8">
        <f>VLOOKUP($A50,地图配置辅助表!$A$3:$AP$245,地图配置辅助表!U$1,FALSE)</f>
        <v>3</v>
      </c>
      <c r="AJ50" s="8">
        <f>VLOOKUP($A50,地图配置辅助表!$A$3:$AP$245,地图配置辅助表!V$1,FALSE)</f>
        <v>154101</v>
      </c>
      <c r="AK50" s="8">
        <f>VLOOKUP($A50,地图配置辅助表!$A$3:$AP$245,地图配置辅助表!W$1,FALSE)</f>
        <v>154102</v>
      </c>
      <c r="AL50" s="8">
        <f>VLOOKUP($A50,地图配置辅助表!$A$3:$AP$245,地图配置辅助表!X$1,FALSE)</f>
        <v>154103</v>
      </c>
      <c r="AM50" s="8">
        <f>VLOOKUP($A50,地图配置辅助表!$A$3:$AP$245,地图配置辅助表!Y$1,FALSE)</f>
        <v>0</v>
      </c>
      <c r="AN50" s="8">
        <f>VLOOKUP($A50,地图配置辅助表!$A$3:$AP$245,地图配置辅助表!Z$1,FALSE)</f>
        <v>0</v>
      </c>
      <c r="AO50" s="8">
        <f>VLOOKUP($A50,地图配置辅助表!$A$3:$AP$245,地图配置辅助表!AA$1,FALSE)</f>
        <v>0</v>
      </c>
      <c r="AP50" s="8">
        <f>VLOOKUP($A50,地图配置辅助表!$A$3:$AP$245,地图配置辅助表!AB$1,FALSE)</f>
        <v>0</v>
      </c>
      <c r="AQ50" s="8">
        <f>VLOOKUP($A50,地图配置辅助表!$A$3:$AP$245,地图配置辅助表!AC$1,FALSE)</f>
        <v>0</v>
      </c>
      <c r="AR50" s="8">
        <f>VLOOKUP($A50,地图配置辅助表!$A$3:$AP$245,地图配置辅助表!AD$1,FALSE)</f>
        <v>0</v>
      </c>
      <c r="AS50" s="8">
        <f>VLOOKUP($A50,地图配置辅助表!$A$3:$AP$245,地图配置辅助表!AE$1,FALSE)</f>
        <v>0</v>
      </c>
      <c r="AT50" s="8">
        <f>VLOOKUP($A50,地图配置辅助表!$A$3:$AP$245,地图配置辅助表!AF$1,FALSE)</f>
        <v>4</v>
      </c>
      <c r="AU50" s="8">
        <f>VLOOKUP($A50,地图配置辅助表!$A$3:$AP$245,地图配置辅助表!AG$1,FALSE)</f>
        <v>121</v>
      </c>
      <c r="AV50" s="8">
        <f>VLOOKUP($A50,地图配置辅助表!$A$3:$AP$245,地图配置辅助表!AH$1,FALSE)</f>
        <v>122</v>
      </c>
      <c r="AW50" s="8">
        <f>VLOOKUP($A50,地图配置辅助表!$A$3:$AP$245,地图配置辅助表!AI$1,FALSE)</f>
        <v>123</v>
      </c>
      <c r="AX50" s="8">
        <f>VLOOKUP($A50,地图配置辅助表!$A$3:$AP$245,地图配置辅助表!AJ$1,FALSE)</f>
        <v>124</v>
      </c>
      <c r="AY50" s="8">
        <f>VLOOKUP($A50,地图配置辅助表!$A$3:$AP$245,地图配置辅助表!AK$1,FALSE)</f>
        <v>0</v>
      </c>
      <c r="AZ50" s="8">
        <f>VLOOKUP($A50,地图配置辅助表!$A$3:$AP$245,地图配置辅助表!AL$1,FALSE)</f>
        <v>0</v>
      </c>
      <c r="BA50" s="8">
        <f>VLOOKUP($A50,地图配置辅助表!$A$3:$AP$245,地图配置辅助表!AM$1,FALSE)</f>
        <v>0</v>
      </c>
      <c r="BB50" s="8">
        <f>VLOOKUP($A50,地图配置辅助表!$A$3:$AP$245,地图配置辅助表!AN$1,FALSE)</f>
        <v>0</v>
      </c>
      <c r="BC50" s="8">
        <f>VLOOKUP($A50,地图配置辅助表!$A$3:$AP$245,地图配置辅助表!AO$1,FALSE)</f>
        <v>0</v>
      </c>
      <c r="BD50" s="8">
        <f>VLOOKUP($A50,地图配置辅助表!$A$3:$AP$245,地图配置辅助表!AP$1,FALSE)</f>
        <v>0</v>
      </c>
    </row>
    <row r="51" spans="1:56" s="8" customFormat="1" x14ac:dyDescent="0.15">
      <c r="A51">
        <f>地图配置辅助表!A52</f>
        <v>5005</v>
      </c>
      <c r="B51" s="8">
        <f>地图配置辅助表!B52</f>
        <v>1</v>
      </c>
      <c r="C51" s="8">
        <f>地图配置辅助表!C52</f>
        <v>5</v>
      </c>
      <c r="D51" s="9" t="str">
        <f>地图配置辅助表!D52</f>
        <v>缉拿长毛</v>
      </c>
      <c r="E51" s="8" t="s">
        <v>299</v>
      </c>
      <c r="F51" s="8" t="s">
        <v>0</v>
      </c>
      <c r="G51" s="8">
        <v>29</v>
      </c>
      <c r="H51" s="8">
        <v>200</v>
      </c>
      <c r="I51" s="8">
        <v>140</v>
      </c>
      <c r="J51" s="8">
        <v>200</v>
      </c>
      <c r="K51" s="8">
        <v>140</v>
      </c>
      <c r="L51" s="8" t="s">
        <v>149</v>
      </c>
      <c r="M51" s="8">
        <v>0</v>
      </c>
      <c r="R51" s="8" t="s">
        <v>149</v>
      </c>
      <c r="S51" s="11">
        <f>VLOOKUP($A51,地图配置辅助表!$A$3:$AP$245,地图配置辅助表!E$1,FALSE)</f>
        <v>8</v>
      </c>
      <c r="T51" s="8">
        <f>VLOOKUP($A51,地图配置辅助表!$A$3:$AP$245,地图配置辅助表!F$1,FALSE)</f>
        <v>17558</v>
      </c>
      <c r="U51" s="8">
        <f>VLOOKUP($A51,地图配置辅助表!$A$3:$AP$245,地图配置辅助表!G$1,FALSE)</f>
        <v>1</v>
      </c>
      <c r="V51" s="8">
        <f>VLOOKUP($A51,地图配置辅助表!$A$3:$AP$245,地图配置辅助表!H$1,FALSE)</f>
        <v>1</v>
      </c>
      <c r="W51" s="8">
        <f>VLOOKUP($A51,地图配置辅助表!$A$3:$AP$245,地图配置辅助表!I$1,FALSE)</f>
        <v>0</v>
      </c>
      <c r="X51" s="8">
        <f>VLOOKUP($A51,地图配置辅助表!$A$3:$AP$245,地图配置辅助表!J$1,FALSE)</f>
        <v>0</v>
      </c>
      <c r="Y51" s="8">
        <f>VLOOKUP($A51,地图配置辅助表!$A$3:$AP$245,地图配置辅助表!K$1,FALSE)</f>
        <v>0</v>
      </c>
      <c r="Z51" s="8">
        <f>VLOOKUP($A51,地图配置辅助表!$A$3:$AP$245,地图配置辅助表!L$1,FALSE)</f>
        <v>0</v>
      </c>
      <c r="AA51" s="8">
        <f>VLOOKUP($A51,地图配置辅助表!$A$3:$AP$245,地图配置辅助表!M$1,FALSE)</f>
        <v>2</v>
      </c>
      <c r="AB51">
        <f>VLOOKUP($A51,地图配置辅助表!$A$3:$AP$245,地图配置辅助表!N$1,FALSE)</f>
        <v>1</v>
      </c>
      <c r="AC51" s="8">
        <f>VLOOKUP($A51,地图配置辅助表!$A$3:$AP$245,地图配置辅助表!O$1,FALSE)</f>
        <v>3</v>
      </c>
      <c r="AD51">
        <f>VLOOKUP($A51,地图配置辅助表!$A$3:$AP$245,地图配置辅助表!P$1,FALSE)</f>
        <v>5004</v>
      </c>
      <c r="AE51" s="8">
        <f>VLOOKUP($A51,地图配置辅助表!$A$3:$AP$245,地图配置辅助表!Q$1,FALSE)</f>
        <v>1</v>
      </c>
      <c r="AF51" s="8">
        <f>VLOOKUP($A51,地图配置辅助表!$A$3:$AP$245,地图配置辅助表!R$1,FALSE)</f>
        <v>38</v>
      </c>
      <c r="AG51" s="11">
        <f>VLOOKUP($A51,地图配置辅助表!$A$3:$AP$245,地图配置辅助表!S$1,FALSE)</f>
        <v>505005</v>
      </c>
      <c r="AH51" s="11">
        <f>VLOOKUP($A51,地图配置辅助表!$A$3:$AP$245,地图配置辅助表!T$1,FALSE)</f>
        <v>155104</v>
      </c>
      <c r="AI51" s="8">
        <f>VLOOKUP($A51,地图配置辅助表!$A$3:$AP$245,地图配置辅助表!U$1,FALSE)</f>
        <v>3</v>
      </c>
      <c r="AJ51" s="8">
        <f>VLOOKUP($A51,地图配置辅助表!$A$3:$AP$245,地图配置辅助表!V$1,FALSE)</f>
        <v>155101</v>
      </c>
      <c r="AK51" s="8">
        <f>VLOOKUP($A51,地图配置辅助表!$A$3:$AP$245,地图配置辅助表!W$1,FALSE)</f>
        <v>155102</v>
      </c>
      <c r="AL51" s="8">
        <f>VLOOKUP($A51,地图配置辅助表!$A$3:$AP$245,地图配置辅助表!X$1,FALSE)</f>
        <v>155103</v>
      </c>
      <c r="AM51" s="8">
        <f>VLOOKUP($A51,地图配置辅助表!$A$3:$AP$245,地图配置辅助表!Y$1,FALSE)</f>
        <v>0</v>
      </c>
      <c r="AN51" s="8">
        <f>VLOOKUP($A51,地图配置辅助表!$A$3:$AP$245,地图配置辅助表!Z$1,FALSE)</f>
        <v>0</v>
      </c>
      <c r="AO51" s="8">
        <f>VLOOKUP($A51,地图配置辅助表!$A$3:$AP$245,地图配置辅助表!AA$1,FALSE)</f>
        <v>0</v>
      </c>
      <c r="AP51" s="8">
        <f>VLOOKUP($A51,地图配置辅助表!$A$3:$AP$245,地图配置辅助表!AB$1,FALSE)</f>
        <v>0</v>
      </c>
      <c r="AQ51" s="8">
        <f>VLOOKUP($A51,地图配置辅助表!$A$3:$AP$245,地图配置辅助表!AC$1,FALSE)</f>
        <v>0</v>
      </c>
      <c r="AR51" s="8">
        <f>VLOOKUP($A51,地图配置辅助表!$A$3:$AP$245,地图配置辅助表!AD$1,FALSE)</f>
        <v>0</v>
      </c>
      <c r="AS51" s="8">
        <f>VLOOKUP($A51,地图配置辅助表!$A$3:$AP$245,地图配置辅助表!AE$1,FALSE)</f>
        <v>0</v>
      </c>
      <c r="AT51" s="8">
        <f>VLOOKUP($A51,地图配置辅助表!$A$3:$AP$245,地图配置辅助表!AF$1,FALSE)</f>
        <v>4</v>
      </c>
      <c r="AU51" s="8">
        <f>VLOOKUP($A51,地图配置辅助表!$A$3:$AP$245,地图配置辅助表!AG$1,FALSE)</f>
        <v>155</v>
      </c>
      <c r="AV51" s="8">
        <f>VLOOKUP($A51,地图配置辅助表!$A$3:$AP$245,地图配置辅助表!AH$1,FALSE)</f>
        <v>156</v>
      </c>
      <c r="AW51" s="8">
        <f>VLOOKUP($A51,地图配置辅助表!$A$3:$AP$245,地图配置辅助表!AI$1,FALSE)</f>
        <v>157</v>
      </c>
      <c r="AX51" s="8">
        <f>VLOOKUP($A51,地图配置辅助表!$A$3:$AP$245,地图配置辅助表!AJ$1,FALSE)</f>
        <v>158</v>
      </c>
      <c r="AY51" s="8">
        <f>VLOOKUP($A51,地图配置辅助表!$A$3:$AP$245,地图配置辅助表!AK$1,FALSE)</f>
        <v>0</v>
      </c>
      <c r="AZ51" s="8">
        <f>VLOOKUP($A51,地图配置辅助表!$A$3:$AP$245,地图配置辅助表!AL$1,FALSE)</f>
        <v>0</v>
      </c>
      <c r="BA51" s="8">
        <f>VLOOKUP($A51,地图配置辅助表!$A$3:$AP$245,地图配置辅助表!AM$1,FALSE)</f>
        <v>0</v>
      </c>
      <c r="BB51" s="8">
        <f>VLOOKUP($A51,地图配置辅助表!$A$3:$AP$245,地图配置辅助表!AN$1,FALSE)</f>
        <v>0</v>
      </c>
      <c r="BC51" s="8">
        <f>VLOOKUP($A51,地图配置辅助表!$A$3:$AP$245,地图配置辅助表!AO$1,FALSE)</f>
        <v>0</v>
      </c>
      <c r="BD51" s="8">
        <f>VLOOKUP($A51,地图配置辅助表!$A$3:$AP$245,地图配置辅助表!AP$1,FALSE)</f>
        <v>0</v>
      </c>
    </row>
    <row r="52" spans="1:56" s="8" customFormat="1" x14ac:dyDescent="0.15">
      <c r="A52">
        <f>地图配置辅助表!A53</f>
        <v>5006</v>
      </c>
      <c r="B52" s="8">
        <f>地图配置辅助表!B53</f>
        <v>1</v>
      </c>
      <c r="C52" s="8">
        <f>地图配置辅助表!C53</f>
        <v>5</v>
      </c>
      <c r="D52" s="9" t="str">
        <f>地图配置辅助表!D53</f>
        <v>备战拳赛</v>
      </c>
      <c r="E52" s="8" t="s">
        <v>300</v>
      </c>
      <c r="F52" s="8" t="s">
        <v>0</v>
      </c>
      <c r="G52" s="8">
        <v>29</v>
      </c>
      <c r="H52" s="8">
        <v>200</v>
      </c>
      <c r="I52" s="8">
        <v>140</v>
      </c>
      <c r="J52" s="8">
        <v>200</v>
      </c>
      <c r="K52" s="8">
        <v>140</v>
      </c>
      <c r="L52" s="8" t="s">
        <v>150</v>
      </c>
      <c r="M52" s="8">
        <v>0</v>
      </c>
      <c r="R52" s="8" t="s">
        <v>150</v>
      </c>
      <c r="S52" s="11">
        <f>VLOOKUP($A52,地图配置辅助表!$A$3:$AP$245,地图配置辅助表!E$1,FALSE)</f>
        <v>8</v>
      </c>
      <c r="T52" s="8">
        <f>VLOOKUP($A52,地图配置辅助表!$A$3:$AP$245,地图配置辅助表!F$1,FALSE)</f>
        <v>19156</v>
      </c>
      <c r="U52" s="8">
        <f>VLOOKUP($A52,地图配置辅助表!$A$3:$AP$245,地图配置辅助表!G$1,FALSE)</f>
        <v>1</v>
      </c>
      <c r="V52" s="8">
        <f>VLOOKUP($A52,地图配置辅助表!$A$3:$AP$245,地图配置辅助表!H$1,FALSE)</f>
        <v>1</v>
      </c>
      <c r="W52" s="8">
        <f>VLOOKUP($A52,地图配置辅助表!$A$3:$AP$245,地图配置辅助表!I$1,FALSE)</f>
        <v>0</v>
      </c>
      <c r="X52" s="8">
        <f>VLOOKUP($A52,地图配置辅助表!$A$3:$AP$245,地图配置辅助表!J$1,FALSE)</f>
        <v>0</v>
      </c>
      <c r="Y52" s="8">
        <f>VLOOKUP($A52,地图配置辅助表!$A$3:$AP$245,地图配置辅助表!K$1,FALSE)</f>
        <v>0</v>
      </c>
      <c r="Z52" s="8">
        <f>VLOOKUP($A52,地图配置辅助表!$A$3:$AP$245,地图配置辅助表!L$1,FALSE)</f>
        <v>0</v>
      </c>
      <c r="AA52" s="8">
        <f>VLOOKUP($A52,地图配置辅助表!$A$3:$AP$245,地图配置辅助表!M$1,FALSE)</f>
        <v>2</v>
      </c>
      <c r="AB52">
        <f>VLOOKUP($A52,地图配置辅助表!$A$3:$AP$245,地图配置辅助表!N$1,FALSE)</f>
        <v>1</v>
      </c>
      <c r="AC52" s="8">
        <f>VLOOKUP($A52,地图配置辅助表!$A$3:$AP$245,地图配置辅助表!O$1,FALSE)</f>
        <v>3</v>
      </c>
      <c r="AD52">
        <f>VLOOKUP($A52,地图配置辅助表!$A$3:$AP$245,地图配置辅助表!P$1,FALSE)</f>
        <v>5005</v>
      </c>
      <c r="AE52" s="8">
        <f>VLOOKUP($A52,地图配置辅助表!$A$3:$AP$245,地图配置辅助表!Q$1,FALSE)</f>
        <v>1</v>
      </c>
      <c r="AF52" s="8">
        <f>VLOOKUP($A52,地图配置辅助表!$A$3:$AP$245,地图配置辅助表!R$1,FALSE)</f>
        <v>38</v>
      </c>
      <c r="AG52" s="11">
        <f>VLOOKUP($A52,地图配置辅助表!$A$3:$AP$245,地图配置辅助表!S$1,FALSE)</f>
        <v>505006</v>
      </c>
      <c r="AH52" s="11">
        <f>VLOOKUP($A52,地图配置辅助表!$A$3:$AP$245,地图配置辅助表!T$1,FALSE)</f>
        <v>156104</v>
      </c>
      <c r="AI52" s="8">
        <f>VLOOKUP($A52,地图配置辅助表!$A$3:$AP$245,地图配置辅助表!U$1,FALSE)</f>
        <v>3</v>
      </c>
      <c r="AJ52" s="8">
        <f>VLOOKUP($A52,地图配置辅助表!$A$3:$AP$245,地图配置辅助表!V$1,FALSE)</f>
        <v>156101</v>
      </c>
      <c r="AK52" s="8">
        <f>VLOOKUP($A52,地图配置辅助表!$A$3:$AP$245,地图配置辅助表!W$1,FALSE)</f>
        <v>156102</v>
      </c>
      <c r="AL52" s="8">
        <f>VLOOKUP($A52,地图配置辅助表!$A$3:$AP$245,地图配置辅助表!X$1,FALSE)</f>
        <v>156103</v>
      </c>
      <c r="AM52" s="8">
        <f>VLOOKUP($A52,地图配置辅助表!$A$3:$AP$245,地图配置辅助表!Y$1,FALSE)</f>
        <v>0</v>
      </c>
      <c r="AN52" s="8">
        <f>VLOOKUP($A52,地图配置辅助表!$A$3:$AP$245,地图配置辅助表!Z$1,FALSE)</f>
        <v>0</v>
      </c>
      <c r="AO52" s="8">
        <f>VLOOKUP($A52,地图配置辅助表!$A$3:$AP$245,地图配置辅助表!AA$1,FALSE)</f>
        <v>0</v>
      </c>
      <c r="AP52" s="8">
        <f>VLOOKUP($A52,地图配置辅助表!$A$3:$AP$245,地图配置辅助表!AB$1,FALSE)</f>
        <v>0</v>
      </c>
      <c r="AQ52" s="8">
        <f>VLOOKUP($A52,地图配置辅助表!$A$3:$AP$245,地图配置辅助表!AC$1,FALSE)</f>
        <v>0</v>
      </c>
      <c r="AR52" s="8">
        <f>VLOOKUP($A52,地图配置辅助表!$A$3:$AP$245,地图配置辅助表!AD$1,FALSE)</f>
        <v>0</v>
      </c>
      <c r="AS52" s="8">
        <f>VLOOKUP($A52,地图配置辅助表!$A$3:$AP$245,地图配置辅助表!AE$1,FALSE)</f>
        <v>0</v>
      </c>
      <c r="AT52" s="8">
        <f>VLOOKUP($A52,地图配置辅助表!$A$3:$AP$245,地图配置辅助表!AF$1,FALSE)</f>
        <v>4</v>
      </c>
      <c r="AU52" s="8">
        <f>VLOOKUP($A52,地图配置辅助表!$A$3:$AP$245,地图配置辅助表!AG$1,FALSE)</f>
        <v>163</v>
      </c>
      <c r="AV52" s="8">
        <f>VLOOKUP($A52,地图配置辅助表!$A$3:$AP$245,地图配置辅助表!AH$1,FALSE)</f>
        <v>164</v>
      </c>
      <c r="AW52" s="8">
        <f>VLOOKUP($A52,地图配置辅助表!$A$3:$AP$245,地图配置辅助表!AI$1,FALSE)</f>
        <v>165</v>
      </c>
      <c r="AX52" s="8">
        <f>VLOOKUP($A52,地图配置辅助表!$A$3:$AP$245,地图配置辅助表!AJ$1,FALSE)</f>
        <v>166</v>
      </c>
      <c r="AY52" s="8">
        <f>VLOOKUP($A52,地图配置辅助表!$A$3:$AP$245,地图配置辅助表!AK$1,FALSE)</f>
        <v>0</v>
      </c>
      <c r="AZ52" s="8">
        <f>VLOOKUP($A52,地图配置辅助表!$A$3:$AP$245,地图配置辅助表!AL$1,FALSE)</f>
        <v>0</v>
      </c>
      <c r="BA52" s="8">
        <f>VLOOKUP($A52,地图配置辅助表!$A$3:$AP$245,地图配置辅助表!AM$1,FALSE)</f>
        <v>0</v>
      </c>
      <c r="BB52" s="8">
        <f>VLOOKUP($A52,地图配置辅助表!$A$3:$AP$245,地图配置辅助表!AN$1,FALSE)</f>
        <v>0</v>
      </c>
      <c r="BC52" s="8">
        <f>VLOOKUP($A52,地图配置辅助表!$A$3:$AP$245,地图配置辅助表!AO$1,FALSE)</f>
        <v>0</v>
      </c>
      <c r="BD52" s="8">
        <f>VLOOKUP($A52,地图配置辅助表!$A$3:$AP$245,地图配置辅助表!AP$1,FALSE)</f>
        <v>0</v>
      </c>
    </row>
    <row r="53" spans="1:56" s="8" customFormat="1" x14ac:dyDescent="0.15">
      <c r="A53">
        <f>地图配置辅助表!A54</f>
        <v>5007</v>
      </c>
      <c r="B53" s="8">
        <f>地图配置辅助表!B54</f>
        <v>1</v>
      </c>
      <c r="C53" s="8">
        <f>地图配置辅助表!C54</f>
        <v>5</v>
      </c>
      <c r="D53" s="9" t="str">
        <f>地图配置辅助表!D54</f>
        <v>金牌打手</v>
      </c>
      <c r="E53" s="8" t="s">
        <v>298</v>
      </c>
      <c r="F53" s="8" t="s">
        <v>0</v>
      </c>
      <c r="G53" s="8">
        <v>29</v>
      </c>
      <c r="H53" s="8">
        <v>200</v>
      </c>
      <c r="I53" s="8">
        <v>140</v>
      </c>
      <c r="J53" s="8">
        <v>200</v>
      </c>
      <c r="K53" s="8">
        <v>140</v>
      </c>
      <c r="L53" s="8" t="s">
        <v>629</v>
      </c>
      <c r="M53" s="8">
        <v>0</v>
      </c>
      <c r="R53" s="8" t="s">
        <v>629</v>
      </c>
      <c r="S53" s="11">
        <f>VLOOKUP($A53,地图配置辅助表!$A$3:$AP$245,地图配置辅助表!E$1,FALSE)</f>
        <v>8</v>
      </c>
      <c r="T53" s="8">
        <f>VLOOKUP($A53,地图配置辅助表!$A$3:$AP$245,地图配置辅助表!F$1,FALSE)</f>
        <v>20823</v>
      </c>
      <c r="U53" s="8">
        <f>VLOOKUP($A53,地图配置辅助表!$A$3:$AP$245,地图配置辅助表!G$1,FALSE)</f>
        <v>1</v>
      </c>
      <c r="V53" s="8">
        <f>VLOOKUP($A53,地图配置辅助表!$A$3:$AP$245,地图配置辅助表!H$1,FALSE)</f>
        <v>1</v>
      </c>
      <c r="W53" s="8">
        <f>VLOOKUP($A53,地图配置辅助表!$A$3:$AP$245,地图配置辅助表!I$1,FALSE)</f>
        <v>0</v>
      </c>
      <c r="X53" s="8">
        <f>VLOOKUP($A53,地图配置辅助表!$A$3:$AP$245,地图配置辅助表!J$1,FALSE)</f>
        <v>0</v>
      </c>
      <c r="Y53" s="8">
        <f>VLOOKUP($A53,地图配置辅助表!$A$3:$AP$245,地图配置辅助表!K$1,FALSE)</f>
        <v>0</v>
      </c>
      <c r="Z53" s="8">
        <f>VLOOKUP($A53,地图配置辅助表!$A$3:$AP$245,地图配置辅助表!L$1,FALSE)</f>
        <v>0</v>
      </c>
      <c r="AA53" s="8">
        <f>VLOOKUP($A53,地图配置辅助表!$A$3:$AP$245,地图配置辅助表!M$1,FALSE)</f>
        <v>2</v>
      </c>
      <c r="AB53">
        <f>VLOOKUP($A53,地图配置辅助表!$A$3:$AP$245,地图配置辅助表!N$1,FALSE)</f>
        <v>1</v>
      </c>
      <c r="AC53" s="8">
        <f>VLOOKUP($A53,地图配置辅助表!$A$3:$AP$245,地图配置辅助表!O$1,FALSE)</f>
        <v>3</v>
      </c>
      <c r="AD53">
        <f>VLOOKUP($A53,地图配置辅助表!$A$3:$AP$245,地图配置辅助表!P$1,FALSE)</f>
        <v>5006</v>
      </c>
      <c r="AE53" s="8">
        <f>VLOOKUP($A53,地图配置辅助表!$A$3:$AP$245,地图配置辅助表!Q$1,FALSE)</f>
        <v>1</v>
      </c>
      <c r="AF53" s="8">
        <f>VLOOKUP($A53,地图配置辅助表!$A$3:$AP$245,地图配置辅助表!R$1,FALSE)</f>
        <v>38</v>
      </c>
      <c r="AG53" s="11">
        <f>VLOOKUP($A53,地图配置辅助表!$A$3:$AP$245,地图配置辅助表!S$1,FALSE)</f>
        <v>505007</v>
      </c>
      <c r="AH53" s="11">
        <f>VLOOKUP($A53,地图配置辅助表!$A$3:$AP$245,地图配置辅助表!T$1,FALSE)</f>
        <v>157104</v>
      </c>
      <c r="AI53" s="8">
        <f>VLOOKUP($A53,地图配置辅助表!$A$3:$AP$245,地图配置辅助表!U$1,FALSE)</f>
        <v>3</v>
      </c>
      <c r="AJ53" s="8">
        <f>VLOOKUP($A53,地图配置辅助表!$A$3:$AP$245,地图配置辅助表!V$1,FALSE)</f>
        <v>157101</v>
      </c>
      <c r="AK53" s="8">
        <f>VLOOKUP($A53,地图配置辅助表!$A$3:$AP$245,地图配置辅助表!W$1,FALSE)</f>
        <v>157102</v>
      </c>
      <c r="AL53" s="8">
        <f>VLOOKUP($A53,地图配置辅助表!$A$3:$AP$245,地图配置辅助表!X$1,FALSE)</f>
        <v>157103</v>
      </c>
      <c r="AM53" s="8">
        <f>VLOOKUP($A53,地图配置辅助表!$A$3:$AP$245,地图配置辅助表!Y$1,FALSE)</f>
        <v>0</v>
      </c>
      <c r="AN53" s="8">
        <f>VLOOKUP($A53,地图配置辅助表!$A$3:$AP$245,地图配置辅助表!Z$1,FALSE)</f>
        <v>0</v>
      </c>
      <c r="AO53" s="8">
        <f>VLOOKUP($A53,地图配置辅助表!$A$3:$AP$245,地图配置辅助表!AA$1,FALSE)</f>
        <v>0</v>
      </c>
      <c r="AP53" s="8">
        <f>VLOOKUP($A53,地图配置辅助表!$A$3:$AP$245,地图配置辅助表!AB$1,FALSE)</f>
        <v>0</v>
      </c>
      <c r="AQ53" s="8">
        <f>VLOOKUP($A53,地图配置辅助表!$A$3:$AP$245,地图配置辅助表!AC$1,FALSE)</f>
        <v>0</v>
      </c>
      <c r="AR53" s="8">
        <f>VLOOKUP($A53,地图配置辅助表!$A$3:$AP$245,地图配置辅助表!AD$1,FALSE)</f>
        <v>0</v>
      </c>
      <c r="AS53" s="8">
        <f>VLOOKUP($A53,地图配置辅助表!$A$3:$AP$245,地图配置辅助表!AE$1,FALSE)</f>
        <v>0</v>
      </c>
      <c r="AT53" s="8">
        <f>VLOOKUP($A53,地图配置辅助表!$A$3:$AP$245,地图配置辅助表!AF$1,FALSE)</f>
        <v>4</v>
      </c>
      <c r="AU53" s="8">
        <f>VLOOKUP($A53,地图配置辅助表!$A$3:$AP$245,地图配置辅助表!AG$1,FALSE)</f>
        <v>121</v>
      </c>
      <c r="AV53" s="8">
        <f>VLOOKUP($A53,地图配置辅助表!$A$3:$AP$245,地图配置辅助表!AH$1,FALSE)</f>
        <v>122</v>
      </c>
      <c r="AW53" s="8">
        <f>VLOOKUP($A53,地图配置辅助表!$A$3:$AP$245,地图配置辅助表!AI$1,FALSE)</f>
        <v>123</v>
      </c>
      <c r="AX53" s="8">
        <f>VLOOKUP($A53,地图配置辅助表!$A$3:$AP$245,地图配置辅助表!AJ$1,FALSE)</f>
        <v>124</v>
      </c>
      <c r="AY53" s="8">
        <f>VLOOKUP($A53,地图配置辅助表!$A$3:$AP$245,地图配置辅助表!AK$1,FALSE)</f>
        <v>0</v>
      </c>
      <c r="AZ53" s="8">
        <f>VLOOKUP($A53,地图配置辅助表!$A$3:$AP$245,地图配置辅助表!AL$1,FALSE)</f>
        <v>0</v>
      </c>
      <c r="BA53" s="8">
        <f>VLOOKUP($A53,地图配置辅助表!$A$3:$AP$245,地图配置辅助表!AM$1,FALSE)</f>
        <v>0</v>
      </c>
      <c r="BB53" s="8">
        <f>VLOOKUP($A53,地图配置辅助表!$A$3:$AP$245,地图配置辅助表!AN$1,FALSE)</f>
        <v>0</v>
      </c>
      <c r="BC53" s="8">
        <f>VLOOKUP($A53,地图配置辅助表!$A$3:$AP$245,地图配置辅助表!AO$1,FALSE)</f>
        <v>0</v>
      </c>
      <c r="BD53" s="8">
        <f>VLOOKUP($A53,地图配置辅助表!$A$3:$AP$245,地图配置辅助表!AP$1,FALSE)</f>
        <v>0</v>
      </c>
    </row>
    <row r="54" spans="1:56" s="8" customFormat="1" x14ac:dyDescent="0.15">
      <c r="A54">
        <f>地图配置辅助表!A55</f>
        <v>5008</v>
      </c>
      <c r="B54" s="8">
        <f>地图配置辅助表!B55</f>
        <v>1</v>
      </c>
      <c r="C54" s="8">
        <f>地图配置辅助表!C55</f>
        <v>5</v>
      </c>
      <c r="D54" s="9" t="str">
        <f>地图配置辅助表!D55</f>
        <v>螳臂当车</v>
      </c>
      <c r="E54" s="8" t="s">
        <v>299</v>
      </c>
      <c r="F54" s="8" t="s">
        <v>0</v>
      </c>
      <c r="G54" s="8">
        <v>29</v>
      </c>
      <c r="H54" s="8">
        <v>200</v>
      </c>
      <c r="I54" s="8">
        <v>140</v>
      </c>
      <c r="J54" s="8">
        <v>200</v>
      </c>
      <c r="K54" s="8">
        <v>140</v>
      </c>
      <c r="L54" s="8" t="s">
        <v>630</v>
      </c>
      <c r="M54" s="8">
        <v>0</v>
      </c>
      <c r="R54" s="8" t="s">
        <v>630</v>
      </c>
      <c r="S54" s="11">
        <f>VLOOKUP($A54,地图配置辅助表!$A$3:$AP$245,地图配置辅助表!E$1,FALSE)</f>
        <v>8</v>
      </c>
      <c r="T54" s="8">
        <f>VLOOKUP($A54,地图配置辅助表!$A$3:$AP$245,地图配置辅助表!F$1,FALSE)</f>
        <v>22629</v>
      </c>
      <c r="U54" s="8">
        <f>VLOOKUP($A54,地图配置辅助表!$A$3:$AP$245,地图配置辅助表!G$1,FALSE)</f>
        <v>1</v>
      </c>
      <c r="V54" s="8">
        <f>VLOOKUP($A54,地图配置辅助表!$A$3:$AP$245,地图配置辅助表!H$1,FALSE)</f>
        <v>1</v>
      </c>
      <c r="W54" s="8">
        <f>VLOOKUP($A54,地图配置辅助表!$A$3:$AP$245,地图配置辅助表!I$1,FALSE)</f>
        <v>0</v>
      </c>
      <c r="X54" s="8">
        <f>VLOOKUP($A54,地图配置辅助表!$A$3:$AP$245,地图配置辅助表!J$1,FALSE)</f>
        <v>0</v>
      </c>
      <c r="Y54" s="8">
        <f>VLOOKUP($A54,地图配置辅助表!$A$3:$AP$245,地图配置辅助表!K$1,FALSE)</f>
        <v>0</v>
      </c>
      <c r="Z54" s="8">
        <f>VLOOKUP($A54,地图配置辅助表!$A$3:$AP$245,地图配置辅助表!L$1,FALSE)</f>
        <v>0</v>
      </c>
      <c r="AA54" s="8">
        <f>VLOOKUP($A54,地图配置辅助表!$A$3:$AP$245,地图配置辅助表!M$1,FALSE)</f>
        <v>2</v>
      </c>
      <c r="AB54">
        <f>VLOOKUP($A54,地图配置辅助表!$A$3:$AP$245,地图配置辅助表!N$1,FALSE)</f>
        <v>1</v>
      </c>
      <c r="AC54" s="8">
        <f>VLOOKUP($A54,地图配置辅助表!$A$3:$AP$245,地图配置辅助表!O$1,FALSE)</f>
        <v>3</v>
      </c>
      <c r="AD54">
        <f>VLOOKUP($A54,地图配置辅助表!$A$3:$AP$245,地图配置辅助表!P$1,FALSE)</f>
        <v>5007</v>
      </c>
      <c r="AE54" s="8">
        <f>VLOOKUP($A54,地图配置辅助表!$A$3:$AP$245,地图配置辅助表!Q$1,FALSE)</f>
        <v>1</v>
      </c>
      <c r="AF54" s="8">
        <f>VLOOKUP($A54,地图配置辅助表!$A$3:$AP$245,地图配置辅助表!R$1,FALSE)</f>
        <v>38</v>
      </c>
      <c r="AG54" s="11">
        <f>VLOOKUP($A54,地图配置辅助表!$A$3:$AP$245,地图配置辅助表!S$1,FALSE)</f>
        <v>505008</v>
      </c>
      <c r="AH54" s="11">
        <f>VLOOKUP($A54,地图配置辅助表!$A$3:$AP$245,地图配置辅助表!T$1,FALSE)</f>
        <v>158104</v>
      </c>
      <c r="AI54" s="8">
        <f>VLOOKUP($A54,地图配置辅助表!$A$3:$AP$245,地图配置辅助表!U$1,FALSE)</f>
        <v>3</v>
      </c>
      <c r="AJ54" s="8">
        <f>VLOOKUP($A54,地图配置辅助表!$A$3:$AP$245,地图配置辅助表!V$1,FALSE)</f>
        <v>158101</v>
      </c>
      <c r="AK54" s="8">
        <f>VLOOKUP($A54,地图配置辅助表!$A$3:$AP$245,地图配置辅助表!W$1,FALSE)</f>
        <v>158102</v>
      </c>
      <c r="AL54" s="8">
        <f>VLOOKUP($A54,地图配置辅助表!$A$3:$AP$245,地图配置辅助表!X$1,FALSE)</f>
        <v>158103</v>
      </c>
      <c r="AM54" s="8">
        <f>VLOOKUP($A54,地图配置辅助表!$A$3:$AP$245,地图配置辅助表!Y$1,FALSE)</f>
        <v>0</v>
      </c>
      <c r="AN54" s="8">
        <f>VLOOKUP($A54,地图配置辅助表!$A$3:$AP$245,地图配置辅助表!Z$1,FALSE)</f>
        <v>0</v>
      </c>
      <c r="AO54" s="8">
        <f>VLOOKUP($A54,地图配置辅助表!$A$3:$AP$245,地图配置辅助表!AA$1,FALSE)</f>
        <v>0</v>
      </c>
      <c r="AP54" s="8">
        <f>VLOOKUP($A54,地图配置辅助表!$A$3:$AP$245,地图配置辅助表!AB$1,FALSE)</f>
        <v>0</v>
      </c>
      <c r="AQ54" s="8">
        <f>VLOOKUP($A54,地图配置辅助表!$A$3:$AP$245,地图配置辅助表!AC$1,FALSE)</f>
        <v>0</v>
      </c>
      <c r="AR54" s="8">
        <f>VLOOKUP($A54,地图配置辅助表!$A$3:$AP$245,地图配置辅助表!AD$1,FALSE)</f>
        <v>0</v>
      </c>
      <c r="AS54" s="8">
        <f>VLOOKUP($A54,地图配置辅助表!$A$3:$AP$245,地图配置辅助表!AE$1,FALSE)</f>
        <v>0</v>
      </c>
      <c r="AT54" s="8">
        <f>VLOOKUP($A54,地图配置辅助表!$A$3:$AP$245,地图配置辅助表!AF$1,FALSE)</f>
        <v>4</v>
      </c>
      <c r="AU54" s="8">
        <f>VLOOKUP($A54,地图配置辅助表!$A$3:$AP$245,地图配置辅助表!AG$1,FALSE)</f>
        <v>155</v>
      </c>
      <c r="AV54" s="8">
        <f>VLOOKUP($A54,地图配置辅助表!$A$3:$AP$245,地图配置辅助表!AH$1,FALSE)</f>
        <v>156</v>
      </c>
      <c r="AW54" s="8">
        <f>VLOOKUP($A54,地图配置辅助表!$A$3:$AP$245,地图配置辅助表!AI$1,FALSE)</f>
        <v>157</v>
      </c>
      <c r="AX54" s="8">
        <f>VLOOKUP($A54,地图配置辅助表!$A$3:$AP$245,地图配置辅助表!AJ$1,FALSE)</f>
        <v>158</v>
      </c>
      <c r="AY54" s="8">
        <f>VLOOKUP($A54,地图配置辅助表!$A$3:$AP$245,地图配置辅助表!AK$1,FALSE)</f>
        <v>0</v>
      </c>
      <c r="AZ54" s="8">
        <f>VLOOKUP($A54,地图配置辅助表!$A$3:$AP$245,地图配置辅助表!AL$1,FALSE)</f>
        <v>0</v>
      </c>
      <c r="BA54" s="8">
        <f>VLOOKUP($A54,地图配置辅助表!$A$3:$AP$245,地图配置辅助表!AM$1,FALSE)</f>
        <v>0</v>
      </c>
      <c r="BB54" s="8">
        <f>VLOOKUP($A54,地图配置辅助表!$A$3:$AP$245,地图配置辅助表!AN$1,FALSE)</f>
        <v>0</v>
      </c>
      <c r="BC54" s="8">
        <f>VLOOKUP($A54,地图配置辅助表!$A$3:$AP$245,地图配置辅助表!AO$1,FALSE)</f>
        <v>0</v>
      </c>
      <c r="BD54" s="8">
        <f>VLOOKUP($A54,地图配置辅助表!$A$3:$AP$245,地图配置辅助表!AP$1,FALSE)</f>
        <v>0</v>
      </c>
    </row>
    <row r="55" spans="1:56" s="8" customFormat="1" x14ac:dyDescent="0.15">
      <c r="A55">
        <f>地图配置辅助表!A56</f>
        <v>5009</v>
      </c>
      <c r="B55" s="8">
        <f>地图配置辅助表!B56</f>
        <v>1</v>
      </c>
      <c r="C55" s="8">
        <f>地图配置辅助表!C56</f>
        <v>5</v>
      </c>
      <c r="D55" s="9" t="str">
        <f>地图配置辅助表!D56</f>
        <v>龙争虎斗</v>
      </c>
      <c r="E55" s="8" t="s">
        <v>300</v>
      </c>
      <c r="F55" s="8" t="s">
        <v>0</v>
      </c>
      <c r="G55" s="8">
        <v>29</v>
      </c>
      <c r="H55" s="8">
        <v>200</v>
      </c>
      <c r="I55" s="8">
        <v>140</v>
      </c>
      <c r="J55" s="8">
        <v>200</v>
      </c>
      <c r="K55" s="8">
        <v>140</v>
      </c>
      <c r="L55" s="8" t="s">
        <v>631</v>
      </c>
      <c r="M55" s="8">
        <v>0</v>
      </c>
      <c r="R55" s="8" t="s">
        <v>631</v>
      </c>
      <c r="S55" s="11">
        <f>VLOOKUP($A55,地图配置辅助表!$A$3:$AP$245,地图配置辅助表!E$1,FALSE)</f>
        <v>8</v>
      </c>
      <c r="T55" s="8">
        <f>VLOOKUP($A55,地图配置辅助表!$A$3:$AP$245,地图配置辅助表!F$1,FALSE)</f>
        <v>28382</v>
      </c>
      <c r="U55" s="8">
        <f>VLOOKUP($A55,地图配置辅助表!$A$3:$AP$245,地图配置辅助表!G$1,FALSE)</f>
        <v>1</v>
      </c>
      <c r="V55" s="8">
        <f>VLOOKUP($A55,地图配置辅助表!$A$3:$AP$245,地图配置辅助表!H$1,FALSE)</f>
        <v>1</v>
      </c>
      <c r="W55" s="8">
        <f>VLOOKUP($A55,地图配置辅助表!$A$3:$AP$245,地图配置辅助表!I$1,FALSE)</f>
        <v>0</v>
      </c>
      <c r="X55" s="8">
        <f>VLOOKUP($A55,地图配置辅助表!$A$3:$AP$245,地图配置辅助表!J$1,FALSE)</f>
        <v>0</v>
      </c>
      <c r="Y55" s="8">
        <f>VLOOKUP($A55,地图配置辅助表!$A$3:$AP$245,地图配置辅助表!K$1,FALSE)</f>
        <v>0</v>
      </c>
      <c r="Z55" s="8">
        <f>VLOOKUP($A55,地图配置辅助表!$A$3:$AP$245,地图配置辅助表!L$1,FALSE)</f>
        <v>0</v>
      </c>
      <c r="AA55" s="8">
        <f>VLOOKUP($A55,地图配置辅助表!$A$3:$AP$245,地图配置辅助表!M$1,FALSE)</f>
        <v>2</v>
      </c>
      <c r="AB55">
        <f>VLOOKUP($A55,地图配置辅助表!$A$3:$AP$245,地图配置辅助表!N$1,FALSE)</f>
        <v>1</v>
      </c>
      <c r="AC55" s="8">
        <f>VLOOKUP($A55,地图配置辅助表!$A$3:$AP$245,地图配置辅助表!O$1,FALSE)</f>
        <v>3</v>
      </c>
      <c r="AD55">
        <f>VLOOKUP($A55,地图配置辅助表!$A$3:$AP$245,地图配置辅助表!P$1,FALSE)</f>
        <v>5008</v>
      </c>
      <c r="AE55" s="8">
        <f>VLOOKUP($A55,地图配置辅助表!$A$3:$AP$245,地图配置辅助表!Q$1,FALSE)</f>
        <v>1</v>
      </c>
      <c r="AF55" s="8">
        <f>VLOOKUP($A55,地图配置辅助表!$A$3:$AP$245,地图配置辅助表!R$1,FALSE)</f>
        <v>38</v>
      </c>
      <c r="AG55" s="11">
        <f>VLOOKUP($A55,地图配置辅助表!$A$3:$AP$245,地图配置辅助表!S$1,FALSE)</f>
        <v>505009</v>
      </c>
      <c r="AH55" s="11">
        <f>VLOOKUP($A55,地图配置辅助表!$A$3:$AP$245,地图配置辅助表!T$1,FALSE)</f>
        <v>159104</v>
      </c>
      <c r="AI55" s="8">
        <f>VLOOKUP($A55,地图配置辅助表!$A$3:$AP$245,地图配置辅助表!U$1,FALSE)</f>
        <v>3</v>
      </c>
      <c r="AJ55" s="8">
        <f>VLOOKUP($A55,地图配置辅助表!$A$3:$AP$245,地图配置辅助表!V$1,FALSE)</f>
        <v>159101</v>
      </c>
      <c r="AK55" s="8">
        <f>VLOOKUP($A55,地图配置辅助表!$A$3:$AP$245,地图配置辅助表!W$1,FALSE)</f>
        <v>159102</v>
      </c>
      <c r="AL55" s="8">
        <f>VLOOKUP($A55,地图配置辅助表!$A$3:$AP$245,地图配置辅助表!X$1,FALSE)</f>
        <v>159103</v>
      </c>
      <c r="AM55" s="8">
        <f>VLOOKUP($A55,地图配置辅助表!$A$3:$AP$245,地图配置辅助表!Y$1,FALSE)</f>
        <v>0</v>
      </c>
      <c r="AN55" s="8">
        <f>VLOOKUP($A55,地图配置辅助表!$A$3:$AP$245,地图配置辅助表!Z$1,FALSE)</f>
        <v>0</v>
      </c>
      <c r="AO55" s="8">
        <f>VLOOKUP($A55,地图配置辅助表!$A$3:$AP$245,地图配置辅助表!AA$1,FALSE)</f>
        <v>0</v>
      </c>
      <c r="AP55" s="8">
        <f>VLOOKUP($A55,地图配置辅助表!$A$3:$AP$245,地图配置辅助表!AB$1,FALSE)</f>
        <v>0</v>
      </c>
      <c r="AQ55" s="8">
        <f>VLOOKUP($A55,地图配置辅助表!$A$3:$AP$245,地图配置辅助表!AC$1,FALSE)</f>
        <v>0</v>
      </c>
      <c r="AR55" s="8">
        <f>VLOOKUP($A55,地图配置辅助表!$A$3:$AP$245,地图配置辅助表!AD$1,FALSE)</f>
        <v>0</v>
      </c>
      <c r="AS55" s="8">
        <f>VLOOKUP($A55,地图配置辅助表!$A$3:$AP$245,地图配置辅助表!AE$1,FALSE)</f>
        <v>0</v>
      </c>
      <c r="AT55" s="8">
        <f>VLOOKUP($A55,地图配置辅助表!$A$3:$AP$245,地图配置辅助表!AF$1,FALSE)</f>
        <v>4</v>
      </c>
      <c r="AU55" s="8">
        <f>VLOOKUP($A55,地图配置辅助表!$A$3:$AP$245,地图配置辅助表!AG$1,FALSE)</f>
        <v>163</v>
      </c>
      <c r="AV55" s="8">
        <f>VLOOKUP($A55,地图配置辅助表!$A$3:$AP$245,地图配置辅助表!AH$1,FALSE)</f>
        <v>164</v>
      </c>
      <c r="AW55" s="8">
        <f>VLOOKUP($A55,地图配置辅助表!$A$3:$AP$245,地图配置辅助表!AI$1,FALSE)</f>
        <v>165</v>
      </c>
      <c r="AX55" s="8">
        <f>VLOOKUP($A55,地图配置辅助表!$A$3:$AP$245,地图配置辅助表!AJ$1,FALSE)</f>
        <v>166</v>
      </c>
      <c r="AY55" s="8">
        <f>VLOOKUP($A55,地图配置辅助表!$A$3:$AP$245,地图配置辅助表!AK$1,FALSE)</f>
        <v>0</v>
      </c>
      <c r="AZ55" s="8">
        <f>VLOOKUP($A55,地图配置辅助表!$A$3:$AP$245,地图配置辅助表!AL$1,FALSE)</f>
        <v>0</v>
      </c>
      <c r="BA55" s="8">
        <f>VLOOKUP($A55,地图配置辅助表!$A$3:$AP$245,地图配置辅助表!AM$1,FALSE)</f>
        <v>0</v>
      </c>
      <c r="BB55" s="8">
        <f>VLOOKUP($A55,地图配置辅助表!$A$3:$AP$245,地图配置辅助表!AN$1,FALSE)</f>
        <v>0</v>
      </c>
      <c r="BC55" s="8">
        <f>VLOOKUP($A55,地图配置辅助表!$A$3:$AP$245,地图配置辅助表!AO$1,FALSE)</f>
        <v>0</v>
      </c>
      <c r="BD55" s="8">
        <f>VLOOKUP($A55,地图配置辅助表!$A$3:$AP$245,地图配置辅助表!AP$1,FALSE)</f>
        <v>0</v>
      </c>
    </row>
    <row r="56" spans="1:56" s="8" customFormat="1" x14ac:dyDescent="0.15">
      <c r="A56">
        <f>地图配置辅助表!A57</f>
        <v>6001</v>
      </c>
      <c r="B56" s="8">
        <f>地图配置辅助表!B57</f>
        <v>1</v>
      </c>
      <c r="C56" s="8">
        <f>地图配置辅助表!C57</f>
        <v>6</v>
      </c>
      <c r="D56" s="9" t="str">
        <f>地图配置辅助表!D57</f>
        <v>婚礼遭袭</v>
      </c>
      <c r="E56" s="8" t="s">
        <v>388</v>
      </c>
      <c r="F56" s="8" t="s">
        <v>0</v>
      </c>
      <c r="G56" s="8">
        <v>29</v>
      </c>
      <c r="H56" s="8">
        <v>200</v>
      </c>
      <c r="I56" s="8">
        <v>140</v>
      </c>
      <c r="J56" s="8">
        <v>200</v>
      </c>
      <c r="K56" s="8">
        <v>140</v>
      </c>
      <c r="L56" s="8" t="s">
        <v>151</v>
      </c>
      <c r="M56" s="8">
        <v>0</v>
      </c>
      <c r="R56" s="8" t="s">
        <v>151</v>
      </c>
      <c r="S56" s="11">
        <f>VLOOKUP($A56,地图配置辅助表!$A$3:$AP$245,地图配置辅助表!E$1,FALSE)</f>
        <v>10</v>
      </c>
      <c r="T56" s="8">
        <f>VLOOKUP($A56,地图配置辅助表!$A$3:$AP$245,地图配置辅助表!F$1,FALSE)</f>
        <v>26515</v>
      </c>
      <c r="U56" s="8">
        <f>VLOOKUP($A56,地图配置辅助表!$A$3:$AP$245,地图配置辅助表!G$1,FALSE)</f>
        <v>1</v>
      </c>
      <c r="V56" s="8">
        <f>VLOOKUP($A56,地图配置辅助表!$A$3:$AP$245,地图配置辅助表!H$1,FALSE)</f>
        <v>1</v>
      </c>
      <c r="W56" s="8">
        <f>VLOOKUP($A56,地图配置辅助表!$A$3:$AP$245,地图配置辅助表!I$1,FALSE)</f>
        <v>0</v>
      </c>
      <c r="X56" s="8">
        <f>VLOOKUP($A56,地图配置辅助表!$A$3:$AP$245,地图配置辅助表!J$1,FALSE)</f>
        <v>0</v>
      </c>
      <c r="Y56" s="8">
        <f>VLOOKUP($A56,地图配置辅助表!$A$3:$AP$245,地图配置辅助表!K$1,FALSE)</f>
        <v>0</v>
      </c>
      <c r="Z56" s="8">
        <f>VLOOKUP($A56,地图配置辅助表!$A$3:$AP$245,地图配置辅助表!L$1,FALSE)</f>
        <v>0</v>
      </c>
      <c r="AA56" s="8">
        <f>VLOOKUP($A56,地图配置辅助表!$A$3:$AP$245,地图配置辅助表!M$1,FALSE)</f>
        <v>2</v>
      </c>
      <c r="AB56">
        <f>VLOOKUP($A56,地图配置辅助表!$A$3:$AP$245,地图配置辅助表!N$1,FALSE)</f>
        <v>1</v>
      </c>
      <c r="AC56" s="8">
        <f>VLOOKUP($A56,地图配置辅助表!$A$3:$AP$245,地图配置辅助表!O$1,FALSE)</f>
        <v>3</v>
      </c>
      <c r="AD56">
        <f>VLOOKUP($A56,地图配置辅助表!$A$3:$AP$245,地图配置辅助表!P$1,FALSE)</f>
        <v>5009</v>
      </c>
      <c r="AE56" s="8">
        <f>VLOOKUP($A56,地图配置辅助表!$A$3:$AP$245,地图配置辅助表!Q$1,FALSE)</f>
        <v>1</v>
      </c>
      <c r="AF56" s="8">
        <f>VLOOKUP($A56,地图配置辅助表!$A$3:$AP$245,地图配置辅助表!R$1,FALSE)</f>
        <v>47</v>
      </c>
      <c r="AG56" s="11">
        <f>VLOOKUP($A56,地图配置辅助表!$A$3:$AP$245,地图配置辅助表!S$1,FALSE)</f>
        <v>506001</v>
      </c>
      <c r="AH56" s="11">
        <f>VLOOKUP($A56,地图配置辅助表!$A$3:$AP$245,地图配置辅助表!T$1,FALSE)</f>
        <v>161104</v>
      </c>
      <c r="AI56" s="8">
        <f>VLOOKUP($A56,地图配置辅助表!$A$3:$AP$245,地图配置辅助表!U$1,FALSE)</f>
        <v>3</v>
      </c>
      <c r="AJ56" s="8">
        <f>VLOOKUP($A56,地图配置辅助表!$A$3:$AP$245,地图配置辅助表!V$1,FALSE)</f>
        <v>161101</v>
      </c>
      <c r="AK56" s="8">
        <f>VLOOKUP($A56,地图配置辅助表!$A$3:$AP$245,地图配置辅助表!W$1,FALSE)</f>
        <v>161102</v>
      </c>
      <c r="AL56" s="8">
        <f>VLOOKUP($A56,地图配置辅助表!$A$3:$AP$245,地图配置辅助表!X$1,FALSE)</f>
        <v>161103</v>
      </c>
      <c r="AM56" s="8">
        <f>VLOOKUP($A56,地图配置辅助表!$A$3:$AP$245,地图配置辅助表!Y$1,FALSE)</f>
        <v>0</v>
      </c>
      <c r="AN56" s="8">
        <f>VLOOKUP($A56,地图配置辅助表!$A$3:$AP$245,地图配置辅助表!Z$1,FALSE)</f>
        <v>0</v>
      </c>
      <c r="AO56" s="8">
        <f>VLOOKUP($A56,地图配置辅助表!$A$3:$AP$245,地图配置辅助表!AA$1,FALSE)</f>
        <v>0</v>
      </c>
      <c r="AP56" s="8">
        <f>VLOOKUP($A56,地图配置辅助表!$A$3:$AP$245,地图配置辅助表!AB$1,FALSE)</f>
        <v>0</v>
      </c>
      <c r="AQ56" s="8">
        <f>VLOOKUP($A56,地图配置辅助表!$A$3:$AP$245,地图配置辅助表!AC$1,FALSE)</f>
        <v>0</v>
      </c>
      <c r="AR56" s="8">
        <f>VLOOKUP($A56,地图配置辅助表!$A$3:$AP$245,地图配置辅助表!AD$1,FALSE)</f>
        <v>0</v>
      </c>
      <c r="AS56" s="8">
        <f>VLOOKUP($A56,地图配置辅助表!$A$3:$AP$245,地图配置辅助表!AE$1,FALSE)</f>
        <v>0</v>
      </c>
      <c r="AT56" s="8">
        <f>VLOOKUP($A56,地图配置辅助表!$A$3:$AP$245,地图配置辅助表!AF$1,FALSE)</f>
        <v>4</v>
      </c>
      <c r="AU56" s="8">
        <f>VLOOKUP($A56,地图配置辅助表!$A$3:$AP$245,地图配置辅助表!AG$1,FALSE)</f>
        <v>193</v>
      </c>
      <c r="AV56" s="8">
        <f>VLOOKUP($A56,地图配置辅助表!$A$3:$AP$245,地图配置辅助表!AH$1,FALSE)</f>
        <v>194</v>
      </c>
      <c r="AW56" s="8">
        <f>VLOOKUP($A56,地图配置辅助表!$A$3:$AP$245,地图配置辅助表!AI$1,FALSE)</f>
        <v>195</v>
      </c>
      <c r="AX56" s="8">
        <f>VLOOKUP($A56,地图配置辅助表!$A$3:$AP$245,地图配置辅助表!AJ$1,FALSE)</f>
        <v>196</v>
      </c>
      <c r="AY56" s="8">
        <f>VLOOKUP($A56,地图配置辅助表!$A$3:$AP$245,地图配置辅助表!AK$1,FALSE)</f>
        <v>0</v>
      </c>
      <c r="AZ56" s="8">
        <f>VLOOKUP($A56,地图配置辅助表!$A$3:$AP$245,地图配置辅助表!AL$1,FALSE)</f>
        <v>0</v>
      </c>
      <c r="BA56" s="8">
        <f>VLOOKUP($A56,地图配置辅助表!$A$3:$AP$245,地图配置辅助表!AM$1,FALSE)</f>
        <v>0</v>
      </c>
      <c r="BB56" s="8">
        <f>VLOOKUP($A56,地图配置辅助表!$A$3:$AP$245,地图配置辅助表!AN$1,FALSE)</f>
        <v>0</v>
      </c>
      <c r="BC56" s="8">
        <f>VLOOKUP($A56,地图配置辅助表!$A$3:$AP$245,地图配置辅助表!AO$1,FALSE)</f>
        <v>0</v>
      </c>
      <c r="BD56" s="8">
        <f>VLOOKUP($A56,地图配置辅助表!$A$3:$AP$245,地图配置辅助表!AP$1,FALSE)</f>
        <v>0</v>
      </c>
    </row>
    <row r="57" spans="1:56" s="8" customFormat="1" x14ac:dyDescent="0.15">
      <c r="A57">
        <f>地图配置辅助表!A58</f>
        <v>6002</v>
      </c>
      <c r="B57" s="8">
        <f>地图配置辅助表!B58</f>
        <v>1</v>
      </c>
      <c r="C57" s="8">
        <f>地图配置辅助表!C58</f>
        <v>6</v>
      </c>
      <c r="D57" s="9" t="str">
        <f>地图配置辅助表!D58</f>
        <v>纠缠不休</v>
      </c>
      <c r="E57" s="8" t="s">
        <v>389</v>
      </c>
      <c r="F57" s="8" t="s">
        <v>0</v>
      </c>
      <c r="G57" s="8">
        <v>29</v>
      </c>
      <c r="H57" s="8">
        <v>200</v>
      </c>
      <c r="I57" s="8">
        <v>140</v>
      </c>
      <c r="J57" s="8">
        <v>200</v>
      </c>
      <c r="K57" s="8">
        <v>140</v>
      </c>
      <c r="L57" s="8" t="s">
        <v>152</v>
      </c>
      <c r="M57" s="8">
        <v>0</v>
      </c>
      <c r="R57" s="8" t="s">
        <v>152</v>
      </c>
      <c r="S57" s="11">
        <f>VLOOKUP($A57,地图配置辅助表!$A$3:$AP$245,地图配置辅助表!E$1,FALSE)</f>
        <v>10</v>
      </c>
      <c r="T57" s="8">
        <f>VLOOKUP($A57,地图配置辅助表!$A$3:$AP$245,地图配置辅助表!F$1,FALSE)</f>
        <v>28668</v>
      </c>
      <c r="U57" s="8">
        <f>VLOOKUP($A57,地图配置辅助表!$A$3:$AP$245,地图配置辅助表!G$1,FALSE)</f>
        <v>1</v>
      </c>
      <c r="V57" s="8">
        <f>VLOOKUP($A57,地图配置辅助表!$A$3:$AP$245,地图配置辅助表!H$1,FALSE)</f>
        <v>1</v>
      </c>
      <c r="W57" s="8">
        <f>VLOOKUP($A57,地图配置辅助表!$A$3:$AP$245,地图配置辅助表!I$1,FALSE)</f>
        <v>0</v>
      </c>
      <c r="X57" s="8">
        <f>VLOOKUP($A57,地图配置辅助表!$A$3:$AP$245,地图配置辅助表!J$1,FALSE)</f>
        <v>0</v>
      </c>
      <c r="Y57" s="8">
        <f>VLOOKUP($A57,地图配置辅助表!$A$3:$AP$245,地图配置辅助表!K$1,FALSE)</f>
        <v>0</v>
      </c>
      <c r="Z57" s="8">
        <f>VLOOKUP($A57,地图配置辅助表!$A$3:$AP$245,地图配置辅助表!L$1,FALSE)</f>
        <v>0</v>
      </c>
      <c r="AA57" s="8">
        <f>VLOOKUP($A57,地图配置辅助表!$A$3:$AP$245,地图配置辅助表!M$1,FALSE)</f>
        <v>2</v>
      </c>
      <c r="AB57">
        <f>VLOOKUP($A57,地图配置辅助表!$A$3:$AP$245,地图配置辅助表!N$1,FALSE)</f>
        <v>1</v>
      </c>
      <c r="AC57" s="8">
        <f>VLOOKUP($A57,地图配置辅助表!$A$3:$AP$245,地图配置辅助表!O$1,FALSE)</f>
        <v>3</v>
      </c>
      <c r="AD57">
        <f>VLOOKUP($A57,地图配置辅助表!$A$3:$AP$245,地图配置辅助表!P$1,FALSE)</f>
        <v>6001</v>
      </c>
      <c r="AE57" s="8">
        <f>VLOOKUP($A57,地图配置辅助表!$A$3:$AP$245,地图配置辅助表!Q$1,FALSE)</f>
        <v>1</v>
      </c>
      <c r="AF57" s="8">
        <f>VLOOKUP($A57,地图配置辅助表!$A$3:$AP$245,地图配置辅助表!R$1,FALSE)</f>
        <v>47</v>
      </c>
      <c r="AG57" s="11">
        <f>VLOOKUP($A57,地图配置辅助表!$A$3:$AP$245,地图配置辅助表!S$1,FALSE)</f>
        <v>506002</v>
      </c>
      <c r="AH57" s="11">
        <f>VLOOKUP($A57,地图配置辅助表!$A$3:$AP$245,地图配置辅助表!T$1,FALSE)</f>
        <v>162104</v>
      </c>
      <c r="AI57" s="8">
        <f>VLOOKUP($A57,地图配置辅助表!$A$3:$AP$245,地图配置辅助表!U$1,FALSE)</f>
        <v>3</v>
      </c>
      <c r="AJ57" s="8">
        <f>VLOOKUP($A57,地图配置辅助表!$A$3:$AP$245,地图配置辅助表!V$1,FALSE)</f>
        <v>162101</v>
      </c>
      <c r="AK57" s="8">
        <f>VLOOKUP($A57,地图配置辅助表!$A$3:$AP$245,地图配置辅助表!W$1,FALSE)</f>
        <v>162102</v>
      </c>
      <c r="AL57" s="8">
        <f>VLOOKUP($A57,地图配置辅助表!$A$3:$AP$245,地图配置辅助表!X$1,FALSE)</f>
        <v>162103</v>
      </c>
      <c r="AM57" s="8">
        <f>VLOOKUP($A57,地图配置辅助表!$A$3:$AP$245,地图配置辅助表!Y$1,FALSE)</f>
        <v>0</v>
      </c>
      <c r="AN57" s="8">
        <f>VLOOKUP($A57,地图配置辅助表!$A$3:$AP$245,地图配置辅助表!Z$1,FALSE)</f>
        <v>0</v>
      </c>
      <c r="AO57" s="8">
        <f>VLOOKUP($A57,地图配置辅助表!$A$3:$AP$245,地图配置辅助表!AA$1,FALSE)</f>
        <v>0</v>
      </c>
      <c r="AP57" s="8">
        <f>VLOOKUP($A57,地图配置辅助表!$A$3:$AP$245,地图配置辅助表!AB$1,FALSE)</f>
        <v>0</v>
      </c>
      <c r="AQ57" s="8">
        <f>VLOOKUP($A57,地图配置辅助表!$A$3:$AP$245,地图配置辅助表!AC$1,FALSE)</f>
        <v>0</v>
      </c>
      <c r="AR57" s="8">
        <f>VLOOKUP($A57,地图配置辅助表!$A$3:$AP$245,地图配置辅助表!AD$1,FALSE)</f>
        <v>0</v>
      </c>
      <c r="AS57" s="8">
        <f>VLOOKUP($A57,地图配置辅助表!$A$3:$AP$245,地图配置辅助表!AE$1,FALSE)</f>
        <v>0</v>
      </c>
      <c r="AT57" s="8">
        <f>VLOOKUP($A57,地图配置辅助表!$A$3:$AP$245,地图配置辅助表!AF$1,FALSE)</f>
        <v>4</v>
      </c>
      <c r="AU57" s="8">
        <f>VLOOKUP($A57,地图配置辅助表!$A$3:$AP$245,地图配置辅助表!AG$1,FALSE)</f>
        <v>194</v>
      </c>
      <c r="AV57" s="8">
        <f>VLOOKUP($A57,地图配置辅助表!$A$3:$AP$245,地图配置辅助表!AH$1,FALSE)</f>
        <v>195</v>
      </c>
      <c r="AW57" s="8">
        <f>VLOOKUP($A57,地图配置辅助表!$A$3:$AP$245,地图配置辅助表!AI$1,FALSE)</f>
        <v>196</v>
      </c>
      <c r="AX57" s="8">
        <f>VLOOKUP($A57,地图配置辅助表!$A$3:$AP$245,地图配置辅助表!AJ$1,FALSE)</f>
        <v>197</v>
      </c>
      <c r="AY57" s="8">
        <f>VLOOKUP($A57,地图配置辅助表!$A$3:$AP$245,地图配置辅助表!AK$1,FALSE)</f>
        <v>0</v>
      </c>
      <c r="AZ57" s="8">
        <f>VLOOKUP($A57,地图配置辅助表!$A$3:$AP$245,地图配置辅助表!AL$1,FALSE)</f>
        <v>0</v>
      </c>
      <c r="BA57" s="8">
        <f>VLOOKUP($A57,地图配置辅助表!$A$3:$AP$245,地图配置辅助表!AM$1,FALSE)</f>
        <v>0</v>
      </c>
      <c r="BB57" s="8">
        <f>VLOOKUP($A57,地图配置辅助表!$A$3:$AP$245,地图配置辅助表!AN$1,FALSE)</f>
        <v>0</v>
      </c>
      <c r="BC57" s="8">
        <f>VLOOKUP($A57,地图配置辅助表!$A$3:$AP$245,地图配置辅助表!AO$1,FALSE)</f>
        <v>0</v>
      </c>
      <c r="BD57" s="8">
        <f>VLOOKUP($A57,地图配置辅助表!$A$3:$AP$245,地图配置辅助表!AP$1,FALSE)</f>
        <v>0</v>
      </c>
    </row>
    <row r="58" spans="1:56" s="8" customFormat="1" x14ac:dyDescent="0.15">
      <c r="A58">
        <f>地图配置辅助表!A59</f>
        <v>6003</v>
      </c>
      <c r="B58" s="8">
        <f>地图配置辅助表!B59</f>
        <v>1</v>
      </c>
      <c r="C58" s="8">
        <f>地图配置辅助表!C59</f>
        <v>6</v>
      </c>
      <c r="D58" s="9" t="str">
        <f>地图配置辅助表!D59</f>
        <v>试炼之战</v>
      </c>
      <c r="E58" s="8" t="s">
        <v>390</v>
      </c>
      <c r="F58" s="8" t="s">
        <v>0</v>
      </c>
      <c r="G58" s="8">
        <v>29</v>
      </c>
      <c r="H58" s="8">
        <v>200</v>
      </c>
      <c r="I58" s="8">
        <v>140</v>
      </c>
      <c r="J58" s="8">
        <v>200</v>
      </c>
      <c r="K58" s="8">
        <v>140</v>
      </c>
      <c r="L58" s="8" t="s">
        <v>153</v>
      </c>
      <c r="M58" s="8">
        <v>0</v>
      </c>
      <c r="R58" s="8" t="s">
        <v>153</v>
      </c>
      <c r="S58" s="11">
        <f>VLOOKUP($A58,地图配置辅助表!$A$3:$AP$245,地图配置辅助表!E$1,FALSE)</f>
        <v>10</v>
      </c>
      <c r="T58" s="8">
        <f>VLOOKUP($A58,地图配置辅助表!$A$3:$AP$245,地图配置辅助表!F$1,FALSE)</f>
        <v>30964</v>
      </c>
      <c r="U58" s="8">
        <f>VLOOKUP($A58,地图配置辅助表!$A$3:$AP$245,地图配置辅助表!G$1,FALSE)</f>
        <v>1</v>
      </c>
      <c r="V58" s="8">
        <f>VLOOKUP($A58,地图配置辅助表!$A$3:$AP$245,地图配置辅助表!H$1,FALSE)</f>
        <v>1</v>
      </c>
      <c r="W58" s="8">
        <f>VLOOKUP($A58,地图配置辅助表!$A$3:$AP$245,地图配置辅助表!I$1,FALSE)</f>
        <v>0</v>
      </c>
      <c r="X58" s="8">
        <f>VLOOKUP($A58,地图配置辅助表!$A$3:$AP$245,地图配置辅助表!J$1,FALSE)</f>
        <v>0</v>
      </c>
      <c r="Y58" s="8">
        <f>VLOOKUP($A58,地图配置辅助表!$A$3:$AP$245,地图配置辅助表!K$1,FALSE)</f>
        <v>0</v>
      </c>
      <c r="Z58" s="8">
        <f>VLOOKUP($A58,地图配置辅助表!$A$3:$AP$245,地图配置辅助表!L$1,FALSE)</f>
        <v>0</v>
      </c>
      <c r="AA58" s="8">
        <f>VLOOKUP($A58,地图配置辅助表!$A$3:$AP$245,地图配置辅助表!M$1,FALSE)</f>
        <v>2</v>
      </c>
      <c r="AB58">
        <f>VLOOKUP($A58,地图配置辅助表!$A$3:$AP$245,地图配置辅助表!N$1,FALSE)</f>
        <v>1</v>
      </c>
      <c r="AC58" s="8">
        <f>VLOOKUP($A58,地图配置辅助表!$A$3:$AP$245,地图配置辅助表!O$1,FALSE)</f>
        <v>3</v>
      </c>
      <c r="AD58">
        <f>VLOOKUP($A58,地图配置辅助表!$A$3:$AP$245,地图配置辅助表!P$1,FALSE)</f>
        <v>6002</v>
      </c>
      <c r="AE58" s="8">
        <f>VLOOKUP($A58,地图配置辅助表!$A$3:$AP$245,地图配置辅助表!Q$1,FALSE)</f>
        <v>1</v>
      </c>
      <c r="AF58" s="8">
        <f>VLOOKUP($A58,地图配置辅助表!$A$3:$AP$245,地图配置辅助表!R$1,FALSE)</f>
        <v>47</v>
      </c>
      <c r="AG58" s="11">
        <f>VLOOKUP($A58,地图配置辅助表!$A$3:$AP$245,地图配置辅助表!S$1,FALSE)</f>
        <v>506003</v>
      </c>
      <c r="AH58" s="11">
        <f>VLOOKUP($A58,地图配置辅助表!$A$3:$AP$245,地图配置辅助表!T$1,FALSE)</f>
        <v>163104</v>
      </c>
      <c r="AI58" s="8">
        <f>VLOOKUP($A58,地图配置辅助表!$A$3:$AP$245,地图配置辅助表!U$1,FALSE)</f>
        <v>3</v>
      </c>
      <c r="AJ58" s="8">
        <f>VLOOKUP($A58,地图配置辅助表!$A$3:$AP$245,地图配置辅助表!V$1,FALSE)</f>
        <v>163101</v>
      </c>
      <c r="AK58" s="8">
        <f>VLOOKUP($A58,地图配置辅助表!$A$3:$AP$245,地图配置辅助表!W$1,FALSE)</f>
        <v>163102</v>
      </c>
      <c r="AL58" s="8">
        <f>VLOOKUP($A58,地图配置辅助表!$A$3:$AP$245,地图配置辅助表!X$1,FALSE)</f>
        <v>163103</v>
      </c>
      <c r="AM58" s="8">
        <f>VLOOKUP($A58,地图配置辅助表!$A$3:$AP$245,地图配置辅助表!Y$1,FALSE)</f>
        <v>0</v>
      </c>
      <c r="AN58" s="8">
        <f>VLOOKUP($A58,地图配置辅助表!$A$3:$AP$245,地图配置辅助表!Z$1,FALSE)</f>
        <v>0</v>
      </c>
      <c r="AO58" s="8">
        <f>VLOOKUP($A58,地图配置辅助表!$A$3:$AP$245,地图配置辅助表!AA$1,FALSE)</f>
        <v>0</v>
      </c>
      <c r="AP58" s="8">
        <f>VLOOKUP($A58,地图配置辅助表!$A$3:$AP$245,地图配置辅助表!AB$1,FALSE)</f>
        <v>0</v>
      </c>
      <c r="AQ58" s="8">
        <f>VLOOKUP($A58,地图配置辅助表!$A$3:$AP$245,地图配置辅助表!AC$1,FALSE)</f>
        <v>0</v>
      </c>
      <c r="AR58" s="8">
        <f>VLOOKUP($A58,地图配置辅助表!$A$3:$AP$245,地图配置辅助表!AD$1,FALSE)</f>
        <v>0</v>
      </c>
      <c r="AS58" s="8">
        <f>VLOOKUP($A58,地图配置辅助表!$A$3:$AP$245,地图配置辅助表!AE$1,FALSE)</f>
        <v>0</v>
      </c>
      <c r="AT58" s="8">
        <f>VLOOKUP($A58,地图配置辅助表!$A$3:$AP$245,地图配置辅助表!AF$1,FALSE)</f>
        <v>4</v>
      </c>
      <c r="AU58" s="8">
        <f>VLOOKUP($A58,地图配置辅助表!$A$3:$AP$245,地图配置辅助表!AG$1,FALSE)</f>
        <v>215</v>
      </c>
      <c r="AV58" s="8">
        <f>VLOOKUP($A58,地图配置辅助表!$A$3:$AP$245,地图配置辅助表!AH$1,FALSE)</f>
        <v>216</v>
      </c>
      <c r="AW58" s="8">
        <f>VLOOKUP($A58,地图配置辅助表!$A$3:$AP$245,地图配置辅助表!AI$1,FALSE)</f>
        <v>217</v>
      </c>
      <c r="AX58" s="8">
        <f>VLOOKUP($A58,地图配置辅助表!$A$3:$AP$245,地图配置辅助表!AJ$1,FALSE)</f>
        <v>218</v>
      </c>
      <c r="AY58" s="8">
        <f>VLOOKUP($A58,地图配置辅助表!$A$3:$AP$245,地图配置辅助表!AK$1,FALSE)</f>
        <v>0</v>
      </c>
      <c r="AZ58" s="8">
        <f>VLOOKUP($A58,地图配置辅助表!$A$3:$AP$245,地图配置辅助表!AL$1,FALSE)</f>
        <v>0</v>
      </c>
      <c r="BA58" s="8">
        <f>VLOOKUP($A58,地图配置辅助表!$A$3:$AP$245,地图配置辅助表!AM$1,FALSE)</f>
        <v>0</v>
      </c>
      <c r="BB58" s="8">
        <f>VLOOKUP($A58,地图配置辅助表!$A$3:$AP$245,地图配置辅助表!AN$1,FALSE)</f>
        <v>0</v>
      </c>
      <c r="BC58" s="8">
        <f>VLOOKUP($A58,地图配置辅助表!$A$3:$AP$245,地图配置辅助表!AO$1,FALSE)</f>
        <v>0</v>
      </c>
      <c r="BD58" s="8">
        <f>VLOOKUP($A58,地图配置辅助表!$A$3:$AP$245,地图配置辅助表!AP$1,FALSE)</f>
        <v>0</v>
      </c>
    </row>
    <row r="59" spans="1:56" s="8" customFormat="1" x14ac:dyDescent="0.15">
      <c r="A59">
        <f>地图配置辅助表!A60</f>
        <v>6004</v>
      </c>
      <c r="B59" s="8">
        <f>地图配置辅助表!B60</f>
        <v>1</v>
      </c>
      <c r="C59" s="8">
        <f>地图配置辅助表!C60</f>
        <v>6</v>
      </c>
      <c r="D59" s="9" t="str">
        <f>地图配置辅助表!D60</f>
        <v>反守为攻</v>
      </c>
      <c r="E59" s="8" t="s">
        <v>86</v>
      </c>
      <c r="F59" s="8" t="s">
        <v>0</v>
      </c>
      <c r="G59" s="8">
        <v>29</v>
      </c>
      <c r="H59" s="8">
        <v>200</v>
      </c>
      <c r="I59" s="8">
        <v>140</v>
      </c>
      <c r="J59" s="8">
        <v>200</v>
      </c>
      <c r="K59" s="8">
        <v>140</v>
      </c>
      <c r="L59" s="8" t="s">
        <v>154</v>
      </c>
      <c r="M59" s="8">
        <v>0</v>
      </c>
      <c r="R59" s="8" t="s">
        <v>154</v>
      </c>
      <c r="S59" s="11">
        <f>VLOOKUP($A59,地图配置辅助表!$A$3:$AP$245,地图配置辅助表!E$1,FALSE)</f>
        <v>10</v>
      </c>
      <c r="T59" s="8">
        <f>VLOOKUP($A59,地图配置辅助表!$A$3:$AP$245,地图配置辅助表!F$1,FALSE)</f>
        <v>33507</v>
      </c>
      <c r="U59" s="8">
        <f>VLOOKUP($A59,地图配置辅助表!$A$3:$AP$245,地图配置辅助表!G$1,FALSE)</f>
        <v>1</v>
      </c>
      <c r="V59" s="8">
        <f>VLOOKUP($A59,地图配置辅助表!$A$3:$AP$245,地图配置辅助表!H$1,FALSE)</f>
        <v>1</v>
      </c>
      <c r="W59" s="8">
        <f>VLOOKUP($A59,地图配置辅助表!$A$3:$AP$245,地图配置辅助表!I$1,FALSE)</f>
        <v>0</v>
      </c>
      <c r="X59" s="8">
        <f>VLOOKUP($A59,地图配置辅助表!$A$3:$AP$245,地图配置辅助表!J$1,FALSE)</f>
        <v>0</v>
      </c>
      <c r="Y59" s="8">
        <f>VLOOKUP($A59,地图配置辅助表!$A$3:$AP$245,地图配置辅助表!K$1,FALSE)</f>
        <v>0</v>
      </c>
      <c r="Z59" s="8">
        <f>VLOOKUP($A59,地图配置辅助表!$A$3:$AP$245,地图配置辅助表!L$1,FALSE)</f>
        <v>0</v>
      </c>
      <c r="AA59" s="8">
        <f>VLOOKUP($A59,地图配置辅助表!$A$3:$AP$245,地图配置辅助表!M$1,FALSE)</f>
        <v>2</v>
      </c>
      <c r="AB59">
        <f>VLOOKUP($A59,地图配置辅助表!$A$3:$AP$245,地图配置辅助表!N$1,FALSE)</f>
        <v>1</v>
      </c>
      <c r="AC59" s="8">
        <f>VLOOKUP($A59,地图配置辅助表!$A$3:$AP$245,地图配置辅助表!O$1,FALSE)</f>
        <v>3</v>
      </c>
      <c r="AD59">
        <f>VLOOKUP($A59,地图配置辅助表!$A$3:$AP$245,地图配置辅助表!P$1,FALSE)</f>
        <v>6003</v>
      </c>
      <c r="AE59" s="8">
        <f>VLOOKUP($A59,地图配置辅助表!$A$3:$AP$245,地图配置辅助表!Q$1,FALSE)</f>
        <v>1</v>
      </c>
      <c r="AF59" s="8">
        <f>VLOOKUP($A59,地图配置辅助表!$A$3:$AP$245,地图配置辅助表!R$1,FALSE)</f>
        <v>47</v>
      </c>
      <c r="AG59" s="11">
        <f>VLOOKUP($A59,地图配置辅助表!$A$3:$AP$245,地图配置辅助表!S$1,FALSE)</f>
        <v>506004</v>
      </c>
      <c r="AH59" s="11">
        <f>VLOOKUP($A59,地图配置辅助表!$A$3:$AP$245,地图配置辅助表!T$1,FALSE)</f>
        <v>164104</v>
      </c>
      <c r="AI59" s="8">
        <f>VLOOKUP($A59,地图配置辅助表!$A$3:$AP$245,地图配置辅助表!U$1,FALSE)</f>
        <v>3</v>
      </c>
      <c r="AJ59" s="8">
        <f>VLOOKUP($A59,地图配置辅助表!$A$3:$AP$245,地图配置辅助表!V$1,FALSE)</f>
        <v>164101</v>
      </c>
      <c r="AK59" s="8">
        <f>VLOOKUP($A59,地图配置辅助表!$A$3:$AP$245,地图配置辅助表!W$1,FALSE)</f>
        <v>164102</v>
      </c>
      <c r="AL59" s="8">
        <f>VLOOKUP($A59,地图配置辅助表!$A$3:$AP$245,地图配置辅助表!X$1,FALSE)</f>
        <v>164103</v>
      </c>
      <c r="AM59" s="8">
        <f>VLOOKUP($A59,地图配置辅助表!$A$3:$AP$245,地图配置辅助表!Y$1,FALSE)</f>
        <v>0</v>
      </c>
      <c r="AN59" s="8">
        <f>VLOOKUP($A59,地图配置辅助表!$A$3:$AP$245,地图配置辅助表!Z$1,FALSE)</f>
        <v>0</v>
      </c>
      <c r="AO59" s="8">
        <f>VLOOKUP($A59,地图配置辅助表!$A$3:$AP$245,地图配置辅助表!AA$1,FALSE)</f>
        <v>0</v>
      </c>
      <c r="AP59" s="8">
        <f>VLOOKUP($A59,地图配置辅助表!$A$3:$AP$245,地图配置辅助表!AB$1,FALSE)</f>
        <v>0</v>
      </c>
      <c r="AQ59" s="8">
        <f>VLOOKUP($A59,地图配置辅助表!$A$3:$AP$245,地图配置辅助表!AC$1,FALSE)</f>
        <v>0</v>
      </c>
      <c r="AR59" s="8">
        <f>VLOOKUP($A59,地图配置辅助表!$A$3:$AP$245,地图配置辅助表!AD$1,FALSE)</f>
        <v>0</v>
      </c>
      <c r="AS59" s="8">
        <f>VLOOKUP($A59,地图配置辅助表!$A$3:$AP$245,地图配置辅助表!AE$1,FALSE)</f>
        <v>0</v>
      </c>
      <c r="AT59" s="8">
        <f>VLOOKUP($A59,地图配置辅助表!$A$3:$AP$245,地图配置辅助表!AF$1,FALSE)</f>
        <v>4</v>
      </c>
      <c r="AU59" s="8">
        <f>VLOOKUP($A59,地图配置辅助表!$A$3:$AP$245,地图配置辅助表!AG$1,FALSE)</f>
        <v>135</v>
      </c>
      <c r="AV59" s="8">
        <f>VLOOKUP($A59,地图配置辅助表!$A$3:$AP$245,地图配置辅助表!AH$1,FALSE)</f>
        <v>136</v>
      </c>
      <c r="AW59" s="8">
        <f>VLOOKUP($A59,地图配置辅助表!$A$3:$AP$245,地图配置辅助表!AI$1,FALSE)</f>
        <v>137</v>
      </c>
      <c r="AX59" s="8">
        <f>VLOOKUP($A59,地图配置辅助表!$A$3:$AP$245,地图配置辅助表!AJ$1,FALSE)</f>
        <v>138</v>
      </c>
      <c r="AY59" s="8">
        <f>VLOOKUP($A59,地图配置辅助表!$A$3:$AP$245,地图配置辅助表!AK$1,FALSE)</f>
        <v>0</v>
      </c>
      <c r="AZ59" s="8">
        <f>VLOOKUP($A59,地图配置辅助表!$A$3:$AP$245,地图配置辅助表!AL$1,FALSE)</f>
        <v>0</v>
      </c>
      <c r="BA59" s="8">
        <f>VLOOKUP($A59,地图配置辅助表!$A$3:$AP$245,地图配置辅助表!AM$1,FALSE)</f>
        <v>0</v>
      </c>
      <c r="BB59" s="8">
        <f>VLOOKUP($A59,地图配置辅助表!$A$3:$AP$245,地图配置辅助表!AN$1,FALSE)</f>
        <v>0</v>
      </c>
      <c r="BC59" s="8">
        <f>VLOOKUP($A59,地图配置辅助表!$A$3:$AP$245,地图配置辅助表!AO$1,FALSE)</f>
        <v>0</v>
      </c>
      <c r="BD59" s="8">
        <f>VLOOKUP($A59,地图配置辅助表!$A$3:$AP$245,地图配置辅助表!AP$1,FALSE)</f>
        <v>0</v>
      </c>
    </row>
    <row r="60" spans="1:56" s="8" customFormat="1" x14ac:dyDescent="0.15">
      <c r="A60">
        <f>地图配置辅助表!A61</f>
        <v>6005</v>
      </c>
      <c r="B60" s="8">
        <f>地图配置辅助表!B61</f>
        <v>1</v>
      </c>
      <c r="C60" s="8">
        <f>地图配置辅助表!C61</f>
        <v>6</v>
      </c>
      <c r="D60" s="9" t="str">
        <f>地图配置辅助表!D61</f>
        <v>突破重围</v>
      </c>
      <c r="E60" s="8" t="s">
        <v>87</v>
      </c>
      <c r="F60" s="8" t="s">
        <v>0</v>
      </c>
      <c r="G60" s="8">
        <v>29</v>
      </c>
      <c r="H60" s="8">
        <v>200</v>
      </c>
      <c r="I60" s="8">
        <v>140</v>
      </c>
      <c r="J60" s="8">
        <v>200</v>
      </c>
      <c r="K60" s="8">
        <v>140</v>
      </c>
      <c r="L60" s="8" t="s">
        <v>155</v>
      </c>
      <c r="M60" s="8">
        <v>0</v>
      </c>
      <c r="R60" s="8" t="s">
        <v>155</v>
      </c>
      <c r="S60" s="11">
        <f>VLOOKUP($A60,地图配置辅助表!$A$3:$AP$245,地图配置辅助表!E$1,FALSE)</f>
        <v>10</v>
      </c>
      <c r="T60" s="8">
        <f>VLOOKUP($A60,地图配置辅助表!$A$3:$AP$245,地图配置辅助表!F$1,FALSE)</f>
        <v>35922</v>
      </c>
      <c r="U60" s="8">
        <f>VLOOKUP($A60,地图配置辅助表!$A$3:$AP$245,地图配置辅助表!G$1,FALSE)</f>
        <v>1</v>
      </c>
      <c r="V60" s="8">
        <f>VLOOKUP($A60,地图配置辅助表!$A$3:$AP$245,地图配置辅助表!H$1,FALSE)</f>
        <v>1</v>
      </c>
      <c r="W60" s="8">
        <f>VLOOKUP($A60,地图配置辅助表!$A$3:$AP$245,地图配置辅助表!I$1,FALSE)</f>
        <v>0</v>
      </c>
      <c r="X60" s="8">
        <f>VLOOKUP($A60,地图配置辅助表!$A$3:$AP$245,地图配置辅助表!J$1,FALSE)</f>
        <v>0</v>
      </c>
      <c r="Y60" s="8">
        <f>VLOOKUP($A60,地图配置辅助表!$A$3:$AP$245,地图配置辅助表!K$1,FALSE)</f>
        <v>0</v>
      </c>
      <c r="Z60" s="8">
        <f>VLOOKUP($A60,地图配置辅助表!$A$3:$AP$245,地图配置辅助表!L$1,FALSE)</f>
        <v>0</v>
      </c>
      <c r="AA60" s="8">
        <f>VLOOKUP($A60,地图配置辅助表!$A$3:$AP$245,地图配置辅助表!M$1,FALSE)</f>
        <v>2</v>
      </c>
      <c r="AB60">
        <f>VLOOKUP($A60,地图配置辅助表!$A$3:$AP$245,地图配置辅助表!N$1,FALSE)</f>
        <v>1</v>
      </c>
      <c r="AC60" s="8">
        <f>VLOOKUP($A60,地图配置辅助表!$A$3:$AP$245,地图配置辅助表!O$1,FALSE)</f>
        <v>3</v>
      </c>
      <c r="AD60">
        <f>VLOOKUP($A60,地图配置辅助表!$A$3:$AP$245,地图配置辅助表!P$1,FALSE)</f>
        <v>6004</v>
      </c>
      <c r="AE60" s="8">
        <f>VLOOKUP($A60,地图配置辅助表!$A$3:$AP$245,地图配置辅助表!Q$1,FALSE)</f>
        <v>1</v>
      </c>
      <c r="AF60" s="8">
        <f>VLOOKUP($A60,地图配置辅助表!$A$3:$AP$245,地图配置辅助表!R$1,FALSE)</f>
        <v>47</v>
      </c>
      <c r="AG60" s="11">
        <f>VLOOKUP($A60,地图配置辅助表!$A$3:$AP$245,地图配置辅助表!S$1,FALSE)</f>
        <v>506005</v>
      </c>
      <c r="AH60" s="11">
        <f>VLOOKUP($A60,地图配置辅助表!$A$3:$AP$245,地图配置辅助表!T$1,FALSE)</f>
        <v>165104</v>
      </c>
      <c r="AI60" s="8">
        <f>VLOOKUP($A60,地图配置辅助表!$A$3:$AP$245,地图配置辅助表!U$1,FALSE)</f>
        <v>3</v>
      </c>
      <c r="AJ60" s="8">
        <f>VLOOKUP($A60,地图配置辅助表!$A$3:$AP$245,地图配置辅助表!V$1,FALSE)</f>
        <v>165101</v>
      </c>
      <c r="AK60" s="8">
        <f>VLOOKUP($A60,地图配置辅助表!$A$3:$AP$245,地图配置辅助表!W$1,FALSE)</f>
        <v>165102</v>
      </c>
      <c r="AL60" s="8">
        <f>VLOOKUP($A60,地图配置辅助表!$A$3:$AP$245,地图配置辅助表!X$1,FALSE)</f>
        <v>165103</v>
      </c>
      <c r="AM60" s="8">
        <f>VLOOKUP($A60,地图配置辅助表!$A$3:$AP$245,地图配置辅助表!Y$1,FALSE)</f>
        <v>0</v>
      </c>
      <c r="AN60" s="8">
        <f>VLOOKUP($A60,地图配置辅助表!$A$3:$AP$245,地图配置辅助表!Z$1,FALSE)</f>
        <v>0</v>
      </c>
      <c r="AO60" s="8">
        <f>VLOOKUP($A60,地图配置辅助表!$A$3:$AP$245,地图配置辅助表!AA$1,FALSE)</f>
        <v>0</v>
      </c>
      <c r="AP60" s="8">
        <f>VLOOKUP($A60,地图配置辅助表!$A$3:$AP$245,地图配置辅助表!AB$1,FALSE)</f>
        <v>0</v>
      </c>
      <c r="AQ60" s="8">
        <f>VLOOKUP($A60,地图配置辅助表!$A$3:$AP$245,地图配置辅助表!AC$1,FALSE)</f>
        <v>0</v>
      </c>
      <c r="AR60" s="8">
        <f>VLOOKUP($A60,地图配置辅助表!$A$3:$AP$245,地图配置辅助表!AD$1,FALSE)</f>
        <v>0</v>
      </c>
      <c r="AS60" s="8">
        <f>VLOOKUP($A60,地图配置辅助表!$A$3:$AP$245,地图配置辅助表!AE$1,FALSE)</f>
        <v>0</v>
      </c>
      <c r="AT60" s="8">
        <f>VLOOKUP($A60,地图配置辅助表!$A$3:$AP$245,地图配置辅助表!AF$1,FALSE)</f>
        <v>4</v>
      </c>
      <c r="AU60" s="8">
        <f>VLOOKUP($A60,地图配置辅助表!$A$3:$AP$245,地图配置辅助表!AG$1,FALSE)</f>
        <v>169</v>
      </c>
      <c r="AV60" s="8">
        <f>VLOOKUP($A60,地图配置辅助表!$A$3:$AP$245,地图配置辅助表!AH$1,FALSE)</f>
        <v>170</v>
      </c>
      <c r="AW60" s="8">
        <f>VLOOKUP($A60,地图配置辅助表!$A$3:$AP$245,地图配置辅助表!AI$1,FALSE)</f>
        <v>171</v>
      </c>
      <c r="AX60" s="8">
        <f>VLOOKUP($A60,地图配置辅助表!$A$3:$AP$245,地图配置辅助表!AJ$1,FALSE)</f>
        <v>172</v>
      </c>
      <c r="AY60" s="8">
        <f>VLOOKUP($A60,地图配置辅助表!$A$3:$AP$245,地图配置辅助表!AK$1,FALSE)</f>
        <v>0</v>
      </c>
      <c r="AZ60" s="8">
        <f>VLOOKUP($A60,地图配置辅助表!$A$3:$AP$245,地图配置辅助表!AL$1,FALSE)</f>
        <v>0</v>
      </c>
      <c r="BA60" s="8">
        <f>VLOOKUP($A60,地图配置辅助表!$A$3:$AP$245,地图配置辅助表!AM$1,FALSE)</f>
        <v>0</v>
      </c>
      <c r="BB60" s="8">
        <f>VLOOKUP($A60,地图配置辅助表!$A$3:$AP$245,地图配置辅助表!AN$1,FALSE)</f>
        <v>0</v>
      </c>
      <c r="BC60" s="8">
        <f>VLOOKUP($A60,地图配置辅助表!$A$3:$AP$245,地图配置辅助表!AO$1,FALSE)</f>
        <v>0</v>
      </c>
      <c r="BD60" s="8">
        <f>VLOOKUP($A60,地图配置辅助表!$A$3:$AP$245,地图配置辅助表!AP$1,FALSE)</f>
        <v>0</v>
      </c>
    </row>
    <row r="61" spans="1:56" s="8" customFormat="1" x14ac:dyDescent="0.15">
      <c r="A61">
        <f>地图配置辅助表!A62</f>
        <v>6006</v>
      </c>
      <c r="B61" s="8">
        <f>地图配置辅助表!B62</f>
        <v>1</v>
      </c>
      <c r="C61" s="8">
        <f>地图配置辅助表!C62</f>
        <v>6</v>
      </c>
      <c r="D61" s="9" t="str">
        <f>地图配置辅助表!D62</f>
        <v>力克强敌</v>
      </c>
      <c r="E61" s="8" t="s">
        <v>391</v>
      </c>
      <c r="F61" s="8" t="s">
        <v>0</v>
      </c>
      <c r="G61" s="8">
        <v>29</v>
      </c>
      <c r="H61" s="8">
        <v>200</v>
      </c>
      <c r="I61" s="8">
        <v>140</v>
      </c>
      <c r="J61" s="8">
        <v>200</v>
      </c>
      <c r="K61" s="8">
        <v>140</v>
      </c>
      <c r="L61" s="8" t="s">
        <v>156</v>
      </c>
      <c r="M61" s="8">
        <v>0</v>
      </c>
      <c r="R61" s="8" t="s">
        <v>156</v>
      </c>
      <c r="S61" s="11">
        <f>VLOOKUP($A61,地图配置辅助表!$A$3:$AP$245,地图配置辅助表!E$1,FALSE)</f>
        <v>10</v>
      </c>
      <c r="T61" s="8">
        <f>VLOOKUP($A61,地图配置辅助表!$A$3:$AP$245,地图配置辅助表!F$1,FALSE)</f>
        <v>39207</v>
      </c>
      <c r="U61" s="8">
        <f>VLOOKUP($A61,地图配置辅助表!$A$3:$AP$245,地图配置辅助表!G$1,FALSE)</f>
        <v>1</v>
      </c>
      <c r="V61" s="8">
        <f>VLOOKUP($A61,地图配置辅助表!$A$3:$AP$245,地图配置辅助表!H$1,FALSE)</f>
        <v>1</v>
      </c>
      <c r="W61" s="8">
        <f>VLOOKUP($A61,地图配置辅助表!$A$3:$AP$245,地图配置辅助表!I$1,FALSE)</f>
        <v>0</v>
      </c>
      <c r="X61" s="8">
        <f>VLOOKUP($A61,地图配置辅助表!$A$3:$AP$245,地图配置辅助表!J$1,FALSE)</f>
        <v>0</v>
      </c>
      <c r="Y61" s="8">
        <f>VLOOKUP($A61,地图配置辅助表!$A$3:$AP$245,地图配置辅助表!K$1,FALSE)</f>
        <v>0</v>
      </c>
      <c r="Z61" s="8">
        <f>VLOOKUP($A61,地图配置辅助表!$A$3:$AP$245,地图配置辅助表!L$1,FALSE)</f>
        <v>0</v>
      </c>
      <c r="AA61" s="8">
        <f>VLOOKUP($A61,地图配置辅助表!$A$3:$AP$245,地图配置辅助表!M$1,FALSE)</f>
        <v>2</v>
      </c>
      <c r="AB61">
        <f>VLOOKUP($A61,地图配置辅助表!$A$3:$AP$245,地图配置辅助表!N$1,FALSE)</f>
        <v>1</v>
      </c>
      <c r="AC61" s="8">
        <f>VLOOKUP($A61,地图配置辅助表!$A$3:$AP$245,地图配置辅助表!O$1,FALSE)</f>
        <v>3</v>
      </c>
      <c r="AD61">
        <f>VLOOKUP($A61,地图配置辅助表!$A$3:$AP$245,地图配置辅助表!P$1,FALSE)</f>
        <v>6005</v>
      </c>
      <c r="AE61" s="8">
        <f>VLOOKUP($A61,地图配置辅助表!$A$3:$AP$245,地图配置辅助表!Q$1,FALSE)</f>
        <v>1</v>
      </c>
      <c r="AF61" s="8">
        <f>VLOOKUP($A61,地图配置辅助表!$A$3:$AP$245,地图配置辅助表!R$1,FALSE)</f>
        <v>47</v>
      </c>
      <c r="AG61" s="11">
        <f>VLOOKUP($A61,地图配置辅助表!$A$3:$AP$245,地图配置辅助表!S$1,FALSE)</f>
        <v>506006</v>
      </c>
      <c r="AH61" s="11">
        <f>VLOOKUP($A61,地图配置辅助表!$A$3:$AP$245,地图配置辅助表!T$1,FALSE)</f>
        <v>166104</v>
      </c>
      <c r="AI61" s="8">
        <f>VLOOKUP($A61,地图配置辅助表!$A$3:$AP$245,地图配置辅助表!U$1,FALSE)</f>
        <v>3</v>
      </c>
      <c r="AJ61" s="8">
        <f>VLOOKUP($A61,地图配置辅助表!$A$3:$AP$245,地图配置辅助表!V$1,FALSE)</f>
        <v>166101</v>
      </c>
      <c r="AK61" s="8">
        <f>VLOOKUP($A61,地图配置辅助表!$A$3:$AP$245,地图配置辅助表!W$1,FALSE)</f>
        <v>166102</v>
      </c>
      <c r="AL61" s="8">
        <f>VLOOKUP($A61,地图配置辅助表!$A$3:$AP$245,地图配置辅助表!X$1,FALSE)</f>
        <v>166103</v>
      </c>
      <c r="AM61" s="8">
        <f>VLOOKUP($A61,地图配置辅助表!$A$3:$AP$245,地图配置辅助表!Y$1,FALSE)</f>
        <v>0</v>
      </c>
      <c r="AN61" s="8">
        <f>VLOOKUP($A61,地图配置辅助表!$A$3:$AP$245,地图配置辅助表!Z$1,FALSE)</f>
        <v>0</v>
      </c>
      <c r="AO61" s="8">
        <f>VLOOKUP($A61,地图配置辅助表!$A$3:$AP$245,地图配置辅助表!AA$1,FALSE)</f>
        <v>0</v>
      </c>
      <c r="AP61" s="8">
        <f>VLOOKUP($A61,地图配置辅助表!$A$3:$AP$245,地图配置辅助表!AB$1,FALSE)</f>
        <v>0</v>
      </c>
      <c r="AQ61" s="8">
        <f>VLOOKUP($A61,地图配置辅助表!$A$3:$AP$245,地图配置辅助表!AC$1,FALSE)</f>
        <v>0</v>
      </c>
      <c r="AR61" s="8">
        <f>VLOOKUP($A61,地图配置辅助表!$A$3:$AP$245,地图配置辅助表!AD$1,FALSE)</f>
        <v>0</v>
      </c>
      <c r="AS61" s="8">
        <f>VLOOKUP($A61,地图配置辅助表!$A$3:$AP$245,地图配置辅助表!AE$1,FALSE)</f>
        <v>0</v>
      </c>
      <c r="AT61" s="8">
        <f>VLOOKUP($A61,地图配置辅助表!$A$3:$AP$245,地图配置辅助表!AF$1,FALSE)</f>
        <v>4</v>
      </c>
      <c r="AU61" s="8">
        <f>VLOOKUP($A61,地图配置辅助表!$A$3:$AP$245,地图配置辅助表!AG$1,FALSE)</f>
        <v>108</v>
      </c>
      <c r="AV61" s="8">
        <f>VLOOKUP($A61,地图配置辅助表!$A$3:$AP$245,地图配置辅助表!AH$1,FALSE)</f>
        <v>109</v>
      </c>
      <c r="AW61" s="8">
        <f>VLOOKUP($A61,地图配置辅助表!$A$3:$AP$245,地图配置辅助表!AI$1,FALSE)</f>
        <v>110</v>
      </c>
      <c r="AX61" s="8">
        <f>VLOOKUP($A61,地图配置辅助表!$A$3:$AP$245,地图配置辅助表!AJ$1,FALSE)</f>
        <v>111</v>
      </c>
      <c r="AY61" s="8">
        <f>VLOOKUP($A61,地图配置辅助表!$A$3:$AP$245,地图配置辅助表!AK$1,FALSE)</f>
        <v>0</v>
      </c>
      <c r="AZ61" s="8">
        <f>VLOOKUP($A61,地图配置辅助表!$A$3:$AP$245,地图配置辅助表!AL$1,FALSE)</f>
        <v>0</v>
      </c>
      <c r="BA61" s="8">
        <f>VLOOKUP($A61,地图配置辅助表!$A$3:$AP$245,地图配置辅助表!AM$1,FALSE)</f>
        <v>0</v>
      </c>
      <c r="BB61" s="8">
        <f>VLOOKUP($A61,地图配置辅助表!$A$3:$AP$245,地图配置辅助表!AN$1,FALSE)</f>
        <v>0</v>
      </c>
      <c r="BC61" s="8">
        <f>VLOOKUP($A61,地图配置辅助表!$A$3:$AP$245,地图配置辅助表!AO$1,FALSE)</f>
        <v>0</v>
      </c>
      <c r="BD61" s="8">
        <f>VLOOKUP($A61,地图配置辅助表!$A$3:$AP$245,地图配置辅助表!AP$1,FALSE)</f>
        <v>0</v>
      </c>
    </row>
    <row r="62" spans="1:56" s="8" customFormat="1" x14ac:dyDescent="0.15">
      <c r="A62">
        <f>地图配置辅助表!A63</f>
        <v>6007</v>
      </c>
      <c r="B62" s="8">
        <f>地图配置辅助表!B63</f>
        <v>1</v>
      </c>
      <c r="C62" s="8">
        <f>地图配置辅助表!C63</f>
        <v>6</v>
      </c>
      <c r="D62" s="9" t="str">
        <f>地图配置辅助表!D63</f>
        <v>正面交锋</v>
      </c>
      <c r="E62" s="8" t="s">
        <v>86</v>
      </c>
      <c r="F62" s="8" t="s">
        <v>0</v>
      </c>
      <c r="G62" s="8">
        <v>29</v>
      </c>
      <c r="H62" s="8">
        <v>200</v>
      </c>
      <c r="I62" s="8">
        <v>140</v>
      </c>
      <c r="J62" s="8">
        <v>200</v>
      </c>
      <c r="K62" s="8">
        <v>140</v>
      </c>
      <c r="L62" s="8" t="s">
        <v>468</v>
      </c>
      <c r="M62" s="8">
        <v>0</v>
      </c>
      <c r="R62" s="8" t="s">
        <v>468</v>
      </c>
      <c r="S62" s="11">
        <f>VLOOKUP($A62,地图配置辅助表!$A$3:$AP$245,地图配置辅助表!E$1,FALSE)</f>
        <v>10</v>
      </c>
      <c r="T62" s="8">
        <f>VLOOKUP($A62,地图配置辅助表!$A$3:$AP$245,地图配置辅助表!F$1,FALSE)</f>
        <v>42238</v>
      </c>
      <c r="U62" s="8">
        <f>VLOOKUP($A62,地图配置辅助表!$A$3:$AP$245,地图配置辅助表!G$1,FALSE)</f>
        <v>1</v>
      </c>
      <c r="V62" s="8">
        <f>VLOOKUP($A62,地图配置辅助表!$A$3:$AP$245,地图配置辅助表!H$1,FALSE)</f>
        <v>1</v>
      </c>
      <c r="W62" s="8">
        <f>VLOOKUP($A62,地图配置辅助表!$A$3:$AP$245,地图配置辅助表!I$1,FALSE)</f>
        <v>0</v>
      </c>
      <c r="X62" s="8">
        <f>VLOOKUP($A62,地图配置辅助表!$A$3:$AP$245,地图配置辅助表!J$1,FALSE)</f>
        <v>0</v>
      </c>
      <c r="Y62" s="8">
        <f>VLOOKUP($A62,地图配置辅助表!$A$3:$AP$245,地图配置辅助表!K$1,FALSE)</f>
        <v>0</v>
      </c>
      <c r="Z62" s="8">
        <f>VLOOKUP($A62,地图配置辅助表!$A$3:$AP$245,地图配置辅助表!L$1,FALSE)</f>
        <v>0</v>
      </c>
      <c r="AA62" s="8">
        <f>VLOOKUP($A62,地图配置辅助表!$A$3:$AP$245,地图配置辅助表!M$1,FALSE)</f>
        <v>2</v>
      </c>
      <c r="AB62">
        <f>VLOOKUP($A62,地图配置辅助表!$A$3:$AP$245,地图配置辅助表!N$1,FALSE)</f>
        <v>1</v>
      </c>
      <c r="AC62" s="8">
        <f>VLOOKUP($A62,地图配置辅助表!$A$3:$AP$245,地图配置辅助表!O$1,FALSE)</f>
        <v>3</v>
      </c>
      <c r="AD62">
        <f>VLOOKUP($A62,地图配置辅助表!$A$3:$AP$245,地图配置辅助表!P$1,FALSE)</f>
        <v>6006</v>
      </c>
      <c r="AE62" s="8">
        <f>VLOOKUP($A62,地图配置辅助表!$A$3:$AP$245,地图配置辅助表!Q$1,FALSE)</f>
        <v>1</v>
      </c>
      <c r="AF62" s="8">
        <f>VLOOKUP($A62,地图配置辅助表!$A$3:$AP$245,地图配置辅助表!R$1,FALSE)</f>
        <v>47</v>
      </c>
      <c r="AG62" s="11">
        <f>VLOOKUP($A62,地图配置辅助表!$A$3:$AP$245,地图配置辅助表!S$1,FALSE)</f>
        <v>506007</v>
      </c>
      <c r="AH62" s="11">
        <f>VLOOKUP($A62,地图配置辅助表!$A$3:$AP$245,地图配置辅助表!T$1,FALSE)</f>
        <v>167104</v>
      </c>
      <c r="AI62" s="8">
        <f>VLOOKUP($A62,地图配置辅助表!$A$3:$AP$245,地图配置辅助表!U$1,FALSE)</f>
        <v>3</v>
      </c>
      <c r="AJ62" s="8">
        <f>VLOOKUP($A62,地图配置辅助表!$A$3:$AP$245,地图配置辅助表!V$1,FALSE)</f>
        <v>167101</v>
      </c>
      <c r="AK62" s="8">
        <f>VLOOKUP($A62,地图配置辅助表!$A$3:$AP$245,地图配置辅助表!W$1,FALSE)</f>
        <v>167102</v>
      </c>
      <c r="AL62" s="8">
        <f>VLOOKUP($A62,地图配置辅助表!$A$3:$AP$245,地图配置辅助表!X$1,FALSE)</f>
        <v>167103</v>
      </c>
      <c r="AM62" s="8">
        <f>VLOOKUP($A62,地图配置辅助表!$A$3:$AP$245,地图配置辅助表!Y$1,FALSE)</f>
        <v>0</v>
      </c>
      <c r="AN62" s="8">
        <f>VLOOKUP($A62,地图配置辅助表!$A$3:$AP$245,地图配置辅助表!Z$1,FALSE)</f>
        <v>0</v>
      </c>
      <c r="AO62" s="8">
        <f>VLOOKUP($A62,地图配置辅助表!$A$3:$AP$245,地图配置辅助表!AA$1,FALSE)</f>
        <v>0</v>
      </c>
      <c r="AP62" s="8">
        <f>VLOOKUP($A62,地图配置辅助表!$A$3:$AP$245,地图配置辅助表!AB$1,FALSE)</f>
        <v>0</v>
      </c>
      <c r="AQ62" s="8">
        <f>VLOOKUP($A62,地图配置辅助表!$A$3:$AP$245,地图配置辅助表!AC$1,FALSE)</f>
        <v>0</v>
      </c>
      <c r="AR62" s="8">
        <f>VLOOKUP($A62,地图配置辅助表!$A$3:$AP$245,地图配置辅助表!AD$1,FALSE)</f>
        <v>0</v>
      </c>
      <c r="AS62" s="8">
        <f>VLOOKUP($A62,地图配置辅助表!$A$3:$AP$245,地图配置辅助表!AE$1,FALSE)</f>
        <v>0</v>
      </c>
      <c r="AT62" s="8">
        <f>VLOOKUP($A62,地图配置辅助表!$A$3:$AP$245,地图配置辅助表!AF$1,FALSE)</f>
        <v>4</v>
      </c>
      <c r="AU62" s="8">
        <f>VLOOKUP($A62,地图配置辅助表!$A$3:$AP$245,地图配置辅助表!AG$1,FALSE)</f>
        <v>215</v>
      </c>
      <c r="AV62" s="8">
        <f>VLOOKUP($A62,地图配置辅助表!$A$3:$AP$245,地图配置辅助表!AH$1,FALSE)</f>
        <v>216</v>
      </c>
      <c r="AW62" s="8">
        <f>VLOOKUP($A62,地图配置辅助表!$A$3:$AP$245,地图配置辅助表!AI$1,FALSE)</f>
        <v>217</v>
      </c>
      <c r="AX62" s="8">
        <f>VLOOKUP($A62,地图配置辅助表!$A$3:$AP$245,地图配置辅助表!AJ$1,FALSE)</f>
        <v>218</v>
      </c>
      <c r="AY62" s="8">
        <f>VLOOKUP($A62,地图配置辅助表!$A$3:$AP$245,地图配置辅助表!AK$1,FALSE)</f>
        <v>0</v>
      </c>
      <c r="AZ62" s="8">
        <f>VLOOKUP($A62,地图配置辅助表!$A$3:$AP$245,地图配置辅助表!AL$1,FALSE)</f>
        <v>0</v>
      </c>
      <c r="BA62" s="8">
        <f>VLOOKUP($A62,地图配置辅助表!$A$3:$AP$245,地图配置辅助表!AM$1,FALSE)</f>
        <v>0</v>
      </c>
      <c r="BB62" s="8">
        <f>VLOOKUP($A62,地图配置辅助表!$A$3:$AP$245,地图配置辅助表!AN$1,FALSE)</f>
        <v>0</v>
      </c>
      <c r="BC62" s="8">
        <f>VLOOKUP($A62,地图配置辅助表!$A$3:$AP$245,地图配置辅助表!AO$1,FALSE)</f>
        <v>0</v>
      </c>
      <c r="BD62" s="8">
        <f>VLOOKUP($A62,地图配置辅助表!$A$3:$AP$245,地图配置辅助表!AP$1,FALSE)</f>
        <v>0</v>
      </c>
    </row>
    <row r="63" spans="1:56" s="8" customFormat="1" x14ac:dyDescent="0.15">
      <c r="A63">
        <f>地图配置辅助表!A64</f>
        <v>6008</v>
      </c>
      <c r="B63" s="8">
        <f>地图配置辅助表!B64</f>
        <v>1</v>
      </c>
      <c r="C63" s="8">
        <f>地图配置辅助表!C64</f>
        <v>6</v>
      </c>
      <c r="D63" s="9" t="str">
        <f>地图配置辅助表!D64</f>
        <v>愈战愈勇</v>
      </c>
      <c r="E63" s="8" t="s">
        <v>87</v>
      </c>
      <c r="F63" s="8" t="s">
        <v>0</v>
      </c>
      <c r="G63" s="8">
        <v>29</v>
      </c>
      <c r="H63" s="8">
        <v>200</v>
      </c>
      <c r="I63" s="8">
        <v>140</v>
      </c>
      <c r="J63" s="8">
        <v>200</v>
      </c>
      <c r="K63" s="8">
        <v>140</v>
      </c>
      <c r="L63" s="8" t="s">
        <v>469</v>
      </c>
      <c r="M63" s="8">
        <v>0</v>
      </c>
      <c r="R63" s="8" t="s">
        <v>469</v>
      </c>
      <c r="S63" s="11">
        <f>VLOOKUP($A63,地图配置辅助表!$A$3:$AP$245,地图配置辅助表!E$1,FALSE)</f>
        <v>10</v>
      </c>
      <c r="T63" s="8">
        <f>VLOOKUP($A63,地图配置辅助表!$A$3:$AP$245,地图配置辅助表!F$1,FALSE)</f>
        <v>45449</v>
      </c>
      <c r="U63" s="8">
        <f>VLOOKUP($A63,地图配置辅助表!$A$3:$AP$245,地图配置辅助表!G$1,FALSE)</f>
        <v>1</v>
      </c>
      <c r="V63" s="8">
        <f>VLOOKUP($A63,地图配置辅助表!$A$3:$AP$245,地图配置辅助表!H$1,FALSE)</f>
        <v>1</v>
      </c>
      <c r="W63" s="8">
        <f>VLOOKUP($A63,地图配置辅助表!$A$3:$AP$245,地图配置辅助表!I$1,FALSE)</f>
        <v>0</v>
      </c>
      <c r="X63" s="8">
        <f>VLOOKUP($A63,地图配置辅助表!$A$3:$AP$245,地图配置辅助表!J$1,FALSE)</f>
        <v>0</v>
      </c>
      <c r="Y63" s="8">
        <f>VLOOKUP($A63,地图配置辅助表!$A$3:$AP$245,地图配置辅助表!K$1,FALSE)</f>
        <v>0</v>
      </c>
      <c r="Z63" s="8">
        <f>VLOOKUP($A63,地图配置辅助表!$A$3:$AP$245,地图配置辅助表!L$1,FALSE)</f>
        <v>0</v>
      </c>
      <c r="AA63" s="8">
        <f>VLOOKUP($A63,地图配置辅助表!$A$3:$AP$245,地图配置辅助表!M$1,FALSE)</f>
        <v>2</v>
      </c>
      <c r="AB63">
        <f>VLOOKUP($A63,地图配置辅助表!$A$3:$AP$245,地图配置辅助表!N$1,FALSE)</f>
        <v>1</v>
      </c>
      <c r="AC63" s="8">
        <f>VLOOKUP($A63,地图配置辅助表!$A$3:$AP$245,地图配置辅助表!O$1,FALSE)</f>
        <v>3</v>
      </c>
      <c r="AD63">
        <f>VLOOKUP($A63,地图配置辅助表!$A$3:$AP$245,地图配置辅助表!P$1,FALSE)</f>
        <v>6007</v>
      </c>
      <c r="AE63" s="8">
        <f>VLOOKUP($A63,地图配置辅助表!$A$3:$AP$245,地图配置辅助表!Q$1,FALSE)</f>
        <v>1</v>
      </c>
      <c r="AF63" s="8">
        <f>VLOOKUP($A63,地图配置辅助表!$A$3:$AP$245,地图配置辅助表!R$1,FALSE)</f>
        <v>47</v>
      </c>
      <c r="AG63" s="11">
        <f>VLOOKUP($A63,地图配置辅助表!$A$3:$AP$245,地图配置辅助表!S$1,FALSE)</f>
        <v>506008</v>
      </c>
      <c r="AH63" s="11">
        <f>VLOOKUP($A63,地图配置辅助表!$A$3:$AP$245,地图配置辅助表!T$1,FALSE)</f>
        <v>168104</v>
      </c>
      <c r="AI63" s="8">
        <f>VLOOKUP($A63,地图配置辅助表!$A$3:$AP$245,地图配置辅助表!U$1,FALSE)</f>
        <v>3</v>
      </c>
      <c r="AJ63" s="8">
        <f>VLOOKUP($A63,地图配置辅助表!$A$3:$AP$245,地图配置辅助表!V$1,FALSE)</f>
        <v>168101</v>
      </c>
      <c r="AK63" s="8">
        <f>VLOOKUP($A63,地图配置辅助表!$A$3:$AP$245,地图配置辅助表!W$1,FALSE)</f>
        <v>168102</v>
      </c>
      <c r="AL63" s="8">
        <f>VLOOKUP($A63,地图配置辅助表!$A$3:$AP$245,地图配置辅助表!X$1,FALSE)</f>
        <v>168103</v>
      </c>
      <c r="AM63" s="8">
        <f>VLOOKUP($A63,地图配置辅助表!$A$3:$AP$245,地图配置辅助表!Y$1,FALSE)</f>
        <v>0</v>
      </c>
      <c r="AN63" s="8">
        <f>VLOOKUP($A63,地图配置辅助表!$A$3:$AP$245,地图配置辅助表!Z$1,FALSE)</f>
        <v>0</v>
      </c>
      <c r="AO63" s="8">
        <f>VLOOKUP($A63,地图配置辅助表!$A$3:$AP$245,地图配置辅助表!AA$1,FALSE)</f>
        <v>0</v>
      </c>
      <c r="AP63" s="8">
        <f>VLOOKUP($A63,地图配置辅助表!$A$3:$AP$245,地图配置辅助表!AB$1,FALSE)</f>
        <v>0</v>
      </c>
      <c r="AQ63" s="8">
        <f>VLOOKUP($A63,地图配置辅助表!$A$3:$AP$245,地图配置辅助表!AC$1,FALSE)</f>
        <v>0</v>
      </c>
      <c r="AR63" s="8">
        <f>VLOOKUP($A63,地图配置辅助表!$A$3:$AP$245,地图配置辅助表!AD$1,FALSE)</f>
        <v>0</v>
      </c>
      <c r="AS63" s="8">
        <f>VLOOKUP($A63,地图配置辅助表!$A$3:$AP$245,地图配置辅助表!AE$1,FALSE)</f>
        <v>0</v>
      </c>
      <c r="AT63" s="8">
        <f>VLOOKUP($A63,地图配置辅助表!$A$3:$AP$245,地图配置辅助表!AF$1,FALSE)</f>
        <v>4</v>
      </c>
      <c r="AU63" s="8">
        <f>VLOOKUP($A63,地图配置辅助表!$A$3:$AP$245,地图配置辅助表!AG$1,FALSE)</f>
        <v>215</v>
      </c>
      <c r="AV63" s="8">
        <f>VLOOKUP($A63,地图配置辅助表!$A$3:$AP$245,地图配置辅助表!AH$1,FALSE)</f>
        <v>216</v>
      </c>
      <c r="AW63" s="8">
        <f>VLOOKUP($A63,地图配置辅助表!$A$3:$AP$245,地图配置辅助表!AI$1,FALSE)</f>
        <v>217</v>
      </c>
      <c r="AX63" s="8">
        <f>VLOOKUP($A63,地图配置辅助表!$A$3:$AP$245,地图配置辅助表!AJ$1,FALSE)</f>
        <v>218</v>
      </c>
      <c r="AY63" s="8">
        <f>VLOOKUP($A63,地图配置辅助表!$A$3:$AP$245,地图配置辅助表!AK$1,FALSE)</f>
        <v>0</v>
      </c>
      <c r="AZ63" s="8">
        <f>VLOOKUP($A63,地图配置辅助表!$A$3:$AP$245,地图配置辅助表!AL$1,FALSE)</f>
        <v>0</v>
      </c>
      <c r="BA63" s="8">
        <f>VLOOKUP($A63,地图配置辅助表!$A$3:$AP$245,地图配置辅助表!AM$1,FALSE)</f>
        <v>0</v>
      </c>
      <c r="BB63" s="8">
        <f>VLOOKUP($A63,地图配置辅助表!$A$3:$AP$245,地图配置辅助表!AN$1,FALSE)</f>
        <v>0</v>
      </c>
      <c r="BC63" s="8">
        <f>VLOOKUP($A63,地图配置辅助表!$A$3:$AP$245,地图配置辅助表!AO$1,FALSE)</f>
        <v>0</v>
      </c>
      <c r="BD63" s="8">
        <f>VLOOKUP($A63,地图配置辅助表!$A$3:$AP$245,地图配置辅助表!AP$1,FALSE)</f>
        <v>0</v>
      </c>
    </row>
    <row r="64" spans="1:56" s="8" customFormat="1" x14ac:dyDescent="0.15">
      <c r="A64">
        <f>地图配置辅助表!A65</f>
        <v>6009</v>
      </c>
      <c r="B64" s="8">
        <f>地图配置辅助表!B65</f>
        <v>1</v>
      </c>
      <c r="C64" s="8">
        <f>地图配置辅助表!C65</f>
        <v>6</v>
      </c>
      <c r="D64" s="9" t="str">
        <f>地图配置辅助表!D65</f>
        <v>决战太乙</v>
      </c>
      <c r="E64" s="8" t="s">
        <v>391</v>
      </c>
      <c r="F64" s="8" t="s">
        <v>0</v>
      </c>
      <c r="G64" s="8">
        <v>29</v>
      </c>
      <c r="H64" s="8">
        <v>200</v>
      </c>
      <c r="I64" s="8">
        <v>140</v>
      </c>
      <c r="J64" s="8">
        <v>200</v>
      </c>
      <c r="K64" s="8">
        <v>140</v>
      </c>
      <c r="L64" s="8" t="s">
        <v>470</v>
      </c>
      <c r="M64" s="8">
        <v>0</v>
      </c>
      <c r="R64" s="8" t="s">
        <v>470</v>
      </c>
      <c r="S64" s="11">
        <f>VLOOKUP($A64,地图配置辅助表!$A$3:$AP$245,地图配置辅助表!E$1,FALSE)</f>
        <v>10</v>
      </c>
      <c r="T64" s="8">
        <f>VLOOKUP($A64,地图配置辅助表!$A$3:$AP$245,地图配置辅助表!F$1,FALSE)</f>
        <v>56798</v>
      </c>
      <c r="U64" s="8">
        <f>VLOOKUP($A64,地图配置辅助表!$A$3:$AP$245,地图配置辅助表!G$1,FALSE)</f>
        <v>1</v>
      </c>
      <c r="V64" s="8">
        <f>VLOOKUP($A64,地图配置辅助表!$A$3:$AP$245,地图配置辅助表!H$1,FALSE)</f>
        <v>1</v>
      </c>
      <c r="W64" s="8">
        <f>VLOOKUP($A64,地图配置辅助表!$A$3:$AP$245,地图配置辅助表!I$1,FALSE)</f>
        <v>0</v>
      </c>
      <c r="X64" s="8">
        <f>VLOOKUP($A64,地图配置辅助表!$A$3:$AP$245,地图配置辅助表!J$1,FALSE)</f>
        <v>0</v>
      </c>
      <c r="Y64" s="8">
        <f>VLOOKUP($A64,地图配置辅助表!$A$3:$AP$245,地图配置辅助表!K$1,FALSE)</f>
        <v>0</v>
      </c>
      <c r="Z64" s="8">
        <f>VLOOKUP($A64,地图配置辅助表!$A$3:$AP$245,地图配置辅助表!L$1,FALSE)</f>
        <v>0</v>
      </c>
      <c r="AA64" s="8">
        <f>VLOOKUP($A64,地图配置辅助表!$A$3:$AP$245,地图配置辅助表!M$1,FALSE)</f>
        <v>2</v>
      </c>
      <c r="AB64">
        <f>VLOOKUP($A64,地图配置辅助表!$A$3:$AP$245,地图配置辅助表!N$1,FALSE)</f>
        <v>1</v>
      </c>
      <c r="AC64" s="8">
        <f>VLOOKUP($A64,地图配置辅助表!$A$3:$AP$245,地图配置辅助表!O$1,FALSE)</f>
        <v>3</v>
      </c>
      <c r="AD64">
        <f>VLOOKUP($A64,地图配置辅助表!$A$3:$AP$245,地图配置辅助表!P$1,FALSE)</f>
        <v>6008</v>
      </c>
      <c r="AE64" s="8">
        <f>VLOOKUP($A64,地图配置辅助表!$A$3:$AP$245,地图配置辅助表!Q$1,FALSE)</f>
        <v>1</v>
      </c>
      <c r="AF64" s="8">
        <f>VLOOKUP($A64,地图配置辅助表!$A$3:$AP$245,地图配置辅助表!R$1,FALSE)</f>
        <v>47</v>
      </c>
      <c r="AG64" s="11">
        <f>VLOOKUP($A64,地图配置辅助表!$A$3:$AP$245,地图配置辅助表!S$1,FALSE)</f>
        <v>506009</v>
      </c>
      <c r="AH64" s="11">
        <f>VLOOKUP($A64,地图配置辅助表!$A$3:$AP$245,地图配置辅助表!T$1,FALSE)</f>
        <v>169104</v>
      </c>
      <c r="AI64" s="8">
        <f>VLOOKUP($A64,地图配置辅助表!$A$3:$AP$245,地图配置辅助表!U$1,FALSE)</f>
        <v>3</v>
      </c>
      <c r="AJ64" s="8">
        <f>VLOOKUP($A64,地图配置辅助表!$A$3:$AP$245,地图配置辅助表!V$1,FALSE)</f>
        <v>169101</v>
      </c>
      <c r="AK64" s="8">
        <f>VLOOKUP($A64,地图配置辅助表!$A$3:$AP$245,地图配置辅助表!W$1,FALSE)</f>
        <v>169102</v>
      </c>
      <c r="AL64" s="8">
        <f>VLOOKUP($A64,地图配置辅助表!$A$3:$AP$245,地图配置辅助表!X$1,FALSE)</f>
        <v>169103</v>
      </c>
      <c r="AM64" s="8">
        <f>VLOOKUP($A64,地图配置辅助表!$A$3:$AP$245,地图配置辅助表!Y$1,FALSE)</f>
        <v>0</v>
      </c>
      <c r="AN64" s="8">
        <f>VLOOKUP($A64,地图配置辅助表!$A$3:$AP$245,地图配置辅助表!Z$1,FALSE)</f>
        <v>0</v>
      </c>
      <c r="AO64" s="8">
        <f>VLOOKUP($A64,地图配置辅助表!$A$3:$AP$245,地图配置辅助表!AA$1,FALSE)</f>
        <v>0</v>
      </c>
      <c r="AP64" s="8">
        <f>VLOOKUP($A64,地图配置辅助表!$A$3:$AP$245,地图配置辅助表!AB$1,FALSE)</f>
        <v>0</v>
      </c>
      <c r="AQ64" s="8">
        <f>VLOOKUP($A64,地图配置辅助表!$A$3:$AP$245,地图配置辅助表!AC$1,FALSE)</f>
        <v>0</v>
      </c>
      <c r="AR64" s="8">
        <f>VLOOKUP($A64,地图配置辅助表!$A$3:$AP$245,地图配置辅助表!AD$1,FALSE)</f>
        <v>0</v>
      </c>
      <c r="AS64" s="8">
        <f>VLOOKUP($A64,地图配置辅助表!$A$3:$AP$245,地图配置辅助表!AE$1,FALSE)</f>
        <v>0</v>
      </c>
      <c r="AT64" s="8">
        <f>VLOOKUP($A64,地图配置辅助表!$A$3:$AP$245,地图配置辅助表!AF$1,FALSE)</f>
        <v>4</v>
      </c>
      <c r="AU64" s="8">
        <f>VLOOKUP($A64,地图配置辅助表!$A$3:$AP$245,地图配置辅助表!AG$1,FALSE)</f>
        <v>215</v>
      </c>
      <c r="AV64" s="8">
        <f>VLOOKUP($A64,地图配置辅助表!$A$3:$AP$245,地图配置辅助表!AH$1,FALSE)</f>
        <v>216</v>
      </c>
      <c r="AW64" s="8">
        <f>VLOOKUP($A64,地图配置辅助表!$A$3:$AP$245,地图配置辅助表!AI$1,FALSE)</f>
        <v>217</v>
      </c>
      <c r="AX64" s="8">
        <f>VLOOKUP($A64,地图配置辅助表!$A$3:$AP$245,地图配置辅助表!AJ$1,FALSE)</f>
        <v>218</v>
      </c>
      <c r="AY64" s="8">
        <f>VLOOKUP($A64,地图配置辅助表!$A$3:$AP$245,地图配置辅助表!AK$1,FALSE)</f>
        <v>0</v>
      </c>
      <c r="AZ64" s="8">
        <f>VLOOKUP($A64,地图配置辅助表!$A$3:$AP$245,地图配置辅助表!AL$1,FALSE)</f>
        <v>0</v>
      </c>
      <c r="BA64" s="8">
        <f>VLOOKUP($A64,地图配置辅助表!$A$3:$AP$245,地图配置辅助表!AM$1,FALSE)</f>
        <v>0</v>
      </c>
      <c r="BB64" s="8">
        <f>VLOOKUP($A64,地图配置辅助表!$A$3:$AP$245,地图配置辅助表!AN$1,FALSE)</f>
        <v>0</v>
      </c>
      <c r="BC64" s="8">
        <f>VLOOKUP($A64,地图配置辅助表!$A$3:$AP$245,地图配置辅助表!AO$1,FALSE)</f>
        <v>0</v>
      </c>
      <c r="BD64" s="8">
        <f>VLOOKUP($A64,地图配置辅助表!$A$3:$AP$245,地图配置辅助表!AP$1,FALSE)</f>
        <v>0</v>
      </c>
    </row>
    <row r="65" spans="1:56" s="8" customFormat="1" x14ac:dyDescent="0.15">
      <c r="A65">
        <f>地图配置辅助表!A66</f>
        <v>7001</v>
      </c>
      <c r="B65" s="8">
        <f>地图配置辅助表!B66</f>
        <v>1</v>
      </c>
      <c r="C65" s="8">
        <f>地图配置辅助表!C66</f>
        <v>7</v>
      </c>
      <c r="D65" s="9" t="str">
        <f>地图配置辅助表!D66</f>
        <v>突袭白虎堂</v>
      </c>
      <c r="E65" s="8" t="s">
        <v>1</v>
      </c>
      <c r="F65" s="8" t="s">
        <v>0</v>
      </c>
      <c r="G65" s="8">
        <v>29</v>
      </c>
      <c r="H65" s="8">
        <v>200</v>
      </c>
      <c r="I65" s="8">
        <v>140</v>
      </c>
      <c r="J65" s="8">
        <v>200</v>
      </c>
      <c r="K65" s="8">
        <v>140</v>
      </c>
      <c r="L65" s="8" t="s">
        <v>157</v>
      </c>
      <c r="M65" s="8">
        <v>0</v>
      </c>
      <c r="R65" s="8" t="s">
        <v>157</v>
      </c>
      <c r="S65" s="11">
        <f>VLOOKUP($A65,地图配置辅助表!$A$3:$AP$245,地图配置辅助表!E$1,FALSE)</f>
        <v>10</v>
      </c>
      <c r="T65" s="8">
        <f>VLOOKUP($A65,地图配置辅助表!$A$3:$AP$245,地图配置辅助表!F$1,FALSE)</f>
        <v>52510</v>
      </c>
      <c r="U65" s="8">
        <f>VLOOKUP($A65,地图配置辅助表!$A$3:$AP$245,地图配置辅助表!G$1,FALSE)</f>
        <v>1</v>
      </c>
      <c r="V65" s="8">
        <f>VLOOKUP($A65,地图配置辅助表!$A$3:$AP$245,地图配置辅助表!H$1,FALSE)</f>
        <v>1</v>
      </c>
      <c r="W65" s="8">
        <f>VLOOKUP($A65,地图配置辅助表!$A$3:$AP$245,地图配置辅助表!I$1,FALSE)</f>
        <v>0</v>
      </c>
      <c r="X65" s="8">
        <f>VLOOKUP($A65,地图配置辅助表!$A$3:$AP$245,地图配置辅助表!J$1,FALSE)</f>
        <v>0</v>
      </c>
      <c r="Y65" s="8">
        <f>VLOOKUP($A65,地图配置辅助表!$A$3:$AP$245,地图配置辅助表!K$1,FALSE)</f>
        <v>0</v>
      </c>
      <c r="Z65" s="8">
        <f>VLOOKUP($A65,地图配置辅助表!$A$3:$AP$245,地图配置辅助表!L$1,FALSE)</f>
        <v>0</v>
      </c>
      <c r="AA65" s="8">
        <f>VLOOKUP($A65,地图配置辅助表!$A$3:$AP$245,地图配置辅助表!M$1,FALSE)</f>
        <v>2</v>
      </c>
      <c r="AB65">
        <f>VLOOKUP($A65,地图配置辅助表!$A$3:$AP$245,地图配置辅助表!N$1,FALSE)</f>
        <v>1</v>
      </c>
      <c r="AC65" s="8">
        <f>VLOOKUP($A65,地图配置辅助表!$A$3:$AP$245,地图配置辅助表!O$1,FALSE)</f>
        <v>3</v>
      </c>
      <c r="AD65">
        <f>VLOOKUP($A65,地图配置辅助表!$A$3:$AP$245,地图配置辅助表!P$1,FALSE)</f>
        <v>6009</v>
      </c>
      <c r="AE65" s="8">
        <f>VLOOKUP($A65,地图配置辅助表!$A$3:$AP$245,地图配置辅助表!Q$1,FALSE)</f>
        <v>1</v>
      </c>
      <c r="AF65" s="8">
        <f>VLOOKUP($A65,地图配置辅助表!$A$3:$AP$245,地图配置辅助表!R$1,FALSE)</f>
        <v>56</v>
      </c>
      <c r="AG65" s="11">
        <f>VLOOKUP($A65,地图配置辅助表!$A$3:$AP$245,地图配置辅助表!S$1,FALSE)</f>
        <v>507001</v>
      </c>
      <c r="AH65" s="11">
        <f>VLOOKUP($A65,地图配置辅助表!$A$3:$AP$245,地图配置辅助表!T$1,FALSE)</f>
        <v>171104</v>
      </c>
      <c r="AI65" s="8">
        <f>VLOOKUP($A65,地图配置辅助表!$A$3:$AP$245,地图配置辅助表!U$1,FALSE)</f>
        <v>3</v>
      </c>
      <c r="AJ65" s="8">
        <f>VLOOKUP($A65,地图配置辅助表!$A$3:$AP$245,地图配置辅助表!V$1,FALSE)</f>
        <v>171101</v>
      </c>
      <c r="AK65" s="8">
        <f>VLOOKUP($A65,地图配置辅助表!$A$3:$AP$245,地图配置辅助表!W$1,FALSE)</f>
        <v>171102</v>
      </c>
      <c r="AL65" s="8">
        <f>VLOOKUP($A65,地图配置辅助表!$A$3:$AP$245,地图配置辅助表!X$1,FALSE)</f>
        <v>171103</v>
      </c>
      <c r="AM65" s="8">
        <f>VLOOKUP($A65,地图配置辅助表!$A$3:$AP$245,地图配置辅助表!Y$1,FALSE)</f>
        <v>0</v>
      </c>
      <c r="AN65" s="8">
        <f>VLOOKUP($A65,地图配置辅助表!$A$3:$AP$245,地图配置辅助表!Z$1,FALSE)</f>
        <v>0</v>
      </c>
      <c r="AO65" s="8">
        <f>VLOOKUP($A65,地图配置辅助表!$A$3:$AP$245,地图配置辅助表!AA$1,FALSE)</f>
        <v>0</v>
      </c>
      <c r="AP65" s="8">
        <f>VLOOKUP($A65,地图配置辅助表!$A$3:$AP$245,地图配置辅助表!AB$1,FALSE)</f>
        <v>0</v>
      </c>
      <c r="AQ65" s="8">
        <f>VLOOKUP($A65,地图配置辅助表!$A$3:$AP$245,地图配置辅助表!AC$1,FALSE)</f>
        <v>0</v>
      </c>
      <c r="AR65" s="8">
        <f>VLOOKUP($A65,地图配置辅助表!$A$3:$AP$245,地图配置辅助表!AD$1,FALSE)</f>
        <v>0</v>
      </c>
      <c r="AS65" s="8">
        <f>VLOOKUP($A65,地图配置辅助表!$A$3:$AP$245,地图配置辅助表!AE$1,FALSE)</f>
        <v>0</v>
      </c>
      <c r="AT65" s="8">
        <f>VLOOKUP($A65,地图配置辅助表!$A$3:$AP$245,地图配置辅助表!AF$1,FALSE)</f>
        <v>4</v>
      </c>
      <c r="AU65" s="8">
        <f>VLOOKUP($A65,地图配置辅助表!$A$3:$AP$245,地图配置辅助表!AG$1,FALSE)</f>
        <v>424</v>
      </c>
      <c r="AV65" s="8">
        <f>VLOOKUP($A65,地图配置辅助表!$A$3:$AP$245,地图配置辅助表!AH$1,FALSE)</f>
        <v>425</v>
      </c>
      <c r="AW65" s="8">
        <f>VLOOKUP($A65,地图配置辅助表!$A$3:$AP$245,地图配置辅助表!AI$1,FALSE)</f>
        <v>426</v>
      </c>
      <c r="AX65" s="8">
        <f>VLOOKUP($A65,地图配置辅助表!$A$3:$AP$245,地图配置辅助表!AJ$1,FALSE)</f>
        <v>427</v>
      </c>
      <c r="AY65" s="8">
        <f>VLOOKUP($A65,地图配置辅助表!$A$3:$AP$245,地图配置辅助表!AK$1,FALSE)</f>
        <v>0</v>
      </c>
      <c r="AZ65" s="8">
        <f>VLOOKUP($A65,地图配置辅助表!$A$3:$AP$245,地图配置辅助表!AL$1,FALSE)</f>
        <v>0</v>
      </c>
      <c r="BA65" s="8">
        <f>VLOOKUP($A65,地图配置辅助表!$A$3:$AP$245,地图配置辅助表!AM$1,FALSE)</f>
        <v>0</v>
      </c>
      <c r="BB65" s="8">
        <f>VLOOKUP($A65,地图配置辅助表!$A$3:$AP$245,地图配置辅助表!AN$1,FALSE)</f>
        <v>0</v>
      </c>
      <c r="BC65" s="8">
        <f>VLOOKUP($A65,地图配置辅助表!$A$3:$AP$245,地图配置辅助表!AO$1,FALSE)</f>
        <v>0</v>
      </c>
      <c r="BD65" s="8">
        <f>VLOOKUP($A65,地图配置辅助表!$A$3:$AP$245,地图配置辅助表!AP$1,FALSE)</f>
        <v>0</v>
      </c>
    </row>
    <row r="66" spans="1:56" s="8" customFormat="1" x14ac:dyDescent="0.15">
      <c r="A66">
        <f>地图配置辅助表!A67</f>
        <v>7002</v>
      </c>
      <c r="B66" s="8">
        <f>地图配置辅助表!B67</f>
        <v>1</v>
      </c>
      <c r="C66" s="8">
        <f>地图配置辅助表!C67</f>
        <v>7</v>
      </c>
      <c r="D66" s="9" t="str">
        <f>地图配置辅助表!D67</f>
        <v>勇闯玄武堂</v>
      </c>
      <c r="E66" s="8" t="s">
        <v>2</v>
      </c>
      <c r="F66" s="8" t="s">
        <v>0</v>
      </c>
      <c r="G66" s="8">
        <v>29</v>
      </c>
      <c r="H66" s="8">
        <v>200</v>
      </c>
      <c r="I66" s="8">
        <v>140</v>
      </c>
      <c r="J66" s="8">
        <v>200</v>
      </c>
      <c r="K66" s="8">
        <v>140</v>
      </c>
      <c r="L66" s="8" t="s">
        <v>158</v>
      </c>
      <c r="M66" s="8">
        <v>0</v>
      </c>
      <c r="R66" s="8" t="s">
        <v>158</v>
      </c>
      <c r="S66" s="11">
        <f>VLOOKUP($A66,地图配置辅助表!$A$3:$AP$245,地图配置辅助表!E$1,FALSE)</f>
        <v>10</v>
      </c>
      <c r="T66" s="8">
        <f>VLOOKUP($A66,地图配置辅助表!$A$3:$AP$245,地图配置辅助表!F$1,FALSE)</f>
        <v>56336</v>
      </c>
      <c r="U66" s="8">
        <f>VLOOKUP($A66,地图配置辅助表!$A$3:$AP$245,地图配置辅助表!G$1,FALSE)</f>
        <v>1</v>
      </c>
      <c r="V66" s="8">
        <f>VLOOKUP($A66,地图配置辅助表!$A$3:$AP$245,地图配置辅助表!H$1,FALSE)</f>
        <v>1</v>
      </c>
      <c r="W66" s="8">
        <f>VLOOKUP($A66,地图配置辅助表!$A$3:$AP$245,地图配置辅助表!I$1,FALSE)</f>
        <v>0</v>
      </c>
      <c r="X66" s="8">
        <f>VLOOKUP($A66,地图配置辅助表!$A$3:$AP$245,地图配置辅助表!J$1,FALSE)</f>
        <v>0</v>
      </c>
      <c r="Y66" s="8">
        <f>VLOOKUP($A66,地图配置辅助表!$A$3:$AP$245,地图配置辅助表!K$1,FALSE)</f>
        <v>0</v>
      </c>
      <c r="Z66" s="8">
        <f>VLOOKUP($A66,地图配置辅助表!$A$3:$AP$245,地图配置辅助表!L$1,FALSE)</f>
        <v>0</v>
      </c>
      <c r="AA66" s="8">
        <f>VLOOKUP($A66,地图配置辅助表!$A$3:$AP$245,地图配置辅助表!M$1,FALSE)</f>
        <v>2</v>
      </c>
      <c r="AB66">
        <f>VLOOKUP($A66,地图配置辅助表!$A$3:$AP$245,地图配置辅助表!N$1,FALSE)</f>
        <v>1</v>
      </c>
      <c r="AC66" s="8">
        <f>VLOOKUP($A66,地图配置辅助表!$A$3:$AP$245,地图配置辅助表!O$1,FALSE)</f>
        <v>3</v>
      </c>
      <c r="AD66">
        <f>VLOOKUP($A66,地图配置辅助表!$A$3:$AP$245,地图配置辅助表!P$1,FALSE)</f>
        <v>7001</v>
      </c>
      <c r="AE66" s="8">
        <f>VLOOKUP($A66,地图配置辅助表!$A$3:$AP$245,地图配置辅助表!Q$1,FALSE)</f>
        <v>1</v>
      </c>
      <c r="AF66" s="8">
        <f>VLOOKUP($A66,地图配置辅助表!$A$3:$AP$245,地图配置辅助表!R$1,FALSE)</f>
        <v>56</v>
      </c>
      <c r="AG66" s="11">
        <f>VLOOKUP($A66,地图配置辅助表!$A$3:$AP$245,地图配置辅助表!S$1,FALSE)</f>
        <v>507002</v>
      </c>
      <c r="AH66" s="11">
        <f>VLOOKUP($A66,地图配置辅助表!$A$3:$AP$245,地图配置辅助表!T$1,FALSE)</f>
        <v>172104</v>
      </c>
      <c r="AI66" s="8">
        <f>VLOOKUP($A66,地图配置辅助表!$A$3:$AP$245,地图配置辅助表!U$1,FALSE)</f>
        <v>3</v>
      </c>
      <c r="AJ66" s="8">
        <f>VLOOKUP($A66,地图配置辅助表!$A$3:$AP$245,地图配置辅助表!V$1,FALSE)</f>
        <v>172101</v>
      </c>
      <c r="AK66" s="8">
        <f>VLOOKUP($A66,地图配置辅助表!$A$3:$AP$245,地图配置辅助表!W$1,FALSE)</f>
        <v>172102</v>
      </c>
      <c r="AL66" s="8">
        <f>VLOOKUP($A66,地图配置辅助表!$A$3:$AP$245,地图配置辅助表!X$1,FALSE)</f>
        <v>172103</v>
      </c>
      <c r="AM66" s="8">
        <f>VLOOKUP($A66,地图配置辅助表!$A$3:$AP$245,地图配置辅助表!Y$1,FALSE)</f>
        <v>0</v>
      </c>
      <c r="AN66" s="8">
        <f>VLOOKUP($A66,地图配置辅助表!$A$3:$AP$245,地图配置辅助表!Z$1,FALSE)</f>
        <v>0</v>
      </c>
      <c r="AO66" s="8">
        <f>VLOOKUP($A66,地图配置辅助表!$A$3:$AP$245,地图配置辅助表!AA$1,FALSE)</f>
        <v>0</v>
      </c>
      <c r="AP66" s="8">
        <f>VLOOKUP($A66,地图配置辅助表!$A$3:$AP$245,地图配置辅助表!AB$1,FALSE)</f>
        <v>0</v>
      </c>
      <c r="AQ66" s="8">
        <f>VLOOKUP($A66,地图配置辅助表!$A$3:$AP$245,地图配置辅助表!AC$1,FALSE)</f>
        <v>0</v>
      </c>
      <c r="AR66" s="8">
        <f>VLOOKUP($A66,地图配置辅助表!$A$3:$AP$245,地图配置辅助表!AD$1,FALSE)</f>
        <v>0</v>
      </c>
      <c r="AS66" s="8">
        <f>VLOOKUP($A66,地图配置辅助表!$A$3:$AP$245,地图配置辅助表!AE$1,FALSE)</f>
        <v>0</v>
      </c>
      <c r="AT66" s="8">
        <f>VLOOKUP($A66,地图配置辅助表!$A$3:$AP$245,地图配置辅助表!AF$1,FALSE)</f>
        <v>4</v>
      </c>
      <c r="AU66" s="8">
        <f>VLOOKUP($A66,地图配置辅助表!$A$3:$AP$245,地图配置辅助表!AG$1,FALSE)</f>
        <v>406</v>
      </c>
      <c r="AV66" s="8">
        <f>VLOOKUP($A66,地图配置辅助表!$A$3:$AP$245,地图配置辅助表!AH$1,FALSE)</f>
        <v>407</v>
      </c>
      <c r="AW66" s="8">
        <f>VLOOKUP($A66,地图配置辅助表!$A$3:$AP$245,地图配置辅助表!AI$1,FALSE)</f>
        <v>408</v>
      </c>
      <c r="AX66" s="8">
        <f>VLOOKUP($A66,地图配置辅助表!$A$3:$AP$245,地图配置辅助表!AJ$1,FALSE)</f>
        <v>409</v>
      </c>
      <c r="AY66" s="8">
        <f>VLOOKUP($A66,地图配置辅助表!$A$3:$AP$245,地图配置辅助表!AK$1,FALSE)</f>
        <v>0</v>
      </c>
      <c r="AZ66" s="8">
        <f>VLOOKUP($A66,地图配置辅助表!$A$3:$AP$245,地图配置辅助表!AL$1,FALSE)</f>
        <v>0</v>
      </c>
      <c r="BA66" s="8">
        <f>VLOOKUP($A66,地图配置辅助表!$A$3:$AP$245,地图配置辅助表!AM$1,FALSE)</f>
        <v>0</v>
      </c>
      <c r="BB66" s="8">
        <f>VLOOKUP($A66,地图配置辅助表!$A$3:$AP$245,地图配置辅助表!AN$1,FALSE)</f>
        <v>0</v>
      </c>
      <c r="BC66" s="8">
        <f>VLOOKUP($A66,地图配置辅助表!$A$3:$AP$245,地图配置辅助表!AO$1,FALSE)</f>
        <v>0</v>
      </c>
      <c r="BD66" s="8">
        <f>VLOOKUP($A66,地图配置辅助表!$A$3:$AP$245,地图配置辅助表!AP$1,FALSE)</f>
        <v>0</v>
      </c>
    </row>
    <row r="67" spans="1:56" s="8" customFormat="1" x14ac:dyDescent="0.15">
      <c r="A67">
        <f>地图配置辅助表!A68</f>
        <v>7003</v>
      </c>
      <c r="B67" s="8">
        <f>地图配置辅助表!B68</f>
        <v>1</v>
      </c>
      <c r="C67" s="8">
        <f>地图配置辅助表!C68</f>
        <v>7</v>
      </c>
      <c r="D67" s="9" t="str">
        <f>地图配置辅助表!D68</f>
        <v>激战朱雀堂</v>
      </c>
      <c r="E67" s="8" t="s">
        <v>3</v>
      </c>
      <c r="F67" s="8" t="s">
        <v>0</v>
      </c>
      <c r="G67" s="8">
        <v>29</v>
      </c>
      <c r="H67" s="8">
        <v>200</v>
      </c>
      <c r="I67" s="8">
        <v>140</v>
      </c>
      <c r="J67" s="8">
        <v>200</v>
      </c>
      <c r="K67" s="8">
        <v>140</v>
      </c>
      <c r="L67" s="8" t="s">
        <v>159</v>
      </c>
      <c r="M67" s="8">
        <v>0</v>
      </c>
      <c r="R67" s="8" t="s">
        <v>159</v>
      </c>
      <c r="S67" s="11">
        <f>VLOOKUP($A67,地图配置辅助表!$A$3:$AP$245,地图配置辅助表!E$1,FALSE)</f>
        <v>10</v>
      </c>
      <c r="T67" s="8">
        <f>VLOOKUP($A67,地图配置辅助表!$A$3:$AP$245,地图配置辅助表!F$1,FALSE)</f>
        <v>60314</v>
      </c>
      <c r="U67" s="8">
        <f>VLOOKUP($A67,地图配置辅助表!$A$3:$AP$245,地图配置辅助表!G$1,FALSE)</f>
        <v>1</v>
      </c>
      <c r="V67" s="8">
        <f>VLOOKUP($A67,地图配置辅助表!$A$3:$AP$245,地图配置辅助表!H$1,FALSE)</f>
        <v>1</v>
      </c>
      <c r="W67" s="8">
        <f>VLOOKUP($A67,地图配置辅助表!$A$3:$AP$245,地图配置辅助表!I$1,FALSE)</f>
        <v>0</v>
      </c>
      <c r="X67" s="8">
        <f>VLOOKUP($A67,地图配置辅助表!$A$3:$AP$245,地图配置辅助表!J$1,FALSE)</f>
        <v>0</v>
      </c>
      <c r="Y67" s="8">
        <f>VLOOKUP($A67,地图配置辅助表!$A$3:$AP$245,地图配置辅助表!K$1,FALSE)</f>
        <v>0</v>
      </c>
      <c r="Z67" s="8">
        <f>VLOOKUP($A67,地图配置辅助表!$A$3:$AP$245,地图配置辅助表!L$1,FALSE)</f>
        <v>0</v>
      </c>
      <c r="AA67" s="8">
        <f>VLOOKUP($A67,地图配置辅助表!$A$3:$AP$245,地图配置辅助表!M$1,FALSE)</f>
        <v>2</v>
      </c>
      <c r="AB67">
        <f>VLOOKUP($A67,地图配置辅助表!$A$3:$AP$245,地图配置辅助表!N$1,FALSE)</f>
        <v>1</v>
      </c>
      <c r="AC67" s="8">
        <f>VLOOKUP($A67,地图配置辅助表!$A$3:$AP$245,地图配置辅助表!O$1,FALSE)</f>
        <v>3</v>
      </c>
      <c r="AD67">
        <f>VLOOKUP($A67,地图配置辅助表!$A$3:$AP$245,地图配置辅助表!P$1,FALSE)</f>
        <v>7002</v>
      </c>
      <c r="AE67" s="8">
        <f>VLOOKUP($A67,地图配置辅助表!$A$3:$AP$245,地图配置辅助表!Q$1,FALSE)</f>
        <v>1</v>
      </c>
      <c r="AF67" s="8">
        <f>VLOOKUP($A67,地图配置辅助表!$A$3:$AP$245,地图配置辅助表!R$1,FALSE)</f>
        <v>56</v>
      </c>
      <c r="AG67" s="11">
        <f>VLOOKUP($A67,地图配置辅助表!$A$3:$AP$245,地图配置辅助表!S$1,FALSE)</f>
        <v>507003</v>
      </c>
      <c r="AH67" s="11">
        <f>VLOOKUP($A67,地图配置辅助表!$A$3:$AP$245,地图配置辅助表!T$1,FALSE)</f>
        <v>173104</v>
      </c>
      <c r="AI67" s="8">
        <f>VLOOKUP($A67,地图配置辅助表!$A$3:$AP$245,地图配置辅助表!U$1,FALSE)</f>
        <v>3</v>
      </c>
      <c r="AJ67" s="8">
        <f>VLOOKUP($A67,地图配置辅助表!$A$3:$AP$245,地图配置辅助表!V$1,FALSE)</f>
        <v>173101</v>
      </c>
      <c r="AK67" s="8">
        <f>VLOOKUP($A67,地图配置辅助表!$A$3:$AP$245,地图配置辅助表!W$1,FALSE)</f>
        <v>173102</v>
      </c>
      <c r="AL67" s="8">
        <f>VLOOKUP($A67,地图配置辅助表!$A$3:$AP$245,地图配置辅助表!X$1,FALSE)</f>
        <v>173103</v>
      </c>
      <c r="AM67" s="8">
        <f>VLOOKUP($A67,地图配置辅助表!$A$3:$AP$245,地图配置辅助表!Y$1,FALSE)</f>
        <v>0</v>
      </c>
      <c r="AN67" s="8">
        <f>VLOOKUP($A67,地图配置辅助表!$A$3:$AP$245,地图配置辅助表!Z$1,FALSE)</f>
        <v>0</v>
      </c>
      <c r="AO67" s="8">
        <f>VLOOKUP($A67,地图配置辅助表!$A$3:$AP$245,地图配置辅助表!AA$1,FALSE)</f>
        <v>0</v>
      </c>
      <c r="AP67" s="8">
        <f>VLOOKUP($A67,地图配置辅助表!$A$3:$AP$245,地图配置辅助表!AB$1,FALSE)</f>
        <v>0</v>
      </c>
      <c r="AQ67" s="8">
        <f>VLOOKUP($A67,地图配置辅助表!$A$3:$AP$245,地图配置辅助表!AC$1,FALSE)</f>
        <v>0</v>
      </c>
      <c r="AR67" s="8">
        <f>VLOOKUP($A67,地图配置辅助表!$A$3:$AP$245,地图配置辅助表!AD$1,FALSE)</f>
        <v>0</v>
      </c>
      <c r="AS67" s="8">
        <f>VLOOKUP($A67,地图配置辅助表!$A$3:$AP$245,地图配置辅助表!AE$1,FALSE)</f>
        <v>0</v>
      </c>
      <c r="AT67" s="8">
        <f>VLOOKUP($A67,地图配置辅助表!$A$3:$AP$245,地图配置辅助表!AF$1,FALSE)</f>
        <v>4</v>
      </c>
      <c r="AU67" s="8">
        <f>VLOOKUP($A67,地图配置辅助表!$A$3:$AP$245,地图配置辅助表!AG$1,FALSE)</f>
        <v>362</v>
      </c>
      <c r="AV67" s="8">
        <f>VLOOKUP($A67,地图配置辅助表!$A$3:$AP$245,地图配置辅助表!AH$1,FALSE)</f>
        <v>363</v>
      </c>
      <c r="AW67" s="8">
        <f>VLOOKUP($A67,地图配置辅助表!$A$3:$AP$245,地图配置辅助表!AI$1,FALSE)</f>
        <v>364</v>
      </c>
      <c r="AX67" s="8">
        <f>VLOOKUP($A67,地图配置辅助表!$A$3:$AP$245,地图配置辅助表!AJ$1,FALSE)</f>
        <v>365</v>
      </c>
      <c r="AY67" s="8">
        <f>VLOOKUP($A67,地图配置辅助表!$A$3:$AP$245,地图配置辅助表!AK$1,FALSE)</f>
        <v>0</v>
      </c>
      <c r="AZ67" s="8">
        <f>VLOOKUP($A67,地图配置辅助表!$A$3:$AP$245,地图配置辅助表!AL$1,FALSE)</f>
        <v>0</v>
      </c>
      <c r="BA67" s="8">
        <f>VLOOKUP($A67,地图配置辅助表!$A$3:$AP$245,地图配置辅助表!AM$1,FALSE)</f>
        <v>0</v>
      </c>
      <c r="BB67" s="8">
        <f>VLOOKUP($A67,地图配置辅助表!$A$3:$AP$245,地图配置辅助表!AN$1,FALSE)</f>
        <v>0</v>
      </c>
      <c r="BC67" s="8">
        <f>VLOOKUP($A67,地图配置辅助表!$A$3:$AP$245,地图配置辅助表!AO$1,FALSE)</f>
        <v>0</v>
      </c>
      <c r="BD67" s="8">
        <f>VLOOKUP($A67,地图配置辅助表!$A$3:$AP$245,地图配置辅助表!AP$1,FALSE)</f>
        <v>0</v>
      </c>
    </row>
    <row r="68" spans="1:56" s="8" customFormat="1" x14ac:dyDescent="0.15">
      <c r="A68">
        <f>地图配置辅助表!A69</f>
        <v>7004</v>
      </c>
      <c r="B68" s="8">
        <f>地图配置辅助表!B69</f>
        <v>1</v>
      </c>
      <c r="C68" s="8">
        <f>地图配置辅助表!C69</f>
        <v>7</v>
      </c>
      <c r="D68" s="9" t="str">
        <f>地图配置辅助表!D69</f>
        <v>恶战青龙堂</v>
      </c>
      <c r="E68" s="8" t="s">
        <v>392</v>
      </c>
      <c r="F68" s="8" t="s">
        <v>0</v>
      </c>
      <c r="G68" s="8">
        <v>29</v>
      </c>
      <c r="H68" s="8">
        <v>200</v>
      </c>
      <c r="I68" s="8">
        <v>140</v>
      </c>
      <c r="J68" s="8">
        <v>200</v>
      </c>
      <c r="K68" s="8">
        <v>140</v>
      </c>
      <c r="L68" s="8" t="s">
        <v>160</v>
      </c>
      <c r="M68" s="8">
        <v>0</v>
      </c>
      <c r="R68" s="8" t="s">
        <v>160</v>
      </c>
      <c r="S68" s="11">
        <f>VLOOKUP($A68,地图配置辅助表!$A$3:$AP$245,地图配置辅助表!E$1,FALSE)</f>
        <v>10</v>
      </c>
      <c r="T68" s="8">
        <f>VLOOKUP($A68,地图配置辅助表!$A$3:$AP$245,地图配置辅助表!F$1,FALSE)</f>
        <v>64565</v>
      </c>
      <c r="U68" s="8">
        <f>VLOOKUP($A68,地图配置辅助表!$A$3:$AP$245,地图配置辅助表!G$1,FALSE)</f>
        <v>1</v>
      </c>
      <c r="V68" s="8">
        <f>VLOOKUP($A68,地图配置辅助表!$A$3:$AP$245,地图配置辅助表!H$1,FALSE)</f>
        <v>1</v>
      </c>
      <c r="W68" s="8">
        <f>VLOOKUP($A68,地图配置辅助表!$A$3:$AP$245,地图配置辅助表!I$1,FALSE)</f>
        <v>0</v>
      </c>
      <c r="X68" s="8">
        <f>VLOOKUP($A68,地图配置辅助表!$A$3:$AP$245,地图配置辅助表!J$1,FALSE)</f>
        <v>0</v>
      </c>
      <c r="Y68" s="8">
        <f>VLOOKUP($A68,地图配置辅助表!$A$3:$AP$245,地图配置辅助表!K$1,FALSE)</f>
        <v>0</v>
      </c>
      <c r="Z68" s="8">
        <f>VLOOKUP($A68,地图配置辅助表!$A$3:$AP$245,地图配置辅助表!L$1,FALSE)</f>
        <v>0</v>
      </c>
      <c r="AA68" s="8">
        <f>VLOOKUP($A68,地图配置辅助表!$A$3:$AP$245,地图配置辅助表!M$1,FALSE)</f>
        <v>2</v>
      </c>
      <c r="AB68">
        <f>VLOOKUP($A68,地图配置辅助表!$A$3:$AP$245,地图配置辅助表!N$1,FALSE)</f>
        <v>1</v>
      </c>
      <c r="AC68" s="8">
        <f>VLOOKUP($A68,地图配置辅助表!$A$3:$AP$245,地图配置辅助表!O$1,FALSE)</f>
        <v>3</v>
      </c>
      <c r="AD68">
        <f>VLOOKUP($A68,地图配置辅助表!$A$3:$AP$245,地图配置辅助表!P$1,FALSE)</f>
        <v>7003</v>
      </c>
      <c r="AE68" s="8">
        <f>VLOOKUP($A68,地图配置辅助表!$A$3:$AP$245,地图配置辅助表!Q$1,FALSE)</f>
        <v>1</v>
      </c>
      <c r="AF68" s="8">
        <f>VLOOKUP($A68,地图配置辅助表!$A$3:$AP$245,地图配置辅助表!R$1,FALSE)</f>
        <v>56</v>
      </c>
      <c r="AG68" s="11">
        <f>VLOOKUP($A68,地图配置辅助表!$A$3:$AP$245,地图配置辅助表!S$1,FALSE)</f>
        <v>507004</v>
      </c>
      <c r="AH68" s="11">
        <f>VLOOKUP($A68,地图配置辅助表!$A$3:$AP$245,地图配置辅助表!T$1,FALSE)</f>
        <v>174104</v>
      </c>
      <c r="AI68" s="8">
        <f>VLOOKUP($A68,地图配置辅助表!$A$3:$AP$245,地图配置辅助表!U$1,FALSE)</f>
        <v>3</v>
      </c>
      <c r="AJ68" s="8">
        <f>VLOOKUP($A68,地图配置辅助表!$A$3:$AP$245,地图配置辅助表!V$1,FALSE)</f>
        <v>174101</v>
      </c>
      <c r="AK68" s="8">
        <f>VLOOKUP($A68,地图配置辅助表!$A$3:$AP$245,地图配置辅助表!W$1,FALSE)</f>
        <v>174102</v>
      </c>
      <c r="AL68" s="8">
        <f>VLOOKUP($A68,地图配置辅助表!$A$3:$AP$245,地图配置辅助表!X$1,FALSE)</f>
        <v>174103</v>
      </c>
      <c r="AM68" s="8">
        <f>VLOOKUP($A68,地图配置辅助表!$A$3:$AP$245,地图配置辅助表!Y$1,FALSE)</f>
        <v>0</v>
      </c>
      <c r="AN68" s="8">
        <f>VLOOKUP($A68,地图配置辅助表!$A$3:$AP$245,地图配置辅助表!Z$1,FALSE)</f>
        <v>0</v>
      </c>
      <c r="AO68" s="8">
        <f>VLOOKUP($A68,地图配置辅助表!$A$3:$AP$245,地图配置辅助表!AA$1,FALSE)</f>
        <v>0</v>
      </c>
      <c r="AP68" s="8">
        <f>VLOOKUP($A68,地图配置辅助表!$A$3:$AP$245,地图配置辅助表!AB$1,FALSE)</f>
        <v>0</v>
      </c>
      <c r="AQ68" s="8">
        <f>VLOOKUP($A68,地图配置辅助表!$A$3:$AP$245,地图配置辅助表!AC$1,FALSE)</f>
        <v>0</v>
      </c>
      <c r="AR68" s="8">
        <f>VLOOKUP($A68,地图配置辅助表!$A$3:$AP$245,地图配置辅助表!AD$1,FALSE)</f>
        <v>0</v>
      </c>
      <c r="AS68" s="8">
        <f>VLOOKUP($A68,地图配置辅助表!$A$3:$AP$245,地图配置辅助表!AE$1,FALSE)</f>
        <v>0</v>
      </c>
      <c r="AT68" s="8">
        <f>VLOOKUP($A68,地图配置辅助表!$A$3:$AP$245,地图配置辅助表!AF$1,FALSE)</f>
        <v>4</v>
      </c>
      <c r="AU68" s="8">
        <f>VLOOKUP($A68,地图配置辅助表!$A$3:$AP$245,地图配置辅助表!AG$1,FALSE)</f>
        <v>362</v>
      </c>
      <c r="AV68" s="8">
        <f>VLOOKUP($A68,地图配置辅助表!$A$3:$AP$245,地图配置辅助表!AH$1,FALSE)</f>
        <v>363</v>
      </c>
      <c r="AW68" s="8">
        <f>VLOOKUP($A68,地图配置辅助表!$A$3:$AP$245,地图配置辅助表!AI$1,FALSE)</f>
        <v>364</v>
      </c>
      <c r="AX68" s="8">
        <f>VLOOKUP($A68,地图配置辅助表!$A$3:$AP$245,地图配置辅助表!AJ$1,FALSE)</f>
        <v>365</v>
      </c>
      <c r="AY68" s="8">
        <f>VLOOKUP($A68,地图配置辅助表!$A$3:$AP$245,地图配置辅助表!AK$1,FALSE)</f>
        <v>0</v>
      </c>
      <c r="AZ68" s="8">
        <f>VLOOKUP($A68,地图配置辅助表!$A$3:$AP$245,地图配置辅助表!AL$1,FALSE)</f>
        <v>0</v>
      </c>
      <c r="BA68" s="8">
        <f>VLOOKUP($A68,地图配置辅助表!$A$3:$AP$245,地图配置辅助表!AM$1,FALSE)</f>
        <v>0</v>
      </c>
      <c r="BB68" s="8">
        <f>VLOOKUP($A68,地图配置辅助表!$A$3:$AP$245,地图配置辅助表!AN$1,FALSE)</f>
        <v>0</v>
      </c>
      <c r="BC68" s="8">
        <f>VLOOKUP($A68,地图配置辅助表!$A$3:$AP$245,地图配置辅助表!AO$1,FALSE)</f>
        <v>0</v>
      </c>
      <c r="BD68" s="8">
        <f>VLOOKUP($A68,地图配置辅助表!$A$3:$AP$245,地图配置辅助表!AP$1,FALSE)</f>
        <v>0</v>
      </c>
    </row>
    <row r="69" spans="1:56" s="8" customFormat="1" x14ac:dyDescent="0.15">
      <c r="A69">
        <f>地图配置辅助表!A70</f>
        <v>7005</v>
      </c>
      <c r="B69" s="8">
        <f>地图配置辅助表!B70</f>
        <v>1</v>
      </c>
      <c r="C69" s="8">
        <f>地图配置辅助表!C70</f>
        <v>7</v>
      </c>
      <c r="D69" s="9" t="str">
        <f>地图配置辅助表!D70</f>
        <v>挑战佐维</v>
      </c>
      <c r="E69" s="8" t="s">
        <v>393</v>
      </c>
      <c r="F69" s="8" t="s">
        <v>0</v>
      </c>
      <c r="G69" s="8">
        <v>29</v>
      </c>
      <c r="H69" s="8">
        <v>200</v>
      </c>
      <c r="I69" s="8">
        <v>140</v>
      </c>
      <c r="J69" s="8">
        <v>200</v>
      </c>
      <c r="K69" s="8">
        <v>140</v>
      </c>
      <c r="L69" s="8" t="s">
        <v>161</v>
      </c>
      <c r="M69" s="8">
        <v>0</v>
      </c>
      <c r="R69" s="8" t="s">
        <v>161</v>
      </c>
      <c r="S69" s="11">
        <f>VLOOKUP($A69,地图配置辅助表!$A$3:$AP$245,地图配置辅助表!E$1,FALSE)</f>
        <v>10</v>
      </c>
      <c r="T69" s="8">
        <f>VLOOKUP($A69,地图配置辅助表!$A$3:$AP$245,地图配置辅助表!F$1,FALSE)</f>
        <v>69322</v>
      </c>
      <c r="U69" s="8">
        <f>VLOOKUP($A69,地图配置辅助表!$A$3:$AP$245,地图配置辅助表!G$1,FALSE)</f>
        <v>1</v>
      </c>
      <c r="V69" s="8">
        <f>VLOOKUP($A69,地图配置辅助表!$A$3:$AP$245,地图配置辅助表!H$1,FALSE)</f>
        <v>1</v>
      </c>
      <c r="W69" s="8">
        <f>VLOOKUP($A69,地图配置辅助表!$A$3:$AP$245,地图配置辅助表!I$1,FALSE)</f>
        <v>0</v>
      </c>
      <c r="X69" s="8">
        <f>VLOOKUP($A69,地图配置辅助表!$A$3:$AP$245,地图配置辅助表!J$1,FALSE)</f>
        <v>0</v>
      </c>
      <c r="Y69" s="8">
        <f>VLOOKUP($A69,地图配置辅助表!$A$3:$AP$245,地图配置辅助表!K$1,FALSE)</f>
        <v>0</v>
      </c>
      <c r="Z69" s="8">
        <f>VLOOKUP($A69,地图配置辅助表!$A$3:$AP$245,地图配置辅助表!L$1,FALSE)</f>
        <v>0</v>
      </c>
      <c r="AA69" s="8">
        <f>VLOOKUP($A69,地图配置辅助表!$A$3:$AP$245,地图配置辅助表!M$1,FALSE)</f>
        <v>2</v>
      </c>
      <c r="AB69">
        <f>VLOOKUP($A69,地图配置辅助表!$A$3:$AP$245,地图配置辅助表!N$1,FALSE)</f>
        <v>1</v>
      </c>
      <c r="AC69" s="8">
        <f>VLOOKUP($A69,地图配置辅助表!$A$3:$AP$245,地图配置辅助表!O$1,FALSE)</f>
        <v>3</v>
      </c>
      <c r="AD69">
        <f>VLOOKUP($A69,地图配置辅助表!$A$3:$AP$245,地图配置辅助表!P$1,FALSE)</f>
        <v>7004</v>
      </c>
      <c r="AE69" s="8">
        <f>VLOOKUP($A69,地图配置辅助表!$A$3:$AP$245,地图配置辅助表!Q$1,FALSE)</f>
        <v>1</v>
      </c>
      <c r="AF69" s="8">
        <f>VLOOKUP($A69,地图配置辅助表!$A$3:$AP$245,地图配置辅助表!R$1,FALSE)</f>
        <v>56</v>
      </c>
      <c r="AG69" s="11">
        <f>VLOOKUP($A69,地图配置辅助表!$A$3:$AP$245,地图配置辅助表!S$1,FALSE)</f>
        <v>507005</v>
      </c>
      <c r="AH69" s="11">
        <f>VLOOKUP($A69,地图配置辅助表!$A$3:$AP$245,地图配置辅助表!T$1,FALSE)</f>
        <v>175104</v>
      </c>
      <c r="AI69" s="8">
        <f>VLOOKUP($A69,地图配置辅助表!$A$3:$AP$245,地图配置辅助表!U$1,FALSE)</f>
        <v>3</v>
      </c>
      <c r="AJ69" s="8">
        <f>VLOOKUP($A69,地图配置辅助表!$A$3:$AP$245,地图配置辅助表!V$1,FALSE)</f>
        <v>175101</v>
      </c>
      <c r="AK69" s="8">
        <f>VLOOKUP($A69,地图配置辅助表!$A$3:$AP$245,地图配置辅助表!W$1,FALSE)</f>
        <v>175102</v>
      </c>
      <c r="AL69" s="8">
        <f>VLOOKUP($A69,地图配置辅助表!$A$3:$AP$245,地图配置辅助表!X$1,FALSE)</f>
        <v>175103</v>
      </c>
      <c r="AM69" s="8">
        <f>VLOOKUP($A69,地图配置辅助表!$A$3:$AP$245,地图配置辅助表!Y$1,FALSE)</f>
        <v>0</v>
      </c>
      <c r="AN69" s="8">
        <f>VLOOKUP($A69,地图配置辅助表!$A$3:$AP$245,地图配置辅助表!Z$1,FALSE)</f>
        <v>0</v>
      </c>
      <c r="AO69" s="8">
        <f>VLOOKUP($A69,地图配置辅助表!$A$3:$AP$245,地图配置辅助表!AA$1,FALSE)</f>
        <v>0</v>
      </c>
      <c r="AP69" s="8">
        <f>VLOOKUP($A69,地图配置辅助表!$A$3:$AP$245,地图配置辅助表!AB$1,FALSE)</f>
        <v>0</v>
      </c>
      <c r="AQ69" s="8">
        <f>VLOOKUP($A69,地图配置辅助表!$A$3:$AP$245,地图配置辅助表!AC$1,FALSE)</f>
        <v>0</v>
      </c>
      <c r="AR69" s="8">
        <f>VLOOKUP($A69,地图配置辅助表!$A$3:$AP$245,地图配置辅助表!AD$1,FALSE)</f>
        <v>0</v>
      </c>
      <c r="AS69" s="8">
        <f>VLOOKUP($A69,地图配置辅助表!$A$3:$AP$245,地图配置辅助表!AE$1,FALSE)</f>
        <v>0</v>
      </c>
      <c r="AT69" s="8">
        <f>VLOOKUP($A69,地图配置辅助表!$A$3:$AP$245,地图配置辅助表!AF$1,FALSE)</f>
        <v>4</v>
      </c>
      <c r="AU69" s="8">
        <f>VLOOKUP($A69,地图配置辅助表!$A$3:$AP$245,地图配置辅助表!AG$1,FALSE)</f>
        <v>270</v>
      </c>
      <c r="AV69" s="8">
        <f>VLOOKUP($A69,地图配置辅助表!$A$3:$AP$245,地图配置辅助表!AH$1,FALSE)</f>
        <v>271</v>
      </c>
      <c r="AW69" s="8">
        <f>VLOOKUP($A69,地图配置辅助表!$A$3:$AP$245,地图配置辅助表!AI$1,FALSE)</f>
        <v>272</v>
      </c>
      <c r="AX69" s="8">
        <f>VLOOKUP($A69,地图配置辅助表!$A$3:$AP$245,地图配置辅助表!AJ$1,FALSE)</f>
        <v>273</v>
      </c>
      <c r="AY69" s="8">
        <f>VLOOKUP($A69,地图配置辅助表!$A$3:$AP$245,地图配置辅助表!AK$1,FALSE)</f>
        <v>0</v>
      </c>
      <c r="AZ69" s="8">
        <f>VLOOKUP($A69,地图配置辅助表!$A$3:$AP$245,地图配置辅助表!AL$1,FALSE)</f>
        <v>0</v>
      </c>
      <c r="BA69" s="8">
        <f>VLOOKUP($A69,地图配置辅助表!$A$3:$AP$245,地图配置辅助表!AM$1,FALSE)</f>
        <v>0</v>
      </c>
      <c r="BB69" s="8">
        <f>VLOOKUP($A69,地图配置辅助表!$A$3:$AP$245,地图配置辅助表!AN$1,FALSE)</f>
        <v>0</v>
      </c>
      <c r="BC69" s="8">
        <f>VLOOKUP($A69,地图配置辅助表!$A$3:$AP$245,地图配置辅助表!AO$1,FALSE)</f>
        <v>0</v>
      </c>
      <c r="BD69" s="8">
        <f>VLOOKUP($A69,地图配置辅助表!$A$3:$AP$245,地图配置辅助表!AP$1,FALSE)</f>
        <v>0</v>
      </c>
    </row>
    <row r="70" spans="1:56" s="8" customFormat="1" x14ac:dyDescent="0.15">
      <c r="A70">
        <f>地图配置辅助表!A71</f>
        <v>7006</v>
      </c>
      <c r="B70" s="8">
        <f>地图配置辅助表!B71</f>
        <v>1</v>
      </c>
      <c r="C70" s="8">
        <f>地图配置辅助表!C71</f>
        <v>7</v>
      </c>
      <c r="D70" s="9" t="str">
        <f>地图配置辅助表!D71</f>
        <v>恶虎下山</v>
      </c>
      <c r="E70" s="8" t="s">
        <v>394</v>
      </c>
      <c r="F70" s="8" t="s">
        <v>0</v>
      </c>
      <c r="G70" s="8">
        <v>29</v>
      </c>
      <c r="H70" s="8">
        <v>200</v>
      </c>
      <c r="I70" s="8">
        <v>140</v>
      </c>
      <c r="J70" s="8">
        <v>200</v>
      </c>
      <c r="K70" s="8">
        <v>140</v>
      </c>
      <c r="L70" s="8" t="s">
        <v>162</v>
      </c>
      <c r="M70" s="8">
        <v>0</v>
      </c>
      <c r="R70" s="8" t="s">
        <v>162</v>
      </c>
      <c r="S70" s="11">
        <f>VLOOKUP($A70,地图配置辅助表!$A$3:$AP$245,地图配置辅助表!E$1,FALSE)</f>
        <v>10</v>
      </c>
      <c r="T70" s="8">
        <f>VLOOKUP($A70,地图配置辅助表!$A$3:$AP$245,地图配置辅助表!F$1,FALSE)</f>
        <v>74368</v>
      </c>
      <c r="U70" s="8">
        <f>VLOOKUP($A70,地图配置辅助表!$A$3:$AP$245,地图配置辅助表!G$1,FALSE)</f>
        <v>1</v>
      </c>
      <c r="V70" s="8">
        <f>VLOOKUP($A70,地图配置辅助表!$A$3:$AP$245,地图配置辅助表!H$1,FALSE)</f>
        <v>1</v>
      </c>
      <c r="W70" s="8">
        <f>VLOOKUP($A70,地图配置辅助表!$A$3:$AP$245,地图配置辅助表!I$1,FALSE)</f>
        <v>0</v>
      </c>
      <c r="X70" s="8">
        <f>VLOOKUP($A70,地图配置辅助表!$A$3:$AP$245,地图配置辅助表!J$1,FALSE)</f>
        <v>0</v>
      </c>
      <c r="Y70" s="8">
        <f>VLOOKUP($A70,地图配置辅助表!$A$3:$AP$245,地图配置辅助表!K$1,FALSE)</f>
        <v>0</v>
      </c>
      <c r="Z70" s="8">
        <f>VLOOKUP($A70,地图配置辅助表!$A$3:$AP$245,地图配置辅助表!L$1,FALSE)</f>
        <v>0</v>
      </c>
      <c r="AA70" s="8">
        <f>VLOOKUP($A70,地图配置辅助表!$A$3:$AP$245,地图配置辅助表!M$1,FALSE)</f>
        <v>2</v>
      </c>
      <c r="AB70">
        <f>VLOOKUP($A70,地图配置辅助表!$A$3:$AP$245,地图配置辅助表!N$1,FALSE)</f>
        <v>1</v>
      </c>
      <c r="AC70" s="8">
        <f>VLOOKUP($A70,地图配置辅助表!$A$3:$AP$245,地图配置辅助表!O$1,FALSE)</f>
        <v>3</v>
      </c>
      <c r="AD70">
        <f>VLOOKUP($A70,地图配置辅助表!$A$3:$AP$245,地图配置辅助表!P$1,FALSE)</f>
        <v>7005</v>
      </c>
      <c r="AE70" s="8">
        <f>VLOOKUP($A70,地图配置辅助表!$A$3:$AP$245,地图配置辅助表!Q$1,FALSE)</f>
        <v>1</v>
      </c>
      <c r="AF70" s="8">
        <f>VLOOKUP($A70,地图配置辅助表!$A$3:$AP$245,地图配置辅助表!R$1,FALSE)</f>
        <v>56</v>
      </c>
      <c r="AG70" s="11">
        <f>VLOOKUP($A70,地图配置辅助表!$A$3:$AP$245,地图配置辅助表!S$1,FALSE)</f>
        <v>507006</v>
      </c>
      <c r="AH70" s="11">
        <f>VLOOKUP($A70,地图配置辅助表!$A$3:$AP$245,地图配置辅助表!T$1,FALSE)</f>
        <v>176104</v>
      </c>
      <c r="AI70" s="8">
        <f>VLOOKUP($A70,地图配置辅助表!$A$3:$AP$245,地图配置辅助表!U$1,FALSE)</f>
        <v>3</v>
      </c>
      <c r="AJ70" s="8">
        <f>VLOOKUP($A70,地图配置辅助表!$A$3:$AP$245,地图配置辅助表!V$1,FALSE)</f>
        <v>176101</v>
      </c>
      <c r="AK70" s="8">
        <f>VLOOKUP($A70,地图配置辅助表!$A$3:$AP$245,地图配置辅助表!W$1,FALSE)</f>
        <v>176102</v>
      </c>
      <c r="AL70" s="8">
        <f>VLOOKUP($A70,地图配置辅助表!$A$3:$AP$245,地图配置辅助表!X$1,FALSE)</f>
        <v>176103</v>
      </c>
      <c r="AM70" s="8">
        <f>VLOOKUP($A70,地图配置辅助表!$A$3:$AP$245,地图配置辅助表!Y$1,FALSE)</f>
        <v>0</v>
      </c>
      <c r="AN70" s="8">
        <f>VLOOKUP($A70,地图配置辅助表!$A$3:$AP$245,地图配置辅助表!Z$1,FALSE)</f>
        <v>0</v>
      </c>
      <c r="AO70" s="8">
        <f>VLOOKUP($A70,地图配置辅助表!$A$3:$AP$245,地图配置辅助表!AA$1,FALSE)</f>
        <v>0</v>
      </c>
      <c r="AP70" s="8">
        <f>VLOOKUP($A70,地图配置辅助表!$A$3:$AP$245,地图配置辅助表!AB$1,FALSE)</f>
        <v>0</v>
      </c>
      <c r="AQ70" s="8">
        <f>VLOOKUP($A70,地图配置辅助表!$A$3:$AP$245,地图配置辅助表!AC$1,FALSE)</f>
        <v>0</v>
      </c>
      <c r="AR70" s="8">
        <f>VLOOKUP($A70,地图配置辅助表!$A$3:$AP$245,地图配置辅助表!AD$1,FALSE)</f>
        <v>0</v>
      </c>
      <c r="AS70" s="8">
        <f>VLOOKUP($A70,地图配置辅助表!$A$3:$AP$245,地图配置辅助表!AE$1,FALSE)</f>
        <v>0</v>
      </c>
      <c r="AT70" s="8">
        <f>VLOOKUP($A70,地图配置辅助表!$A$3:$AP$245,地图配置辅助表!AF$1,FALSE)</f>
        <v>4</v>
      </c>
      <c r="AU70" s="8">
        <f>VLOOKUP($A70,地图配置辅助表!$A$3:$AP$245,地图配置辅助表!AG$1,FALSE)</f>
        <v>242</v>
      </c>
      <c r="AV70" s="8">
        <f>VLOOKUP($A70,地图配置辅助表!$A$3:$AP$245,地图配置辅助表!AH$1,FALSE)</f>
        <v>243</v>
      </c>
      <c r="AW70" s="8">
        <f>VLOOKUP($A70,地图配置辅助表!$A$3:$AP$245,地图配置辅助表!AI$1,FALSE)</f>
        <v>244</v>
      </c>
      <c r="AX70" s="8">
        <f>VLOOKUP($A70,地图配置辅助表!$A$3:$AP$245,地图配置辅助表!AJ$1,FALSE)</f>
        <v>245</v>
      </c>
      <c r="AY70" s="8">
        <f>VLOOKUP($A70,地图配置辅助表!$A$3:$AP$245,地图配置辅助表!AK$1,FALSE)</f>
        <v>0</v>
      </c>
      <c r="AZ70" s="8">
        <f>VLOOKUP($A70,地图配置辅助表!$A$3:$AP$245,地图配置辅助表!AL$1,FALSE)</f>
        <v>0</v>
      </c>
      <c r="BA70" s="8">
        <f>VLOOKUP($A70,地图配置辅助表!$A$3:$AP$245,地图配置辅助表!AM$1,FALSE)</f>
        <v>0</v>
      </c>
      <c r="BB70" s="8">
        <f>VLOOKUP($A70,地图配置辅助表!$A$3:$AP$245,地图配置辅助表!AN$1,FALSE)</f>
        <v>0</v>
      </c>
      <c r="BC70" s="8">
        <f>VLOOKUP($A70,地图配置辅助表!$A$3:$AP$245,地图配置辅助表!AO$1,FALSE)</f>
        <v>0</v>
      </c>
      <c r="BD70" s="8">
        <f>VLOOKUP($A70,地图配置辅助表!$A$3:$AP$245,地图配置辅助表!AP$1,FALSE)</f>
        <v>0</v>
      </c>
    </row>
    <row r="71" spans="1:56" s="8" customFormat="1" x14ac:dyDescent="0.15">
      <c r="A71">
        <f>地图配置辅助表!A72</f>
        <v>7007</v>
      </c>
      <c r="B71" s="8">
        <f>地图配置辅助表!B72</f>
        <v>1</v>
      </c>
      <c r="C71" s="8">
        <f>地图配置辅助表!C72</f>
        <v>7</v>
      </c>
      <c r="D71" s="9" t="str">
        <f>地图配置辅助表!D72</f>
        <v>狂龙出海</v>
      </c>
      <c r="E71" s="8" t="s">
        <v>392</v>
      </c>
      <c r="F71" s="8" t="s">
        <v>0</v>
      </c>
      <c r="G71" s="8">
        <v>29</v>
      </c>
      <c r="H71" s="8">
        <v>200</v>
      </c>
      <c r="I71" s="8">
        <v>140</v>
      </c>
      <c r="J71" s="8">
        <v>200</v>
      </c>
      <c r="K71" s="8">
        <v>140</v>
      </c>
      <c r="L71" s="8" t="s">
        <v>471</v>
      </c>
      <c r="M71" s="8">
        <v>0</v>
      </c>
      <c r="R71" s="8" t="s">
        <v>471</v>
      </c>
      <c r="S71" s="11">
        <f>VLOOKUP($A71,地图配置辅助表!$A$3:$AP$245,地图配置辅助表!E$1,FALSE)</f>
        <v>10</v>
      </c>
      <c r="T71" s="8">
        <f>VLOOKUP($A71,地图配置辅助表!$A$3:$AP$245,地图配置辅助表!F$1,FALSE)</f>
        <v>79609</v>
      </c>
      <c r="U71" s="8">
        <f>VLOOKUP($A71,地图配置辅助表!$A$3:$AP$245,地图配置辅助表!G$1,FALSE)</f>
        <v>1</v>
      </c>
      <c r="V71" s="8">
        <f>VLOOKUP($A71,地图配置辅助表!$A$3:$AP$245,地图配置辅助表!H$1,FALSE)</f>
        <v>1</v>
      </c>
      <c r="W71" s="8">
        <f>VLOOKUP($A71,地图配置辅助表!$A$3:$AP$245,地图配置辅助表!I$1,FALSE)</f>
        <v>0</v>
      </c>
      <c r="X71" s="8">
        <f>VLOOKUP($A71,地图配置辅助表!$A$3:$AP$245,地图配置辅助表!J$1,FALSE)</f>
        <v>0</v>
      </c>
      <c r="Y71" s="8">
        <f>VLOOKUP($A71,地图配置辅助表!$A$3:$AP$245,地图配置辅助表!K$1,FALSE)</f>
        <v>0</v>
      </c>
      <c r="Z71" s="8">
        <f>VLOOKUP($A71,地图配置辅助表!$A$3:$AP$245,地图配置辅助表!L$1,FALSE)</f>
        <v>0</v>
      </c>
      <c r="AA71" s="8">
        <f>VLOOKUP($A71,地图配置辅助表!$A$3:$AP$245,地图配置辅助表!M$1,FALSE)</f>
        <v>2</v>
      </c>
      <c r="AB71">
        <f>VLOOKUP($A71,地图配置辅助表!$A$3:$AP$245,地图配置辅助表!N$1,FALSE)</f>
        <v>1</v>
      </c>
      <c r="AC71" s="8">
        <f>VLOOKUP($A71,地图配置辅助表!$A$3:$AP$245,地图配置辅助表!O$1,FALSE)</f>
        <v>3</v>
      </c>
      <c r="AD71">
        <f>VLOOKUP($A71,地图配置辅助表!$A$3:$AP$245,地图配置辅助表!P$1,FALSE)</f>
        <v>7006</v>
      </c>
      <c r="AE71" s="8">
        <f>VLOOKUP($A71,地图配置辅助表!$A$3:$AP$245,地图配置辅助表!Q$1,FALSE)</f>
        <v>1</v>
      </c>
      <c r="AF71" s="8">
        <f>VLOOKUP($A71,地图配置辅助表!$A$3:$AP$245,地图配置辅助表!R$1,FALSE)</f>
        <v>56</v>
      </c>
      <c r="AG71" s="11">
        <f>VLOOKUP($A71,地图配置辅助表!$A$3:$AP$245,地图配置辅助表!S$1,FALSE)</f>
        <v>507007</v>
      </c>
      <c r="AH71" s="11">
        <f>VLOOKUP($A71,地图配置辅助表!$A$3:$AP$245,地图配置辅助表!T$1,FALSE)</f>
        <v>177104</v>
      </c>
      <c r="AI71" s="8">
        <f>VLOOKUP($A71,地图配置辅助表!$A$3:$AP$245,地图配置辅助表!U$1,FALSE)</f>
        <v>3</v>
      </c>
      <c r="AJ71" s="8">
        <f>VLOOKUP($A71,地图配置辅助表!$A$3:$AP$245,地图配置辅助表!V$1,FALSE)</f>
        <v>177101</v>
      </c>
      <c r="AK71" s="8">
        <f>VLOOKUP($A71,地图配置辅助表!$A$3:$AP$245,地图配置辅助表!W$1,FALSE)</f>
        <v>177102</v>
      </c>
      <c r="AL71" s="8">
        <f>VLOOKUP($A71,地图配置辅助表!$A$3:$AP$245,地图配置辅助表!X$1,FALSE)</f>
        <v>177103</v>
      </c>
      <c r="AM71" s="8">
        <f>VLOOKUP($A71,地图配置辅助表!$A$3:$AP$245,地图配置辅助表!Y$1,FALSE)</f>
        <v>0</v>
      </c>
      <c r="AN71" s="8">
        <f>VLOOKUP($A71,地图配置辅助表!$A$3:$AP$245,地图配置辅助表!Z$1,FALSE)</f>
        <v>0</v>
      </c>
      <c r="AO71" s="8">
        <f>VLOOKUP($A71,地图配置辅助表!$A$3:$AP$245,地图配置辅助表!AA$1,FALSE)</f>
        <v>0</v>
      </c>
      <c r="AP71" s="8">
        <f>VLOOKUP($A71,地图配置辅助表!$A$3:$AP$245,地图配置辅助表!AB$1,FALSE)</f>
        <v>0</v>
      </c>
      <c r="AQ71" s="8">
        <f>VLOOKUP($A71,地图配置辅助表!$A$3:$AP$245,地图配置辅助表!AC$1,FALSE)</f>
        <v>0</v>
      </c>
      <c r="AR71" s="8">
        <f>VLOOKUP($A71,地图配置辅助表!$A$3:$AP$245,地图配置辅助表!AD$1,FALSE)</f>
        <v>0</v>
      </c>
      <c r="AS71" s="8">
        <f>VLOOKUP($A71,地图配置辅助表!$A$3:$AP$245,地图配置辅助表!AE$1,FALSE)</f>
        <v>0</v>
      </c>
      <c r="AT71" s="8">
        <f>VLOOKUP($A71,地图配置辅助表!$A$3:$AP$245,地图配置辅助表!AF$1,FALSE)</f>
        <v>4</v>
      </c>
      <c r="AU71" s="8">
        <f>VLOOKUP($A71,地图配置辅助表!$A$3:$AP$245,地图配置辅助表!AG$1,FALSE)</f>
        <v>424</v>
      </c>
      <c r="AV71" s="8">
        <f>VLOOKUP($A71,地图配置辅助表!$A$3:$AP$245,地图配置辅助表!AH$1,FALSE)</f>
        <v>425</v>
      </c>
      <c r="AW71" s="8">
        <f>VLOOKUP($A71,地图配置辅助表!$A$3:$AP$245,地图配置辅助表!AI$1,FALSE)</f>
        <v>426</v>
      </c>
      <c r="AX71" s="8">
        <f>VLOOKUP($A71,地图配置辅助表!$A$3:$AP$245,地图配置辅助表!AJ$1,FALSE)</f>
        <v>427</v>
      </c>
      <c r="AY71" s="8">
        <f>VLOOKUP($A71,地图配置辅助表!$A$3:$AP$245,地图配置辅助表!AK$1,FALSE)</f>
        <v>0</v>
      </c>
      <c r="AZ71" s="8">
        <f>VLOOKUP($A71,地图配置辅助表!$A$3:$AP$245,地图配置辅助表!AL$1,FALSE)</f>
        <v>0</v>
      </c>
      <c r="BA71" s="8">
        <f>VLOOKUP($A71,地图配置辅助表!$A$3:$AP$245,地图配置辅助表!AM$1,FALSE)</f>
        <v>0</v>
      </c>
      <c r="BB71" s="8">
        <f>VLOOKUP($A71,地图配置辅助表!$A$3:$AP$245,地图配置辅助表!AN$1,FALSE)</f>
        <v>0</v>
      </c>
      <c r="BC71" s="8">
        <f>VLOOKUP($A71,地图配置辅助表!$A$3:$AP$245,地图配置辅助表!AO$1,FALSE)</f>
        <v>0</v>
      </c>
      <c r="BD71" s="8">
        <f>VLOOKUP($A71,地图配置辅助表!$A$3:$AP$245,地图配置辅助表!AP$1,FALSE)</f>
        <v>0</v>
      </c>
    </row>
    <row r="72" spans="1:56" s="8" customFormat="1" x14ac:dyDescent="0.15">
      <c r="A72">
        <f>地图配置辅助表!A73</f>
        <v>7008</v>
      </c>
      <c r="B72" s="8">
        <f>地图配置辅助表!B73</f>
        <v>1</v>
      </c>
      <c r="C72" s="8">
        <f>地图配置辅助表!C73</f>
        <v>7</v>
      </c>
      <c r="D72" s="9" t="str">
        <f>地图配置辅助表!D73</f>
        <v>兵临城下</v>
      </c>
      <c r="E72" s="8" t="s">
        <v>393</v>
      </c>
      <c r="F72" s="8" t="s">
        <v>0</v>
      </c>
      <c r="G72" s="8">
        <v>29</v>
      </c>
      <c r="H72" s="8">
        <v>200</v>
      </c>
      <c r="I72" s="8">
        <v>140</v>
      </c>
      <c r="J72" s="8">
        <v>200</v>
      </c>
      <c r="K72" s="8">
        <v>140</v>
      </c>
      <c r="L72" s="8" t="s">
        <v>472</v>
      </c>
      <c r="M72" s="8">
        <v>0</v>
      </c>
      <c r="R72" s="8" t="s">
        <v>472</v>
      </c>
      <c r="S72" s="11">
        <f>VLOOKUP($A72,地图配置辅助表!$A$3:$AP$245,地图配置辅助表!E$1,FALSE)</f>
        <v>10</v>
      </c>
      <c r="T72" s="8">
        <f>VLOOKUP($A72,地图配置辅助表!$A$3:$AP$245,地图配置辅助表!F$1,FALSE)</f>
        <v>85209</v>
      </c>
      <c r="U72" s="8">
        <f>VLOOKUP($A72,地图配置辅助表!$A$3:$AP$245,地图配置辅助表!G$1,FALSE)</f>
        <v>1</v>
      </c>
      <c r="V72" s="8">
        <f>VLOOKUP($A72,地图配置辅助表!$A$3:$AP$245,地图配置辅助表!H$1,FALSE)</f>
        <v>1</v>
      </c>
      <c r="W72" s="8">
        <f>VLOOKUP($A72,地图配置辅助表!$A$3:$AP$245,地图配置辅助表!I$1,FALSE)</f>
        <v>0</v>
      </c>
      <c r="X72" s="8">
        <f>VLOOKUP($A72,地图配置辅助表!$A$3:$AP$245,地图配置辅助表!J$1,FALSE)</f>
        <v>0</v>
      </c>
      <c r="Y72" s="8">
        <f>VLOOKUP($A72,地图配置辅助表!$A$3:$AP$245,地图配置辅助表!K$1,FALSE)</f>
        <v>0</v>
      </c>
      <c r="Z72" s="8">
        <f>VLOOKUP($A72,地图配置辅助表!$A$3:$AP$245,地图配置辅助表!L$1,FALSE)</f>
        <v>0</v>
      </c>
      <c r="AA72" s="8">
        <f>VLOOKUP($A72,地图配置辅助表!$A$3:$AP$245,地图配置辅助表!M$1,FALSE)</f>
        <v>2</v>
      </c>
      <c r="AB72">
        <f>VLOOKUP($A72,地图配置辅助表!$A$3:$AP$245,地图配置辅助表!N$1,FALSE)</f>
        <v>1</v>
      </c>
      <c r="AC72" s="8">
        <f>VLOOKUP($A72,地图配置辅助表!$A$3:$AP$245,地图配置辅助表!O$1,FALSE)</f>
        <v>3</v>
      </c>
      <c r="AD72">
        <f>VLOOKUP($A72,地图配置辅助表!$A$3:$AP$245,地图配置辅助表!P$1,FALSE)</f>
        <v>7007</v>
      </c>
      <c r="AE72" s="8">
        <f>VLOOKUP($A72,地图配置辅助表!$A$3:$AP$245,地图配置辅助表!Q$1,FALSE)</f>
        <v>1</v>
      </c>
      <c r="AF72" s="8">
        <f>VLOOKUP($A72,地图配置辅助表!$A$3:$AP$245,地图配置辅助表!R$1,FALSE)</f>
        <v>56</v>
      </c>
      <c r="AG72" s="11">
        <f>VLOOKUP($A72,地图配置辅助表!$A$3:$AP$245,地图配置辅助表!S$1,FALSE)</f>
        <v>507008</v>
      </c>
      <c r="AH72" s="11">
        <f>VLOOKUP($A72,地图配置辅助表!$A$3:$AP$245,地图配置辅助表!T$1,FALSE)</f>
        <v>178104</v>
      </c>
      <c r="AI72" s="8">
        <f>VLOOKUP($A72,地图配置辅助表!$A$3:$AP$245,地图配置辅助表!U$1,FALSE)</f>
        <v>3</v>
      </c>
      <c r="AJ72" s="8">
        <f>VLOOKUP($A72,地图配置辅助表!$A$3:$AP$245,地图配置辅助表!V$1,FALSE)</f>
        <v>178101</v>
      </c>
      <c r="AK72" s="8">
        <f>VLOOKUP($A72,地图配置辅助表!$A$3:$AP$245,地图配置辅助表!W$1,FALSE)</f>
        <v>178102</v>
      </c>
      <c r="AL72" s="8">
        <f>VLOOKUP($A72,地图配置辅助表!$A$3:$AP$245,地图配置辅助表!X$1,FALSE)</f>
        <v>178103</v>
      </c>
      <c r="AM72" s="8">
        <f>VLOOKUP($A72,地图配置辅助表!$A$3:$AP$245,地图配置辅助表!Y$1,FALSE)</f>
        <v>0</v>
      </c>
      <c r="AN72" s="8">
        <f>VLOOKUP($A72,地图配置辅助表!$A$3:$AP$245,地图配置辅助表!Z$1,FALSE)</f>
        <v>0</v>
      </c>
      <c r="AO72" s="8">
        <f>VLOOKUP($A72,地图配置辅助表!$A$3:$AP$245,地图配置辅助表!AA$1,FALSE)</f>
        <v>0</v>
      </c>
      <c r="AP72" s="8">
        <f>VLOOKUP($A72,地图配置辅助表!$A$3:$AP$245,地图配置辅助表!AB$1,FALSE)</f>
        <v>0</v>
      </c>
      <c r="AQ72" s="8">
        <f>VLOOKUP($A72,地图配置辅助表!$A$3:$AP$245,地图配置辅助表!AC$1,FALSE)</f>
        <v>0</v>
      </c>
      <c r="AR72" s="8">
        <f>VLOOKUP($A72,地图配置辅助表!$A$3:$AP$245,地图配置辅助表!AD$1,FALSE)</f>
        <v>0</v>
      </c>
      <c r="AS72" s="8">
        <f>VLOOKUP($A72,地图配置辅助表!$A$3:$AP$245,地图配置辅助表!AE$1,FALSE)</f>
        <v>0</v>
      </c>
      <c r="AT72" s="8">
        <f>VLOOKUP($A72,地图配置辅助表!$A$3:$AP$245,地图配置辅助表!AF$1,FALSE)</f>
        <v>4</v>
      </c>
      <c r="AU72" s="8">
        <f>VLOOKUP($A72,地图配置辅助表!$A$3:$AP$245,地图配置辅助表!AG$1,FALSE)</f>
        <v>406</v>
      </c>
      <c r="AV72" s="8">
        <f>VLOOKUP($A72,地图配置辅助表!$A$3:$AP$245,地图配置辅助表!AH$1,FALSE)</f>
        <v>407</v>
      </c>
      <c r="AW72" s="8">
        <f>VLOOKUP($A72,地图配置辅助表!$A$3:$AP$245,地图配置辅助表!AI$1,FALSE)</f>
        <v>408</v>
      </c>
      <c r="AX72" s="8">
        <f>VLOOKUP($A72,地图配置辅助表!$A$3:$AP$245,地图配置辅助表!AJ$1,FALSE)</f>
        <v>409</v>
      </c>
      <c r="AY72" s="8">
        <f>VLOOKUP($A72,地图配置辅助表!$A$3:$AP$245,地图配置辅助表!AK$1,FALSE)</f>
        <v>0</v>
      </c>
      <c r="AZ72" s="8">
        <f>VLOOKUP($A72,地图配置辅助表!$A$3:$AP$245,地图配置辅助表!AL$1,FALSE)</f>
        <v>0</v>
      </c>
      <c r="BA72" s="8">
        <f>VLOOKUP($A72,地图配置辅助表!$A$3:$AP$245,地图配置辅助表!AM$1,FALSE)</f>
        <v>0</v>
      </c>
      <c r="BB72" s="8">
        <f>VLOOKUP($A72,地图配置辅助表!$A$3:$AP$245,地图配置辅助表!AN$1,FALSE)</f>
        <v>0</v>
      </c>
      <c r="BC72" s="8">
        <f>VLOOKUP($A72,地图配置辅助表!$A$3:$AP$245,地图配置辅助表!AO$1,FALSE)</f>
        <v>0</v>
      </c>
      <c r="BD72" s="8">
        <f>VLOOKUP($A72,地图配置辅助表!$A$3:$AP$245,地图配置辅助表!AP$1,FALSE)</f>
        <v>0</v>
      </c>
    </row>
    <row r="73" spans="1:56" s="8" customFormat="1" x14ac:dyDescent="0.15">
      <c r="A73">
        <f>地图配置辅助表!A74</f>
        <v>7009</v>
      </c>
      <c r="B73" s="8">
        <f>地图配置辅助表!B74</f>
        <v>1</v>
      </c>
      <c r="C73" s="8">
        <f>地图配置辅助表!C74</f>
        <v>7</v>
      </c>
      <c r="D73" s="9" t="str">
        <f>地图配置辅助表!D74</f>
        <v>决战东京</v>
      </c>
      <c r="E73" s="8" t="s">
        <v>394</v>
      </c>
      <c r="F73" s="8" t="s">
        <v>0</v>
      </c>
      <c r="G73" s="8">
        <v>29</v>
      </c>
      <c r="H73" s="8">
        <v>200</v>
      </c>
      <c r="I73" s="8">
        <v>140</v>
      </c>
      <c r="J73" s="8">
        <v>200</v>
      </c>
      <c r="K73" s="8">
        <v>140</v>
      </c>
      <c r="L73" s="8" t="s">
        <v>473</v>
      </c>
      <c r="M73" s="8">
        <v>0</v>
      </c>
      <c r="R73" s="8" t="s">
        <v>473</v>
      </c>
      <c r="S73" s="11">
        <f>VLOOKUP($A73,地图配置辅助表!$A$3:$AP$245,地图配置辅助表!E$1,FALSE)</f>
        <v>10</v>
      </c>
      <c r="T73" s="8">
        <f>VLOOKUP($A73,地图配置辅助表!$A$3:$AP$245,地图配置辅助表!F$1,FALSE)</f>
        <v>106174</v>
      </c>
      <c r="U73" s="8">
        <f>VLOOKUP($A73,地图配置辅助表!$A$3:$AP$245,地图配置辅助表!G$1,FALSE)</f>
        <v>1</v>
      </c>
      <c r="V73" s="8">
        <f>VLOOKUP($A73,地图配置辅助表!$A$3:$AP$245,地图配置辅助表!H$1,FALSE)</f>
        <v>1</v>
      </c>
      <c r="W73" s="8">
        <f>VLOOKUP($A73,地图配置辅助表!$A$3:$AP$245,地图配置辅助表!I$1,FALSE)</f>
        <v>0</v>
      </c>
      <c r="X73" s="8">
        <f>VLOOKUP($A73,地图配置辅助表!$A$3:$AP$245,地图配置辅助表!J$1,FALSE)</f>
        <v>0</v>
      </c>
      <c r="Y73" s="8">
        <f>VLOOKUP($A73,地图配置辅助表!$A$3:$AP$245,地图配置辅助表!K$1,FALSE)</f>
        <v>0</v>
      </c>
      <c r="Z73" s="8">
        <f>VLOOKUP($A73,地图配置辅助表!$A$3:$AP$245,地图配置辅助表!L$1,FALSE)</f>
        <v>0</v>
      </c>
      <c r="AA73" s="8">
        <f>VLOOKUP($A73,地图配置辅助表!$A$3:$AP$245,地图配置辅助表!M$1,FALSE)</f>
        <v>2</v>
      </c>
      <c r="AB73">
        <f>VLOOKUP($A73,地图配置辅助表!$A$3:$AP$245,地图配置辅助表!N$1,FALSE)</f>
        <v>1</v>
      </c>
      <c r="AC73" s="8">
        <f>VLOOKUP($A73,地图配置辅助表!$A$3:$AP$245,地图配置辅助表!O$1,FALSE)</f>
        <v>3</v>
      </c>
      <c r="AD73">
        <f>VLOOKUP($A73,地图配置辅助表!$A$3:$AP$245,地图配置辅助表!P$1,FALSE)</f>
        <v>7008</v>
      </c>
      <c r="AE73" s="8">
        <f>VLOOKUP($A73,地图配置辅助表!$A$3:$AP$245,地图配置辅助表!Q$1,FALSE)</f>
        <v>1</v>
      </c>
      <c r="AF73" s="8">
        <f>VLOOKUP($A73,地图配置辅助表!$A$3:$AP$245,地图配置辅助表!R$1,FALSE)</f>
        <v>56</v>
      </c>
      <c r="AG73" s="11">
        <f>VLOOKUP($A73,地图配置辅助表!$A$3:$AP$245,地图配置辅助表!S$1,FALSE)</f>
        <v>507009</v>
      </c>
      <c r="AH73" s="11">
        <f>VLOOKUP($A73,地图配置辅助表!$A$3:$AP$245,地图配置辅助表!T$1,FALSE)</f>
        <v>179104</v>
      </c>
      <c r="AI73" s="8">
        <f>VLOOKUP($A73,地图配置辅助表!$A$3:$AP$245,地图配置辅助表!U$1,FALSE)</f>
        <v>3</v>
      </c>
      <c r="AJ73" s="8">
        <f>VLOOKUP($A73,地图配置辅助表!$A$3:$AP$245,地图配置辅助表!V$1,FALSE)</f>
        <v>179101</v>
      </c>
      <c r="AK73" s="8">
        <f>VLOOKUP($A73,地图配置辅助表!$A$3:$AP$245,地图配置辅助表!W$1,FALSE)</f>
        <v>179102</v>
      </c>
      <c r="AL73" s="8">
        <f>VLOOKUP($A73,地图配置辅助表!$A$3:$AP$245,地图配置辅助表!X$1,FALSE)</f>
        <v>179103</v>
      </c>
      <c r="AM73" s="8">
        <f>VLOOKUP($A73,地图配置辅助表!$A$3:$AP$245,地图配置辅助表!Y$1,FALSE)</f>
        <v>0</v>
      </c>
      <c r="AN73" s="8">
        <f>VLOOKUP($A73,地图配置辅助表!$A$3:$AP$245,地图配置辅助表!Z$1,FALSE)</f>
        <v>0</v>
      </c>
      <c r="AO73" s="8">
        <f>VLOOKUP($A73,地图配置辅助表!$A$3:$AP$245,地图配置辅助表!AA$1,FALSE)</f>
        <v>0</v>
      </c>
      <c r="AP73" s="8">
        <f>VLOOKUP($A73,地图配置辅助表!$A$3:$AP$245,地图配置辅助表!AB$1,FALSE)</f>
        <v>0</v>
      </c>
      <c r="AQ73" s="8">
        <f>VLOOKUP($A73,地图配置辅助表!$A$3:$AP$245,地图配置辅助表!AC$1,FALSE)</f>
        <v>0</v>
      </c>
      <c r="AR73" s="8">
        <f>VLOOKUP($A73,地图配置辅助表!$A$3:$AP$245,地图配置辅助表!AD$1,FALSE)</f>
        <v>0</v>
      </c>
      <c r="AS73" s="8">
        <f>VLOOKUP($A73,地图配置辅助表!$A$3:$AP$245,地图配置辅助表!AE$1,FALSE)</f>
        <v>0</v>
      </c>
      <c r="AT73" s="8">
        <f>VLOOKUP($A73,地图配置辅助表!$A$3:$AP$245,地图配置辅助表!AF$1,FALSE)</f>
        <v>4</v>
      </c>
      <c r="AU73" s="8">
        <f>VLOOKUP($A73,地图配置辅助表!$A$3:$AP$245,地图配置辅助表!AG$1,FALSE)</f>
        <v>362</v>
      </c>
      <c r="AV73" s="8">
        <f>VLOOKUP($A73,地图配置辅助表!$A$3:$AP$245,地图配置辅助表!AH$1,FALSE)</f>
        <v>363</v>
      </c>
      <c r="AW73" s="8">
        <f>VLOOKUP($A73,地图配置辅助表!$A$3:$AP$245,地图配置辅助表!AI$1,FALSE)</f>
        <v>364</v>
      </c>
      <c r="AX73" s="8">
        <f>VLOOKUP($A73,地图配置辅助表!$A$3:$AP$245,地图配置辅助表!AJ$1,FALSE)</f>
        <v>365</v>
      </c>
      <c r="AY73" s="8">
        <f>VLOOKUP($A73,地图配置辅助表!$A$3:$AP$245,地图配置辅助表!AK$1,FALSE)</f>
        <v>0</v>
      </c>
      <c r="AZ73" s="8">
        <f>VLOOKUP($A73,地图配置辅助表!$A$3:$AP$245,地图配置辅助表!AL$1,FALSE)</f>
        <v>0</v>
      </c>
      <c r="BA73" s="8">
        <f>VLOOKUP($A73,地图配置辅助表!$A$3:$AP$245,地图配置辅助表!AM$1,FALSE)</f>
        <v>0</v>
      </c>
      <c r="BB73" s="8">
        <f>VLOOKUP($A73,地图配置辅助表!$A$3:$AP$245,地图配置辅助表!AN$1,FALSE)</f>
        <v>0</v>
      </c>
      <c r="BC73" s="8">
        <f>VLOOKUP($A73,地图配置辅助表!$A$3:$AP$245,地图配置辅助表!AO$1,FALSE)</f>
        <v>0</v>
      </c>
      <c r="BD73" s="8">
        <f>VLOOKUP($A73,地图配置辅助表!$A$3:$AP$245,地图配置辅助表!AP$1,FALSE)</f>
        <v>0</v>
      </c>
    </row>
    <row r="74" spans="1:56" s="8" customFormat="1" x14ac:dyDescent="0.15">
      <c r="A74">
        <f>地图配置辅助表!A75</f>
        <v>8001</v>
      </c>
      <c r="B74" s="8">
        <f>地图配置辅助表!B75</f>
        <v>1</v>
      </c>
      <c r="C74" s="8">
        <f>地图配置辅助表!C75</f>
        <v>8</v>
      </c>
      <c r="D74" s="9" t="str">
        <f>地图配置辅助表!D75</f>
        <v>再战靓坤</v>
      </c>
      <c r="E74" s="8" t="s">
        <v>395</v>
      </c>
      <c r="F74" s="8" t="s">
        <v>0</v>
      </c>
      <c r="G74" s="8">
        <v>29</v>
      </c>
      <c r="H74" s="8">
        <v>400</v>
      </c>
      <c r="I74" s="8">
        <v>140</v>
      </c>
      <c r="J74" s="8">
        <v>200</v>
      </c>
      <c r="K74" s="8">
        <v>140</v>
      </c>
      <c r="L74" s="8" t="s">
        <v>163</v>
      </c>
      <c r="M74" s="8">
        <v>0</v>
      </c>
      <c r="R74" s="8" t="s">
        <v>163</v>
      </c>
      <c r="S74" s="11">
        <f>VLOOKUP($A74,地图配置辅助表!$A$3:$AP$245,地图配置辅助表!E$1,FALSE)</f>
        <v>10</v>
      </c>
      <c r="T74" s="8">
        <f>VLOOKUP($A74,地图配置辅助表!$A$3:$AP$245,地图配置辅助表!F$1,FALSE)</f>
        <v>97187</v>
      </c>
      <c r="U74" s="8">
        <f>VLOOKUP($A74,地图配置辅助表!$A$3:$AP$245,地图配置辅助表!G$1,FALSE)</f>
        <v>1</v>
      </c>
      <c r="V74" s="8">
        <f>VLOOKUP($A74,地图配置辅助表!$A$3:$AP$245,地图配置辅助表!H$1,FALSE)</f>
        <v>1</v>
      </c>
      <c r="W74" s="8">
        <f>VLOOKUP($A74,地图配置辅助表!$A$3:$AP$245,地图配置辅助表!I$1,FALSE)</f>
        <v>0</v>
      </c>
      <c r="X74" s="8">
        <f>VLOOKUP($A74,地图配置辅助表!$A$3:$AP$245,地图配置辅助表!J$1,FALSE)</f>
        <v>0</v>
      </c>
      <c r="Y74" s="8">
        <f>VLOOKUP($A74,地图配置辅助表!$A$3:$AP$245,地图配置辅助表!K$1,FALSE)</f>
        <v>0</v>
      </c>
      <c r="Z74" s="8">
        <f>VLOOKUP($A74,地图配置辅助表!$A$3:$AP$245,地图配置辅助表!L$1,FALSE)</f>
        <v>0</v>
      </c>
      <c r="AA74" s="8">
        <f>VLOOKUP($A74,地图配置辅助表!$A$3:$AP$245,地图配置辅助表!M$1,FALSE)</f>
        <v>2</v>
      </c>
      <c r="AB74">
        <f>VLOOKUP($A74,地图配置辅助表!$A$3:$AP$245,地图配置辅助表!N$1,FALSE)</f>
        <v>1</v>
      </c>
      <c r="AC74" s="8">
        <f>VLOOKUP($A74,地图配置辅助表!$A$3:$AP$245,地图配置辅助表!O$1,FALSE)</f>
        <v>3</v>
      </c>
      <c r="AD74">
        <f>VLOOKUP($A74,地图配置辅助表!$A$3:$AP$245,地图配置辅助表!P$1,FALSE)</f>
        <v>7009</v>
      </c>
      <c r="AE74" s="8">
        <f>VLOOKUP($A74,地图配置辅助表!$A$3:$AP$245,地图配置辅助表!Q$1,FALSE)</f>
        <v>1</v>
      </c>
      <c r="AF74" s="8">
        <f>VLOOKUP($A74,地图配置辅助表!$A$3:$AP$245,地图配置辅助表!R$1,FALSE)</f>
        <v>65</v>
      </c>
      <c r="AG74" s="11">
        <f>VLOOKUP($A74,地图配置辅助表!$A$3:$AP$245,地图配置辅助表!S$1,FALSE)</f>
        <v>508001</v>
      </c>
      <c r="AH74" s="11">
        <f>VLOOKUP($A74,地图配置辅助表!$A$3:$AP$245,地图配置辅助表!T$1,FALSE)</f>
        <v>181104</v>
      </c>
      <c r="AI74" s="8">
        <f>VLOOKUP($A74,地图配置辅助表!$A$3:$AP$245,地图配置辅助表!U$1,FALSE)</f>
        <v>3</v>
      </c>
      <c r="AJ74" s="8">
        <f>VLOOKUP($A74,地图配置辅助表!$A$3:$AP$245,地图配置辅助表!V$1,FALSE)</f>
        <v>181101</v>
      </c>
      <c r="AK74" s="8">
        <f>VLOOKUP($A74,地图配置辅助表!$A$3:$AP$245,地图配置辅助表!W$1,FALSE)</f>
        <v>181102</v>
      </c>
      <c r="AL74" s="8">
        <f>VLOOKUP($A74,地图配置辅助表!$A$3:$AP$245,地图配置辅助表!X$1,FALSE)</f>
        <v>181103</v>
      </c>
      <c r="AM74" s="8">
        <f>VLOOKUP($A74,地图配置辅助表!$A$3:$AP$245,地图配置辅助表!Y$1,FALSE)</f>
        <v>0</v>
      </c>
      <c r="AN74" s="8">
        <f>VLOOKUP($A74,地图配置辅助表!$A$3:$AP$245,地图配置辅助表!Z$1,FALSE)</f>
        <v>0</v>
      </c>
      <c r="AO74" s="8">
        <f>VLOOKUP($A74,地图配置辅助表!$A$3:$AP$245,地图配置辅助表!AA$1,FALSE)</f>
        <v>0</v>
      </c>
      <c r="AP74" s="8">
        <f>VLOOKUP($A74,地图配置辅助表!$A$3:$AP$245,地图配置辅助表!AB$1,FALSE)</f>
        <v>0</v>
      </c>
      <c r="AQ74" s="8">
        <f>VLOOKUP($A74,地图配置辅助表!$A$3:$AP$245,地图配置辅助表!AC$1,FALSE)</f>
        <v>0</v>
      </c>
      <c r="AR74" s="8">
        <f>VLOOKUP($A74,地图配置辅助表!$A$3:$AP$245,地图配置辅助表!AD$1,FALSE)</f>
        <v>0</v>
      </c>
      <c r="AS74" s="8">
        <f>VLOOKUP($A74,地图配置辅助表!$A$3:$AP$245,地图配置辅助表!AE$1,FALSE)</f>
        <v>0</v>
      </c>
      <c r="AT74" s="8">
        <f>VLOOKUP($A74,地图配置辅助表!$A$3:$AP$245,地图配置辅助表!AF$1,FALSE)</f>
        <v>4</v>
      </c>
      <c r="AU74" s="8">
        <f>VLOOKUP($A74,地图配置辅助表!$A$3:$AP$245,地图配置辅助表!AG$1,FALSE)</f>
        <v>916</v>
      </c>
      <c r="AV74" s="8">
        <f>VLOOKUP($A74,地图配置辅助表!$A$3:$AP$245,地图配置辅助表!AH$1,FALSE)</f>
        <v>917</v>
      </c>
      <c r="AW74" s="8">
        <f>VLOOKUP($A74,地图配置辅助表!$A$3:$AP$245,地图配置辅助表!AI$1,FALSE)</f>
        <v>918</v>
      </c>
      <c r="AX74" s="8">
        <f>VLOOKUP($A74,地图配置辅助表!$A$3:$AP$245,地图配置辅助表!AJ$1,FALSE)</f>
        <v>919</v>
      </c>
      <c r="AY74" s="8">
        <f>VLOOKUP($A74,地图配置辅助表!$A$3:$AP$245,地图配置辅助表!AK$1,FALSE)</f>
        <v>0</v>
      </c>
      <c r="AZ74" s="8">
        <f>VLOOKUP($A74,地图配置辅助表!$A$3:$AP$245,地图配置辅助表!AL$1,FALSE)</f>
        <v>0</v>
      </c>
      <c r="BA74" s="8">
        <f>VLOOKUP($A74,地图配置辅助表!$A$3:$AP$245,地图配置辅助表!AM$1,FALSE)</f>
        <v>0</v>
      </c>
      <c r="BB74" s="8">
        <f>VLOOKUP($A74,地图配置辅助表!$A$3:$AP$245,地图配置辅助表!AN$1,FALSE)</f>
        <v>0</v>
      </c>
      <c r="BC74" s="8">
        <f>VLOOKUP($A74,地图配置辅助表!$A$3:$AP$245,地图配置辅助表!AO$1,FALSE)</f>
        <v>0</v>
      </c>
      <c r="BD74" s="8">
        <f>VLOOKUP($A74,地图配置辅助表!$A$3:$AP$245,地图配置辅助表!AP$1,FALSE)</f>
        <v>0</v>
      </c>
    </row>
    <row r="75" spans="1:56" s="8" customFormat="1" x14ac:dyDescent="0.15">
      <c r="A75">
        <f>地图配置辅助表!A76</f>
        <v>8002</v>
      </c>
      <c r="B75" s="8">
        <f>地图配置辅助表!B76</f>
        <v>1</v>
      </c>
      <c r="C75" s="8">
        <f>地图配置辅助表!C76</f>
        <v>8</v>
      </c>
      <c r="D75" s="9" t="str">
        <f>地图配置辅助表!D76</f>
        <v>噩梦再临</v>
      </c>
      <c r="E75" s="8" t="s">
        <v>396</v>
      </c>
      <c r="F75" s="8" t="s">
        <v>0</v>
      </c>
      <c r="G75" s="8">
        <v>29</v>
      </c>
      <c r="H75" s="8">
        <v>200</v>
      </c>
      <c r="I75" s="8">
        <v>140</v>
      </c>
      <c r="J75" s="8">
        <v>200</v>
      </c>
      <c r="K75" s="8">
        <v>140</v>
      </c>
      <c r="L75" s="8" t="s">
        <v>164</v>
      </c>
      <c r="M75" s="8">
        <v>0</v>
      </c>
      <c r="R75" s="8" t="s">
        <v>164</v>
      </c>
      <c r="S75" s="11">
        <f>VLOOKUP($A75,地图配置辅助表!$A$3:$AP$245,地图配置辅助表!E$1,FALSE)</f>
        <v>10</v>
      </c>
      <c r="T75" s="8">
        <f>VLOOKUP($A75,地图配置辅助表!$A$3:$AP$245,地图配置辅助表!F$1,FALSE)</f>
        <v>103585</v>
      </c>
      <c r="U75" s="8">
        <f>VLOOKUP($A75,地图配置辅助表!$A$3:$AP$245,地图配置辅助表!G$1,FALSE)</f>
        <v>1</v>
      </c>
      <c r="V75" s="8">
        <f>VLOOKUP($A75,地图配置辅助表!$A$3:$AP$245,地图配置辅助表!H$1,FALSE)</f>
        <v>1</v>
      </c>
      <c r="W75" s="8">
        <f>VLOOKUP($A75,地图配置辅助表!$A$3:$AP$245,地图配置辅助表!I$1,FALSE)</f>
        <v>0</v>
      </c>
      <c r="X75" s="8">
        <f>VLOOKUP($A75,地图配置辅助表!$A$3:$AP$245,地图配置辅助表!J$1,FALSE)</f>
        <v>0</v>
      </c>
      <c r="Y75" s="8">
        <f>VLOOKUP($A75,地图配置辅助表!$A$3:$AP$245,地图配置辅助表!K$1,FALSE)</f>
        <v>0</v>
      </c>
      <c r="Z75" s="8">
        <f>VLOOKUP($A75,地图配置辅助表!$A$3:$AP$245,地图配置辅助表!L$1,FALSE)</f>
        <v>0</v>
      </c>
      <c r="AA75" s="8">
        <f>VLOOKUP($A75,地图配置辅助表!$A$3:$AP$245,地图配置辅助表!M$1,FALSE)</f>
        <v>2</v>
      </c>
      <c r="AB75">
        <f>VLOOKUP($A75,地图配置辅助表!$A$3:$AP$245,地图配置辅助表!N$1,FALSE)</f>
        <v>1</v>
      </c>
      <c r="AC75" s="8">
        <f>VLOOKUP($A75,地图配置辅助表!$A$3:$AP$245,地图配置辅助表!O$1,FALSE)</f>
        <v>3</v>
      </c>
      <c r="AD75">
        <f>VLOOKUP($A75,地图配置辅助表!$A$3:$AP$245,地图配置辅助表!P$1,FALSE)</f>
        <v>8001</v>
      </c>
      <c r="AE75" s="8">
        <f>VLOOKUP($A75,地图配置辅助表!$A$3:$AP$245,地图配置辅助表!Q$1,FALSE)</f>
        <v>1</v>
      </c>
      <c r="AF75" s="8">
        <f>VLOOKUP($A75,地图配置辅助表!$A$3:$AP$245,地图配置辅助表!R$1,FALSE)</f>
        <v>65</v>
      </c>
      <c r="AG75" s="11">
        <f>VLOOKUP($A75,地图配置辅助表!$A$3:$AP$245,地图配置辅助表!S$1,FALSE)</f>
        <v>508002</v>
      </c>
      <c r="AH75" s="11">
        <f>VLOOKUP($A75,地图配置辅助表!$A$3:$AP$245,地图配置辅助表!T$1,FALSE)</f>
        <v>182104</v>
      </c>
      <c r="AI75" s="8">
        <f>VLOOKUP($A75,地图配置辅助表!$A$3:$AP$245,地图配置辅助表!U$1,FALSE)</f>
        <v>3</v>
      </c>
      <c r="AJ75" s="8">
        <f>VLOOKUP($A75,地图配置辅助表!$A$3:$AP$245,地图配置辅助表!V$1,FALSE)</f>
        <v>182101</v>
      </c>
      <c r="AK75" s="8">
        <f>VLOOKUP($A75,地图配置辅助表!$A$3:$AP$245,地图配置辅助表!W$1,FALSE)</f>
        <v>182102</v>
      </c>
      <c r="AL75" s="8">
        <f>VLOOKUP($A75,地图配置辅助表!$A$3:$AP$245,地图配置辅助表!X$1,FALSE)</f>
        <v>182103</v>
      </c>
      <c r="AM75" s="8">
        <f>VLOOKUP($A75,地图配置辅助表!$A$3:$AP$245,地图配置辅助表!Y$1,FALSE)</f>
        <v>0</v>
      </c>
      <c r="AN75" s="8">
        <f>VLOOKUP($A75,地图配置辅助表!$A$3:$AP$245,地图配置辅助表!Z$1,FALSE)</f>
        <v>0</v>
      </c>
      <c r="AO75" s="8">
        <f>VLOOKUP($A75,地图配置辅助表!$A$3:$AP$245,地图配置辅助表!AA$1,FALSE)</f>
        <v>0</v>
      </c>
      <c r="AP75" s="8">
        <f>VLOOKUP($A75,地图配置辅助表!$A$3:$AP$245,地图配置辅助表!AB$1,FALSE)</f>
        <v>0</v>
      </c>
      <c r="AQ75" s="8">
        <f>VLOOKUP($A75,地图配置辅助表!$A$3:$AP$245,地图配置辅助表!AC$1,FALSE)</f>
        <v>0</v>
      </c>
      <c r="AR75" s="8">
        <f>VLOOKUP($A75,地图配置辅助表!$A$3:$AP$245,地图配置辅助表!AD$1,FALSE)</f>
        <v>0</v>
      </c>
      <c r="AS75" s="8">
        <f>VLOOKUP($A75,地图配置辅助表!$A$3:$AP$245,地图配置辅助表!AE$1,FALSE)</f>
        <v>0</v>
      </c>
      <c r="AT75" s="8">
        <f>VLOOKUP($A75,地图配置辅助表!$A$3:$AP$245,地图配置辅助表!AF$1,FALSE)</f>
        <v>4</v>
      </c>
      <c r="AU75" s="8">
        <f>VLOOKUP($A75,地图配置辅助表!$A$3:$AP$245,地图配置辅助表!AG$1,FALSE)</f>
        <v>509</v>
      </c>
      <c r="AV75" s="8">
        <f>VLOOKUP($A75,地图配置辅助表!$A$3:$AP$245,地图配置辅助表!AH$1,FALSE)</f>
        <v>510</v>
      </c>
      <c r="AW75" s="8">
        <f>VLOOKUP($A75,地图配置辅助表!$A$3:$AP$245,地图配置辅助表!AI$1,FALSE)</f>
        <v>511</v>
      </c>
      <c r="AX75" s="8">
        <f>VLOOKUP($A75,地图配置辅助表!$A$3:$AP$245,地图配置辅助表!AJ$1,FALSE)</f>
        <v>512</v>
      </c>
      <c r="AY75" s="8">
        <f>VLOOKUP($A75,地图配置辅助表!$A$3:$AP$245,地图配置辅助表!AK$1,FALSE)</f>
        <v>0</v>
      </c>
      <c r="AZ75" s="8">
        <f>VLOOKUP($A75,地图配置辅助表!$A$3:$AP$245,地图配置辅助表!AL$1,FALSE)</f>
        <v>0</v>
      </c>
      <c r="BA75" s="8">
        <f>VLOOKUP($A75,地图配置辅助表!$A$3:$AP$245,地图配置辅助表!AM$1,FALSE)</f>
        <v>0</v>
      </c>
      <c r="BB75" s="8">
        <f>VLOOKUP($A75,地图配置辅助表!$A$3:$AP$245,地图配置辅助表!AN$1,FALSE)</f>
        <v>0</v>
      </c>
      <c r="BC75" s="8">
        <f>VLOOKUP($A75,地图配置辅助表!$A$3:$AP$245,地图配置辅助表!AO$1,FALSE)</f>
        <v>0</v>
      </c>
      <c r="BD75" s="8">
        <f>VLOOKUP($A75,地图配置辅助表!$A$3:$AP$245,地图配置辅助表!AP$1,FALSE)</f>
        <v>0</v>
      </c>
    </row>
    <row r="76" spans="1:56" s="8" customFormat="1" x14ac:dyDescent="0.15">
      <c r="A76">
        <f>地图配置辅助表!A77</f>
        <v>8003</v>
      </c>
      <c r="B76" s="8">
        <f>地图配置辅助表!B77</f>
        <v>1</v>
      </c>
      <c r="C76" s="8">
        <f>地图配置辅助表!C77</f>
        <v>8</v>
      </c>
      <c r="D76" s="9" t="str">
        <f>地图配置辅助表!D77</f>
        <v>死性不改</v>
      </c>
      <c r="E76" s="8" t="s">
        <v>397</v>
      </c>
      <c r="F76" s="8" t="s">
        <v>0</v>
      </c>
      <c r="G76" s="8">
        <v>29</v>
      </c>
      <c r="H76" s="8">
        <v>200</v>
      </c>
      <c r="I76" s="8">
        <v>140</v>
      </c>
      <c r="J76" s="8">
        <v>200</v>
      </c>
      <c r="K76" s="8">
        <v>140</v>
      </c>
      <c r="L76" s="8" t="s">
        <v>165</v>
      </c>
      <c r="M76" s="8">
        <v>0</v>
      </c>
      <c r="R76" s="8" t="s">
        <v>165</v>
      </c>
      <c r="S76" s="11">
        <f>VLOOKUP($A76,地图配置辅助表!$A$3:$AP$245,地图配置辅助表!E$1,FALSE)</f>
        <v>10</v>
      </c>
      <c r="T76" s="8">
        <f>VLOOKUP($A76,地图配置辅助表!$A$3:$AP$245,地图配置辅助表!F$1,FALSE)</f>
        <v>110027</v>
      </c>
      <c r="U76" s="8">
        <f>VLOOKUP($A76,地图配置辅助表!$A$3:$AP$245,地图配置辅助表!G$1,FALSE)</f>
        <v>1</v>
      </c>
      <c r="V76" s="8">
        <f>VLOOKUP($A76,地图配置辅助表!$A$3:$AP$245,地图配置辅助表!H$1,FALSE)</f>
        <v>1</v>
      </c>
      <c r="W76" s="8">
        <f>VLOOKUP($A76,地图配置辅助表!$A$3:$AP$245,地图配置辅助表!I$1,FALSE)</f>
        <v>0</v>
      </c>
      <c r="X76" s="8">
        <f>VLOOKUP($A76,地图配置辅助表!$A$3:$AP$245,地图配置辅助表!J$1,FALSE)</f>
        <v>0</v>
      </c>
      <c r="Y76" s="8">
        <f>VLOOKUP($A76,地图配置辅助表!$A$3:$AP$245,地图配置辅助表!K$1,FALSE)</f>
        <v>0</v>
      </c>
      <c r="Z76" s="8">
        <f>VLOOKUP($A76,地图配置辅助表!$A$3:$AP$245,地图配置辅助表!L$1,FALSE)</f>
        <v>0</v>
      </c>
      <c r="AA76" s="8">
        <f>VLOOKUP($A76,地图配置辅助表!$A$3:$AP$245,地图配置辅助表!M$1,FALSE)</f>
        <v>2</v>
      </c>
      <c r="AB76">
        <f>VLOOKUP($A76,地图配置辅助表!$A$3:$AP$245,地图配置辅助表!N$1,FALSE)</f>
        <v>1</v>
      </c>
      <c r="AC76" s="8">
        <f>VLOOKUP($A76,地图配置辅助表!$A$3:$AP$245,地图配置辅助表!O$1,FALSE)</f>
        <v>3</v>
      </c>
      <c r="AD76">
        <f>VLOOKUP($A76,地图配置辅助表!$A$3:$AP$245,地图配置辅助表!P$1,FALSE)</f>
        <v>8002</v>
      </c>
      <c r="AE76" s="8">
        <f>VLOOKUP($A76,地图配置辅助表!$A$3:$AP$245,地图配置辅助表!Q$1,FALSE)</f>
        <v>1</v>
      </c>
      <c r="AF76" s="8">
        <f>VLOOKUP($A76,地图配置辅助表!$A$3:$AP$245,地图配置辅助表!R$1,FALSE)</f>
        <v>65</v>
      </c>
      <c r="AG76" s="11">
        <f>VLOOKUP($A76,地图配置辅助表!$A$3:$AP$245,地图配置辅助表!S$1,FALSE)</f>
        <v>508003</v>
      </c>
      <c r="AH76" s="11">
        <f>VLOOKUP($A76,地图配置辅助表!$A$3:$AP$245,地图配置辅助表!T$1,FALSE)</f>
        <v>183104</v>
      </c>
      <c r="AI76" s="8">
        <f>VLOOKUP($A76,地图配置辅助表!$A$3:$AP$245,地图配置辅助表!U$1,FALSE)</f>
        <v>3</v>
      </c>
      <c r="AJ76" s="8">
        <f>VLOOKUP($A76,地图配置辅助表!$A$3:$AP$245,地图配置辅助表!V$1,FALSE)</f>
        <v>183101</v>
      </c>
      <c r="AK76" s="8">
        <f>VLOOKUP($A76,地图配置辅助表!$A$3:$AP$245,地图配置辅助表!W$1,FALSE)</f>
        <v>183102</v>
      </c>
      <c r="AL76" s="8">
        <f>VLOOKUP($A76,地图配置辅助表!$A$3:$AP$245,地图配置辅助表!X$1,FALSE)</f>
        <v>183103</v>
      </c>
      <c r="AM76" s="8">
        <f>VLOOKUP($A76,地图配置辅助表!$A$3:$AP$245,地图配置辅助表!Y$1,FALSE)</f>
        <v>0</v>
      </c>
      <c r="AN76" s="8">
        <f>VLOOKUP($A76,地图配置辅助表!$A$3:$AP$245,地图配置辅助表!Z$1,FALSE)</f>
        <v>0</v>
      </c>
      <c r="AO76" s="8">
        <f>VLOOKUP($A76,地图配置辅助表!$A$3:$AP$245,地图配置辅助表!AA$1,FALSE)</f>
        <v>0</v>
      </c>
      <c r="AP76" s="8">
        <f>VLOOKUP($A76,地图配置辅助表!$A$3:$AP$245,地图配置辅助表!AB$1,FALSE)</f>
        <v>0</v>
      </c>
      <c r="AQ76" s="8">
        <f>VLOOKUP($A76,地图配置辅助表!$A$3:$AP$245,地图配置辅助表!AC$1,FALSE)</f>
        <v>0</v>
      </c>
      <c r="AR76" s="8">
        <f>VLOOKUP($A76,地图配置辅助表!$A$3:$AP$245,地图配置辅助表!AD$1,FALSE)</f>
        <v>0</v>
      </c>
      <c r="AS76" s="8">
        <f>VLOOKUP($A76,地图配置辅助表!$A$3:$AP$245,地图配置辅助表!AE$1,FALSE)</f>
        <v>0</v>
      </c>
      <c r="AT76" s="8">
        <f>VLOOKUP($A76,地图配置辅助表!$A$3:$AP$245,地图配置辅助表!AF$1,FALSE)</f>
        <v>4</v>
      </c>
      <c r="AU76" s="8">
        <f>VLOOKUP($A76,地图配置辅助表!$A$3:$AP$245,地图配置辅助表!AG$1,FALSE)</f>
        <v>362</v>
      </c>
      <c r="AV76" s="8">
        <f>VLOOKUP($A76,地图配置辅助表!$A$3:$AP$245,地图配置辅助表!AH$1,FALSE)</f>
        <v>363</v>
      </c>
      <c r="AW76" s="8">
        <f>VLOOKUP($A76,地图配置辅助表!$A$3:$AP$245,地图配置辅助表!AI$1,FALSE)</f>
        <v>364</v>
      </c>
      <c r="AX76" s="8">
        <f>VLOOKUP($A76,地图配置辅助表!$A$3:$AP$245,地图配置辅助表!AJ$1,FALSE)</f>
        <v>365</v>
      </c>
      <c r="AY76" s="8">
        <f>VLOOKUP($A76,地图配置辅助表!$A$3:$AP$245,地图配置辅助表!AK$1,FALSE)</f>
        <v>0</v>
      </c>
      <c r="AZ76" s="8">
        <f>VLOOKUP($A76,地图配置辅助表!$A$3:$AP$245,地图配置辅助表!AL$1,FALSE)</f>
        <v>0</v>
      </c>
      <c r="BA76" s="8">
        <f>VLOOKUP($A76,地图配置辅助表!$A$3:$AP$245,地图配置辅助表!AM$1,FALSE)</f>
        <v>0</v>
      </c>
      <c r="BB76" s="8">
        <f>VLOOKUP($A76,地图配置辅助表!$A$3:$AP$245,地图配置辅助表!AN$1,FALSE)</f>
        <v>0</v>
      </c>
      <c r="BC76" s="8">
        <f>VLOOKUP($A76,地图配置辅助表!$A$3:$AP$245,地图配置辅助表!AO$1,FALSE)</f>
        <v>0</v>
      </c>
      <c r="BD76" s="8">
        <f>VLOOKUP($A76,地图配置辅助表!$A$3:$AP$245,地图配置辅助表!AP$1,FALSE)</f>
        <v>0</v>
      </c>
    </row>
    <row r="77" spans="1:56" s="8" customFormat="1" x14ac:dyDescent="0.15">
      <c r="A77">
        <f>地图配置辅助表!A78</f>
        <v>8004</v>
      </c>
      <c r="B77" s="8">
        <f>地图配置辅助表!B78</f>
        <v>1</v>
      </c>
      <c r="C77" s="8">
        <f>地图配置辅助表!C78</f>
        <v>8</v>
      </c>
      <c r="D77" s="9" t="str">
        <f>地图配置辅助表!D78</f>
        <v>阴魂不散</v>
      </c>
      <c r="E77" s="8" t="s">
        <v>398</v>
      </c>
      <c r="F77" s="8" t="s">
        <v>0</v>
      </c>
      <c r="G77" s="8">
        <v>29</v>
      </c>
      <c r="H77" s="8">
        <v>200</v>
      </c>
      <c r="I77" s="8">
        <v>140</v>
      </c>
      <c r="J77" s="8">
        <v>200</v>
      </c>
      <c r="K77" s="8">
        <v>140</v>
      </c>
      <c r="L77" s="8" t="s">
        <v>166</v>
      </c>
      <c r="M77" s="8">
        <v>0</v>
      </c>
      <c r="R77" s="8" t="s">
        <v>166</v>
      </c>
      <c r="S77" s="11">
        <f>VLOOKUP($A77,地图配置辅助表!$A$3:$AP$245,地图配置辅助表!E$1,FALSE)</f>
        <v>10</v>
      </c>
      <c r="T77" s="8">
        <f>VLOOKUP($A77,地图配置辅助表!$A$3:$AP$245,地图配置辅助表!F$1,FALSE)</f>
        <v>116662</v>
      </c>
      <c r="U77" s="8">
        <f>VLOOKUP($A77,地图配置辅助表!$A$3:$AP$245,地图配置辅助表!G$1,FALSE)</f>
        <v>1</v>
      </c>
      <c r="V77" s="8">
        <f>VLOOKUP($A77,地图配置辅助表!$A$3:$AP$245,地图配置辅助表!H$1,FALSE)</f>
        <v>1</v>
      </c>
      <c r="W77" s="8">
        <f>VLOOKUP($A77,地图配置辅助表!$A$3:$AP$245,地图配置辅助表!I$1,FALSE)</f>
        <v>0</v>
      </c>
      <c r="X77" s="8">
        <f>VLOOKUP($A77,地图配置辅助表!$A$3:$AP$245,地图配置辅助表!J$1,FALSE)</f>
        <v>0</v>
      </c>
      <c r="Y77" s="8">
        <f>VLOOKUP($A77,地图配置辅助表!$A$3:$AP$245,地图配置辅助表!K$1,FALSE)</f>
        <v>0</v>
      </c>
      <c r="Z77" s="8">
        <f>VLOOKUP($A77,地图配置辅助表!$A$3:$AP$245,地图配置辅助表!L$1,FALSE)</f>
        <v>0</v>
      </c>
      <c r="AA77" s="8">
        <f>VLOOKUP($A77,地图配置辅助表!$A$3:$AP$245,地图配置辅助表!M$1,FALSE)</f>
        <v>2</v>
      </c>
      <c r="AB77">
        <f>VLOOKUP($A77,地图配置辅助表!$A$3:$AP$245,地图配置辅助表!N$1,FALSE)</f>
        <v>1</v>
      </c>
      <c r="AC77" s="8">
        <f>VLOOKUP($A77,地图配置辅助表!$A$3:$AP$245,地图配置辅助表!O$1,FALSE)</f>
        <v>3</v>
      </c>
      <c r="AD77">
        <f>VLOOKUP($A77,地图配置辅助表!$A$3:$AP$245,地图配置辅助表!P$1,FALSE)</f>
        <v>8003</v>
      </c>
      <c r="AE77" s="8">
        <f>VLOOKUP($A77,地图配置辅助表!$A$3:$AP$245,地图配置辅助表!Q$1,FALSE)</f>
        <v>1</v>
      </c>
      <c r="AF77" s="8">
        <f>VLOOKUP($A77,地图配置辅助表!$A$3:$AP$245,地图配置辅助表!R$1,FALSE)</f>
        <v>65</v>
      </c>
      <c r="AG77" s="11">
        <f>VLOOKUP($A77,地图配置辅助表!$A$3:$AP$245,地图配置辅助表!S$1,FALSE)</f>
        <v>508004</v>
      </c>
      <c r="AH77" s="11">
        <f>VLOOKUP($A77,地图配置辅助表!$A$3:$AP$245,地图配置辅助表!T$1,FALSE)</f>
        <v>184104</v>
      </c>
      <c r="AI77" s="8">
        <f>VLOOKUP($A77,地图配置辅助表!$A$3:$AP$245,地图配置辅助表!U$1,FALSE)</f>
        <v>3</v>
      </c>
      <c r="AJ77" s="8">
        <f>VLOOKUP($A77,地图配置辅助表!$A$3:$AP$245,地图配置辅助表!V$1,FALSE)</f>
        <v>184101</v>
      </c>
      <c r="AK77" s="8">
        <f>VLOOKUP($A77,地图配置辅助表!$A$3:$AP$245,地图配置辅助表!W$1,FALSE)</f>
        <v>184102</v>
      </c>
      <c r="AL77" s="8">
        <f>VLOOKUP($A77,地图配置辅助表!$A$3:$AP$245,地图配置辅助表!X$1,FALSE)</f>
        <v>184103</v>
      </c>
      <c r="AM77" s="8">
        <f>VLOOKUP($A77,地图配置辅助表!$A$3:$AP$245,地图配置辅助表!Y$1,FALSE)</f>
        <v>0</v>
      </c>
      <c r="AN77" s="8">
        <f>VLOOKUP($A77,地图配置辅助表!$A$3:$AP$245,地图配置辅助表!Z$1,FALSE)</f>
        <v>0</v>
      </c>
      <c r="AO77" s="8">
        <f>VLOOKUP($A77,地图配置辅助表!$A$3:$AP$245,地图配置辅助表!AA$1,FALSE)</f>
        <v>0</v>
      </c>
      <c r="AP77" s="8">
        <f>VLOOKUP($A77,地图配置辅助表!$A$3:$AP$245,地图配置辅助表!AB$1,FALSE)</f>
        <v>0</v>
      </c>
      <c r="AQ77" s="8">
        <f>VLOOKUP($A77,地图配置辅助表!$A$3:$AP$245,地图配置辅助表!AC$1,FALSE)</f>
        <v>0</v>
      </c>
      <c r="AR77" s="8">
        <f>VLOOKUP($A77,地图配置辅助表!$A$3:$AP$245,地图配置辅助表!AD$1,FALSE)</f>
        <v>0</v>
      </c>
      <c r="AS77" s="8">
        <f>VLOOKUP($A77,地图配置辅助表!$A$3:$AP$245,地图配置辅助表!AE$1,FALSE)</f>
        <v>0</v>
      </c>
      <c r="AT77" s="8">
        <f>VLOOKUP($A77,地图配置辅助表!$A$3:$AP$245,地图配置辅助表!AF$1,FALSE)</f>
        <v>4</v>
      </c>
      <c r="AU77" s="8">
        <f>VLOOKUP($A77,地图配置辅助表!$A$3:$AP$245,地图配置辅助表!AG$1,FALSE)</f>
        <v>194</v>
      </c>
      <c r="AV77" s="8">
        <f>VLOOKUP($A77,地图配置辅助表!$A$3:$AP$245,地图配置辅助表!AH$1,FALSE)</f>
        <v>195</v>
      </c>
      <c r="AW77" s="8">
        <f>VLOOKUP($A77,地图配置辅助表!$A$3:$AP$245,地图配置辅助表!AI$1,FALSE)</f>
        <v>196</v>
      </c>
      <c r="AX77" s="8">
        <f>VLOOKUP($A77,地图配置辅助表!$A$3:$AP$245,地图配置辅助表!AJ$1,FALSE)</f>
        <v>197</v>
      </c>
      <c r="AY77" s="8">
        <f>VLOOKUP($A77,地图配置辅助表!$A$3:$AP$245,地图配置辅助表!AK$1,FALSE)</f>
        <v>0</v>
      </c>
      <c r="AZ77" s="8">
        <f>VLOOKUP($A77,地图配置辅助表!$A$3:$AP$245,地图配置辅助表!AL$1,FALSE)</f>
        <v>0</v>
      </c>
      <c r="BA77" s="8">
        <f>VLOOKUP($A77,地图配置辅助表!$A$3:$AP$245,地图配置辅助表!AM$1,FALSE)</f>
        <v>0</v>
      </c>
      <c r="BB77" s="8">
        <f>VLOOKUP($A77,地图配置辅助表!$A$3:$AP$245,地图配置辅助表!AN$1,FALSE)</f>
        <v>0</v>
      </c>
      <c r="BC77" s="8">
        <f>VLOOKUP($A77,地图配置辅助表!$A$3:$AP$245,地图配置辅助表!AO$1,FALSE)</f>
        <v>0</v>
      </c>
      <c r="BD77" s="8">
        <f>VLOOKUP($A77,地图配置辅助表!$A$3:$AP$245,地图配置辅助表!AP$1,FALSE)</f>
        <v>0</v>
      </c>
    </row>
    <row r="78" spans="1:56" s="8" customFormat="1" x14ac:dyDescent="0.15">
      <c r="A78">
        <f>地图配置辅助表!A79</f>
        <v>8005</v>
      </c>
      <c r="B78" s="8">
        <f>地图配置辅助表!B79</f>
        <v>1</v>
      </c>
      <c r="C78" s="8">
        <f>地图配置辅助表!C79</f>
        <v>8</v>
      </c>
      <c r="D78" s="9" t="str">
        <f>地图配置辅助表!D79</f>
        <v>意外强敌</v>
      </c>
      <c r="E78" s="8" t="s">
        <v>399</v>
      </c>
      <c r="F78" s="8" t="s">
        <v>0</v>
      </c>
      <c r="G78" s="8">
        <v>29</v>
      </c>
      <c r="H78" s="8">
        <v>200</v>
      </c>
      <c r="I78" s="8">
        <v>140</v>
      </c>
      <c r="J78" s="8">
        <v>200</v>
      </c>
      <c r="K78" s="8">
        <v>140</v>
      </c>
      <c r="L78" s="8" t="s">
        <v>167</v>
      </c>
      <c r="M78" s="8">
        <v>0</v>
      </c>
      <c r="R78" s="8" t="s">
        <v>167</v>
      </c>
      <c r="S78" s="11">
        <f>VLOOKUP($A78,地图配置辅助表!$A$3:$AP$245,地图配置辅助表!E$1,FALSE)</f>
        <v>10</v>
      </c>
      <c r="T78" s="8">
        <f>VLOOKUP($A78,地图配置辅助表!$A$3:$AP$245,地图配置辅助表!F$1,FALSE)</f>
        <v>123614</v>
      </c>
      <c r="U78" s="8">
        <f>VLOOKUP($A78,地图配置辅助表!$A$3:$AP$245,地图配置辅助表!G$1,FALSE)</f>
        <v>1</v>
      </c>
      <c r="V78" s="8">
        <f>VLOOKUP($A78,地图配置辅助表!$A$3:$AP$245,地图配置辅助表!H$1,FALSE)</f>
        <v>1</v>
      </c>
      <c r="W78" s="8">
        <f>VLOOKUP($A78,地图配置辅助表!$A$3:$AP$245,地图配置辅助表!I$1,FALSE)</f>
        <v>0</v>
      </c>
      <c r="X78" s="8">
        <f>VLOOKUP($A78,地图配置辅助表!$A$3:$AP$245,地图配置辅助表!J$1,FALSE)</f>
        <v>0</v>
      </c>
      <c r="Y78" s="8">
        <f>VLOOKUP($A78,地图配置辅助表!$A$3:$AP$245,地图配置辅助表!K$1,FALSE)</f>
        <v>0</v>
      </c>
      <c r="Z78" s="8">
        <f>VLOOKUP($A78,地图配置辅助表!$A$3:$AP$245,地图配置辅助表!L$1,FALSE)</f>
        <v>0</v>
      </c>
      <c r="AA78" s="8">
        <f>VLOOKUP($A78,地图配置辅助表!$A$3:$AP$245,地图配置辅助表!M$1,FALSE)</f>
        <v>2</v>
      </c>
      <c r="AB78">
        <f>VLOOKUP($A78,地图配置辅助表!$A$3:$AP$245,地图配置辅助表!N$1,FALSE)</f>
        <v>1</v>
      </c>
      <c r="AC78" s="8">
        <f>VLOOKUP($A78,地图配置辅助表!$A$3:$AP$245,地图配置辅助表!O$1,FALSE)</f>
        <v>3</v>
      </c>
      <c r="AD78">
        <f>VLOOKUP($A78,地图配置辅助表!$A$3:$AP$245,地图配置辅助表!P$1,FALSE)</f>
        <v>8004</v>
      </c>
      <c r="AE78" s="8">
        <f>VLOOKUP($A78,地图配置辅助表!$A$3:$AP$245,地图配置辅助表!Q$1,FALSE)</f>
        <v>1</v>
      </c>
      <c r="AF78" s="8">
        <f>VLOOKUP($A78,地图配置辅助表!$A$3:$AP$245,地图配置辅助表!R$1,FALSE)</f>
        <v>65</v>
      </c>
      <c r="AG78" s="11">
        <f>VLOOKUP($A78,地图配置辅助表!$A$3:$AP$245,地图配置辅助表!S$1,FALSE)</f>
        <v>508005</v>
      </c>
      <c r="AH78" s="11">
        <f>VLOOKUP($A78,地图配置辅助表!$A$3:$AP$245,地图配置辅助表!T$1,FALSE)</f>
        <v>185104</v>
      </c>
      <c r="AI78" s="8">
        <f>VLOOKUP($A78,地图配置辅助表!$A$3:$AP$245,地图配置辅助表!U$1,FALSE)</f>
        <v>3</v>
      </c>
      <c r="AJ78" s="8">
        <f>VLOOKUP($A78,地图配置辅助表!$A$3:$AP$245,地图配置辅助表!V$1,FALSE)</f>
        <v>185101</v>
      </c>
      <c r="AK78" s="8">
        <f>VLOOKUP($A78,地图配置辅助表!$A$3:$AP$245,地图配置辅助表!W$1,FALSE)</f>
        <v>185102</v>
      </c>
      <c r="AL78" s="8">
        <f>VLOOKUP($A78,地图配置辅助表!$A$3:$AP$245,地图配置辅助表!X$1,FALSE)</f>
        <v>185103</v>
      </c>
      <c r="AM78" s="8">
        <f>VLOOKUP($A78,地图配置辅助表!$A$3:$AP$245,地图配置辅助表!Y$1,FALSE)</f>
        <v>0</v>
      </c>
      <c r="AN78" s="8">
        <f>VLOOKUP($A78,地图配置辅助表!$A$3:$AP$245,地图配置辅助表!Z$1,FALSE)</f>
        <v>0</v>
      </c>
      <c r="AO78" s="8">
        <f>VLOOKUP($A78,地图配置辅助表!$A$3:$AP$245,地图配置辅助表!AA$1,FALSE)</f>
        <v>0</v>
      </c>
      <c r="AP78" s="8">
        <f>VLOOKUP($A78,地图配置辅助表!$A$3:$AP$245,地图配置辅助表!AB$1,FALSE)</f>
        <v>0</v>
      </c>
      <c r="AQ78" s="8">
        <f>VLOOKUP($A78,地图配置辅助表!$A$3:$AP$245,地图配置辅助表!AC$1,FALSE)</f>
        <v>0</v>
      </c>
      <c r="AR78" s="8">
        <f>VLOOKUP($A78,地图配置辅助表!$A$3:$AP$245,地图配置辅助表!AD$1,FALSE)</f>
        <v>0</v>
      </c>
      <c r="AS78" s="8">
        <f>VLOOKUP($A78,地图配置辅助表!$A$3:$AP$245,地图配置辅助表!AE$1,FALSE)</f>
        <v>0</v>
      </c>
      <c r="AT78" s="8">
        <f>VLOOKUP($A78,地图配置辅助表!$A$3:$AP$245,地图配置辅助表!AF$1,FALSE)</f>
        <v>4</v>
      </c>
      <c r="AU78" s="8">
        <f>VLOOKUP($A78,地图配置辅助表!$A$3:$AP$245,地图配置辅助表!AG$1,FALSE)</f>
        <v>270</v>
      </c>
      <c r="AV78" s="8">
        <f>VLOOKUP($A78,地图配置辅助表!$A$3:$AP$245,地图配置辅助表!AH$1,FALSE)</f>
        <v>271</v>
      </c>
      <c r="AW78" s="8">
        <f>VLOOKUP($A78,地图配置辅助表!$A$3:$AP$245,地图配置辅助表!AI$1,FALSE)</f>
        <v>272</v>
      </c>
      <c r="AX78" s="8">
        <f>VLOOKUP($A78,地图配置辅助表!$A$3:$AP$245,地图配置辅助表!AJ$1,FALSE)</f>
        <v>273</v>
      </c>
      <c r="AY78" s="8">
        <f>VLOOKUP($A78,地图配置辅助表!$A$3:$AP$245,地图配置辅助表!AK$1,FALSE)</f>
        <v>0</v>
      </c>
      <c r="AZ78" s="8">
        <f>VLOOKUP($A78,地图配置辅助表!$A$3:$AP$245,地图配置辅助表!AL$1,FALSE)</f>
        <v>0</v>
      </c>
      <c r="BA78" s="8">
        <f>VLOOKUP($A78,地图配置辅助表!$A$3:$AP$245,地图配置辅助表!AM$1,FALSE)</f>
        <v>0</v>
      </c>
      <c r="BB78" s="8">
        <f>VLOOKUP($A78,地图配置辅助表!$A$3:$AP$245,地图配置辅助表!AN$1,FALSE)</f>
        <v>0</v>
      </c>
      <c r="BC78" s="8">
        <f>VLOOKUP($A78,地图配置辅助表!$A$3:$AP$245,地图配置辅助表!AO$1,FALSE)</f>
        <v>0</v>
      </c>
      <c r="BD78" s="8">
        <f>VLOOKUP($A78,地图配置辅助表!$A$3:$AP$245,地图配置辅助表!AP$1,FALSE)</f>
        <v>0</v>
      </c>
    </row>
    <row r="79" spans="1:56" s="8" customFormat="1" x14ac:dyDescent="0.15">
      <c r="A79">
        <f>地图配置辅助表!A80</f>
        <v>8006</v>
      </c>
      <c r="B79" s="8">
        <f>地图配置辅助表!B80</f>
        <v>1</v>
      </c>
      <c r="C79" s="8">
        <f>地图配置辅助表!C80</f>
        <v>8</v>
      </c>
      <c r="D79" s="9" t="str">
        <f>地图配置辅助表!D80</f>
        <v>复仇之战</v>
      </c>
      <c r="E79" s="8" t="s">
        <v>400</v>
      </c>
      <c r="F79" s="8" t="s">
        <v>0</v>
      </c>
      <c r="G79" s="8">
        <v>29</v>
      </c>
      <c r="H79" s="8">
        <v>200</v>
      </c>
      <c r="I79" s="8">
        <v>140</v>
      </c>
      <c r="J79" s="8">
        <v>200</v>
      </c>
      <c r="K79" s="8">
        <v>140</v>
      </c>
      <c r="L79" s="8" t="s">
        <v>168</v>
      </c>
      <c r="M79" s="8">
        <v>0</v>
      </c>
      <c r="R79" s="8" t="s">
        <v>168</v>
      </c>
      <c r="S79" s="11">
        <f>VLOOKUP($A79,地图配置辅助表!$A$3:$AP$245,地图配置辅助表!E$1,FALSE)</f>
        <v>10</v>
      </c>
      <c r="T79" s="8">
        <f>VLOOKUP($A79,地图配置辅助表!$A$3:$AP$245,地图配置辅助表!F$1,FALSE)</f>
        <v>131407</v>
      </c>
      <c r="U79" s="8">
        <f>VLOOKUP($A79,地图配置辅助表!$A$3:$AP$245,地图配置辅助表!G$1,FALSE)</f>
        <v>1</v>
      </c>
      <c r="V79" s="8">
        <f>VLOOKUP($A79,地图配置辅助表!$A$3:$AP$245,地图配置辅助表!H$1,FALSE)</f>
        <v>1</v>
      </c>
      <c r="W79" s="8">
        <f>VLOOKUP($A79,地图配置辅助表!$A$3:$AP$245,地图配置辅助表!I$1,FALSE)</f>
        <v>0</v>
      </c>
      <c r="X79" s="8">
        <f>VLOOKUP($A79,地图配置辅助表!$A$3:$AP$245,地图配置辅助表!J$1,FALSE)</f>
        <v>0</v>
      </c>
      <c r="Y79" s="8">
        <f>VLOOKUP($A79,地图配置辅助表!$A$3:$AP$245,地图配置辅助表!K$1,FALSE)</f>
        <v>0</v>
      </c>
      <c r="Z79" s="8">
        <f>VLOOKUP($A79,地图配置辅助表!$A$3:$AP$245,地图配置辅助表!L$1,FALSE)</f>
        <v>0</v>
      </c>
      <c r="AA79" s="8">
        <f>VLOOKUP($A79,地图配置辅助表!$A$3:$AP$245,地图配置辅助表!M$1,FALSE)</f>
        <v>2</v>
      </c>
      <c r="AB79">
        <f>VLOOKUP($A79,地图配置辅助表!$A$3:$AP$245,地图配置辅助表!N$1,FALSE)</f>
        <v>1</v>
      </c>
      <c r="AC79" s="8">
        <f>VLOOKUP($A79,地图配置辅助表!$A$3:$AP$245,地图配置辅助表!O$1,FALSE)</f>
        <v>3</v>
      </c>
      <c r="AD79">
        <f>VLOOKUP($A79,地图配置辅助表!$A$3:$AP$245,地图配置辅助表!P$1,FALSE)</f>
        <v>8005</v>
      </c>
      <c r="AE79" s="8">
        <f>VLOOKUP($A79,地图配置辅助表!$A$3:$AP$245,地图配置辅助表!Q$1,FALSE)</f>
        <v>1</v>
      </c>
      <c r="AF79" s="8">
        <f>VLOOKUP($A79,地图配置辅助表!$A$3:$AP$245,地图配置辅助表!R$1,FALSE)</f>
        <v>65</v>
      </c>
      <c r="AG79" s="11">
        <f>VLOOKUP($A79,地图配置辅助表!$A$3:$AP$245,地图配置辅助表!S$1,FALSE)</f>
        <v>508006</v>
      </c>
      <c r="AH79" s="11">
        <f>VLOOKUP($A79,地图配置辅助表!$A$3:$AP$245,地图配置辅助表!T$1,FALSE)</f>
        <v>186104</v>
      </c>
      <c r="AI79" s="8">
        <f>VLOOKUP($A79,地图配置辅助表!$A$3:$AP$245,地图配置辅助表!U$1,FALSE)</f>
        <v>3</v>
      </c>
      <c r="AJ79" s="8">
        <f>VLOOKUP($A79,地图配置辅助表!$A$3:$AP$245,地图配置辅助表!V$1,FALSE)</f>
        <v>186101</v>
      </c>
      <c r="AK79" s="8">
        <f>VLOOKUP($A79,地图配置辅助表!$A$3:$AP$245,地图配置辅助表!W$1,FALSE)</f>
        <v>186102</v>
      </c>
      <c r="AL79" s="8">
        <f>VLOOKUP($A79,地图配置辅助表!$A$3:$AP$245,地图配置辅助表!X$1,FALSE)</f>
        <v>186103</v>
      </c>
      <c r="AM79" s="8">
        <f>VLOOKUP($A79,地图配置辅助表!$A$3:$AP$245,地图配置辅助表!Y$1,FALSE)</f>
        <v>0</v>
      </c>
      <c r="AN79" s="8">
        <f>VLOOKUP($A79,地图配置辅助表!$A$3:$AP$245,地图配置辅助表!Z$1,FALSE)</f>
        <v>0</v>
      </c>
      <c r="AO79" s="8">
        <f>VLOOKUP($A79,地图配置辅助表!$A$3:$AP$245,地图配置辅助表!AA$1,FALSE)</f>
        <v>0</v>
      </c>
      <c r="AP79" s="8">
        <f>VLOOKUP($A79,地图配置辅助表!$A$3:$AP$245,地图配置辅助表!AB$1,FALSE)</f>
        <v>0</v>
      </c>
      <c r="AQ79" s="8">
        <f>VLOOKUP($A79,地图配置辅助表!$A$3:$AP$245,地图配置辅助表!AC$1,FALSE)</f>
        <v>0</v>
      </c>
      <c r="AR79" s="8">
        <f>VLOOKUP($A79,地图配置辅助表!$A$3:$AP$245,地图配置辅助表!AD$1,FALSE)</f>
        <v>0</v>
      </c>
      <c r="AS79" s="8">
        <f>VLOOKUP($A79,地图配置辅助表!$A$3:$AP$245,地图配置辅助表!AE$1,FALSE)</f>
        <v>0</v>
      </c>
      <c r="AT79" s="8">
        <f>VLOOKUP($A79,地图配置辅助表!$A$3:$AP$245,地图配置辅助表!AF$1,FALSE)</f>
        <v>4</v>
      </c>
      <c r="AU79" s="8">
        <f>VLOOKUP($A79,地图配置辅助表!$A$3:$AP$245,地图配置辅助表!AG$1,FALSE)</f>
        <v>242</v>
      </c>
      <c r="AV79" s="8">
        <f>VLOOKUP($A79,地图配置辅助表!$A$3:$AP$245,地图配置辅助表!AH$1,FALSE)</f>
        <v>243</v>
      </c>
      <c r="AW79" s="8">
        <f>VLOOKUP($A79,地图配置辅助表!$A$3:$AP$245,地图配置辅助表!AI$1,FALSE)</f>
        <v>244</v>
      </c>
      <c r="AX79" s="8">
        <f>VLOOKUP($A79,地图配置辅助表!$A$3:$AP$245,地图配置辅助表!AJ$1,FALSE)</f>
        <v>245</v>
      </c>
      <c r="AY79" s="8">
        <f>VLOOKUP($A79,地图配置辅助表!$A$3:$AP$245,地图配置辅助表!AK$1,FALSE)</f>
        <v>0</v>
      </c>
      <c r="AZ79" s="8">
        <f>VLOOKUP($A79,地图配置辅助表!$A$3:$AP$245,地图配置辅助表!AL$1,FALSE)</f>
        <v>0</v>
      </c>
      <c r="BA79" s="8">
        <f>VLOOKUP($A79,地图配置辅助表!$A$3:$AP$245,地图配置辅助表!AM$1,FALSE)</f>
        <v>0</v>
      </c>
      <c r="BB79" s="8">
        <f>VLOOKUP($A79,地图配置辅助表!$A$3:$AP$245,地图配置辅助表!AN$1,FALSE)</f>
        <v>0</v>
      </c>
      <c r="BC79" s="8">
        <f>VLOOKUP($A79,地图配置辅助表!$A$3:$AP$245,地图配置辅助表!AO$1,FALSE)</f>
        <v>0</v>
      </c>
      <c r="BD79" s="8">
        <f>VLOOKUP($A79,地图配置辅助表!$A$3:$AP$245,地图配置辅助表!AP$1,FALSE)</f>
        <v>0</v>
      </c>
    </row>
    <row r="80" spans="1:56" s="8" customFormat="1" x14ac:dyDescent="0.15">
      <c r="A80">
        <f>地图配置辅助表!A81</f>
        <v>8007</v>
      </c>
      <c r="B80" s="8">
        <f>地图配置辅助表!B81</f>
        <v>1</v>
      </c>
      <c r="C80" s="8">
        <f>地图配置辅助表!C81</f>
        <v>8</v>
      </c>
      <c r="D80" s="9" t="str">
        <f>地图配置辅助表!D81</f>
        <v>劲敌出现</v>
      </c>
      <c r="E80" s="8" t="s">
        <v>398</v>
      </c>
      <c r="F80" s="8" t="s">
        <v>0</v>
      </c>
      <c r="G80" s="8">
        <v>29</v>
      </c>
      <c r="H80" s="8">
        <v>400</v>
      </c>
      <c r="I80" s="8">
        <v>140</v>
      </c>
      <c r="J80" s="8">
        <v>200</v>
      </c>
      <c r="K80" s="8">
        <v>140</v>
      </c>
      <c r="L80" s="8" t="s">
        <v>474</v>
      </c>
      <c r="M80" s="8">
        <v>0</v>
      </c>
      <c r="R80" s="8" t="s">
        <v>474</v>
      </c>
      <c r="S80" s="11">
        <f>VLOOKUP($A80,地图配置辅助表!$A$3:$AP$245,地图配置辅助表!E$1,FALSE)</f>
        <v>10</v>
      </c>
      <c r="T80" s="8">
        <f>VLOOKUP($A80,地图配置辅助表!$A$3:$AP$245,地图配置辅助表!F$1,FALSE)</f>
        <v>139365</v>
      </c>
      <c r="U80" s="8">
        <f>VLOOKUP($A80,地图配置辅助表!$A$3:$AP$245,地图配置辅助表!G$1,FALSE)</f>
        <v>1</v>
      </c>
      <c r="V80" s="8">
        <f>VLOOKUP($A80,地图配置辅助表!$A$3:$AP$245,地图配置辅助表!H$1,FALSE)</f>
        <v>1</v>
      </c>
      <c r="W80" s="8">
        <f>VLOOKUP($A80,地图配置辅助表!$A$3:$AP$245,地图配置辅助表!I$1,FALSE)</f>
        <v>0</v>
      </c>
      <c r="X80" s="8">
        <f>VLOOKUP($A80,地图配置辅助表!$A$3:$AP$245,地图配置辅助表!J$1,FALSE)</f>
        <v>0</v>
      </c>
      <c r="Y80" s="8">
        <f>VLOOKUP($A80,地图配置辅助表!$A$3:$AP$245,地图配置辅助表!K$1,FALSE)</f>
        <v>0</v>
      </c>
      <c r="Z80" s="8">
        <f>VLOOKUP($A80,地图配置辅助表!$A$3:$AP$245,地图配置辅助表!L$1,FALSE)</f>
        <v>0</v>
      </c>
      <c r="AA80" s="8">
        <f>VLOOKUP($A80,地图配置辅助表!$A$3:$AP$245,地图配置辅助表!M$1,FALSE)</f>
        <v>2</v>
      </c>
      <c r="AB80">
        <f>VLOOKUP($A80,地图配置辅助表!$A$3:$AP$245,地图配置辅助表!N$1,FALSE)</f>
        <v>1</v>
      </c>
      <c r="AC80" s="8">
        <f>VLOOKUP($A80,地图配置辅助表!$A$3:$AP$245,地图配置辅助表!O$1,FALSE)</f>
        <v>3</v>
      </c>
      <c r="AD80">
        <f>VLOOKUP($A80,地图配置辅助表!$A$3:$AP$245,地图配置辅助表!P$1,FALSE)</f>
        <v>8006</v>
      </c>
      <c r="AE80" s="8">
        <f>VLOOKUP($A80,地图配置辅助表!$A$3:$AP$245,地图配置辅助表!Q$1,FALSE)</f>
        <v>1</v>
      </c>
      <c r="AF80" s="8">
        <f>VLOOKUP($A80,地图配置辅助表!$A$3:$AP$245,地图配置辅助表!R$1,FALSE)</f>
        <v>65</v>
      </c>
      <c r="AG80" s="11">
        <f>VLOOKUP($A80,地图配置辅助表!$A$3:$AP$245,地图配置辅助表!S$1,FALSE)</f>
        <v>508007</v>
      </c>
      <c r="AH80" s="11">
        <f>VLOOKUP($A80,地图配置辅助表!$A$3:$AP$245,地图配置辅助表!T$1,FALSE)</f>
        <v>187104</v>
      </c>
      <c r="AI80" s="8">
        <f>VLOOKUP($A80,地图配置辅助表!$A$3:$AP$245,地图配置辅助表!U$1,FALSE)</f>
        <v>3</v>
      </c>
      <c r="AJ80" s="8">
        <f>VLOOKUP($A80,地图配置辅助表!$A$3:$AP$245,地图配置辅助表!V$1,FALSE)</f>
        <v>187101</v>
      </c>
      <c r="AK80" s="8">
        <f>VLOOKUP($A80,地图配置辅助表!$A$3:$AP$245,地图配置辅助表!W$1,FALSE)</f>
        <v>187102</v>
      </c>
      <c r="AL80" s="8">
        <f>VLOOKUP($A80,地图配置辅助表!$A$3:$AP$245,地图配置辅助表!X$1,FALSE)</f>
        <v>187103</v>
      </c>
      <c r="AM80" s="8">
        <f>VLOOKUP($A80,地图配置辅助表!$A$3:$AP$245,地图配置辅助表!Y$1,FALSE)</f>
        <v>0</v>
      </c>
      <c r="AN80" s="8">
        <f>VLOOKUP($A80,地图配置辅助表!$A$3:$AP$245,地图配置辅助表!Z$1,FALSE)</f>
        <v>0</v>
      </c>
      <c r="AO80" s="8">
        <f>VLOOKUP($A80,地图配置辅助表!$A$3:$AP$245,地图配置辅助表!AA$1,FALSE)</f>
        <v>0</v>
      </c>
      <c r="AP80" s="8">
        <f>VLOOKUP($A80,地图配置辅助表!$A$3:$AP$245,地图配置辅助表!AB$1,FALSE)</f>
        <v>0</v>
      </c>
      <c r="AQ80" s="8">
        <f>VLOOKUP($A80,地图配置辅助表!$A$3:$AP$245,地图配置辅助表!AC$1,FALSE)</f>
        <v>0</v>
      </c>
      <c r="AR80" s="8">
        <f>VLOOKUP($A80,地图配置辅助表!$A$3:$AP$245,地图配置辅助表!AD$1,FALSE)</f>
        <v>0</v>
      </c>
      <c r="AS80" s="8">
        <f>VLOOKUP($A80,地图配置辅助表!$A$3:$AP$245,地图配置辅助表!AE$1,FALSE)</f>
        <v>0</v>
      </c>
      <c r="AT80" s="8">
        <f>VLOOKUP($A80,地图配置辅助表!$A$3:$AP$245,地图配置辅助表!AF$1,FALSE)</f>
        <v>4</v>
      </c>
      <c r="AU80" s="8">
        <f>VLOOKUP($A80,地图配置辅助表!$A$3:$AP$245,地图配置辅助表!AG$1,FALSE)</f>
        <v>916</v>
      </c>
      <c r="AV80" s="8">
        <f>VLOOKUP($A80,地图配置辅助表!$A$3:$AP$245,地图配置辅助表!AH$1,FALSE)</f>
        <v>917</v>
      </c>
      <c r="AW80" s="8">
        <f>VLOOKUP($A80,地图配置辅助表!$A$3:$AP$245,地图配置辅助表!AI$1,FALSE)</f>
        <v>918</v>
      </c>
      <c r="AX80" s="8">
        <f>VLOOKUP($A80,地图配置辅助表!$A$3:$AP$245,地图配置辅助表!AJ$1,FALSE)</f>
        <v>919</v>
      </c>
      <c r="AY80" s="8">
        <f>VLOOKUP($A80,地图配置辅助表!$A$3:$AP$245,地图配置辅助表!AK$1,FALSE)</f>
        <v>0</v>
      </c>
      <c r="AZ80" s="8">
        <f>VLOOKUP($A80,地图配置辅助表!$A$3:$AP$245,地图配置辅助表!AL$1,FALSE)</f>
        <v>0</v>
      </c>
      <c r="BA80" s="8">
        <f>VLOOKUP($A80,地图配置辅助表!$A$3:$AP$245,地图配置辅助表!AM$1,FALSE)</f>
        <v>0</v>
      </c>
      <c r="BB80" s="8">
        <f>VLOOKUP($A80,地图配置辅助表!$A$3:$AP$245,地图配置辅助表!AN$1,FALSE)</f>
        <v>0</v>
      </c>
      <c r="BC80" s="8">
        <f>VLOOKUP($A80,地图配置辅助表!$A$3:$AP$245,地图配置辅助表!AO$1,FALSE)</f>
        <v>0</v>
      </c>
      <c r="BD80" s="8">
        <f>VLOOKUP($A80,地图配置辅助表!$A$3:$AP$245,地图配置辅助表!AP$1,FALSE)</f>
        <v>0</v>
      </c>
    </row>
    <row r="81" spans="1:56" s="8" customFormat="1" x14ac:dyDescent="0.15">
      <c r="A81">
        <f>地图配置辅助表!A82</f>
        <v>8008</v>
      </c>
      <c r="B81" s="8">
        <f>地图配置辅助表!B82</f>
        <v>1</v>
      </c>
      <c r="C81" s="8">
        <f>地图配置辅助表!C82</f>
        <v>8</v>
      </c>
      <c r="D81" s="9" t="str">
        <f>地图配置辅助表!D82</f>
        <v>约战山鸡</v>
      </c>
      <c r="E81" s="8" t="s">
        <v>399</v>
      </c>
      <c r="F81" s="8" t="s">
        <v>0</v>
      </c>
      <c r="G81" s="8">
        <v>29</v>
      </c>
      <c r="H81" s="8">
        <v>200</v>
      </c>
      <c r="I81" s="8">
        <v>140</v>
      </c>
      <c r="J81" s="8">
        <v>200</v>
      </c>
      <c r="K81" s="8">
        <v>140</v>
      </c>
      <c r="L81" s="8" t="s">
        <v>475</v>
      </c>
      <c r="M81" s="8">
        <v>0</v>
      </c>
      <c r="R81" s="8" t="s">
        <v>475</v>
      </c>
      <c r="S81" s="11">
        <f>VLOOKUP($A81,地图配置辅助表!$A$3:$AP$245,地图配置辅助表!E$1,FALSE)</f>
        <v>10</v>
      </c>
      <c r="T81" s="8">
        <f>VLOOKUP($A81,地图配置辅助表!$A$3:$AP$245,地图配置辅助表!F$1,FALSE)</f>
        <v>147775</v>
      </c>
      <c r="U81" s="8">
        <f>VLOOKUP($A81,地图配置辅助表!$A$3:$AP$245,地图配置辅助表!G$1,FALSE)</f>
        <v>1</v>
      </c>
      <c r="V81" s="8">
        <f>VLOOKUP($A81,地图配置辅助表!$A$3:$AP$245,地图配置辅助表!H$1,FALSE)</f>
        <v>1</v>
      </c>
      <c r="W81" s="8">
        <f>VLOOKUP($A81,地图配置辅助表!$A$3:$AP$245,地图配置辅助表!I$1,FALSE)</f>
        <v>0</v>
      </c>
      <c r="X81" s="8">
        <f>VLOOKUP($A81,地图配置辅助表!$A$3:$AP$245,地图配置辅助表!J$1,FALSE)</f>
        <v>0</v>
      </c>
      <c r="Y81" s="8">
        <f>VLOOKUP($A81,地图配置辅助表!$A$3:$AP$245,地图配置辅助表!K$1,FALSE)</f>
        <v>0</v>
      </c>
      <c r="Z81" s="8">
        <f>VLOOKUP($A81,地图配置辅助表!$A$3:$AP$245,地图配置辅助表!L$1,FALSE)</f>
        <v>0</v>
      </c>
      <c r="AA81" s="8">
        <f>VLOOKUP($A81,地图配置辅助表!$A$3:$AP$245,地图配置辅助表!M$1,FALSE)</f>
        <v>2</v>
      </c>
      <c r="AB81">
        <f>VLOOKUP($A81,地图配置辅助表!$A$3:$AP$245,地图配置辅助表!N$1,FALSE)</f>
        <v>1</v>
      </c>
      <c r="AC81" s="8">
        <f>VLOOKUP($A81,地图配置辅助表!$A$3:$AP$245,地图配置辅助表!O$1,FALSE)</f>
        <v>3</v>
      </c>
      <c r="AD81">
        <f>VLOOKUP($A81,地图配置辅助表!$A$3:$AP$245,地图配置辅助表!P$1,FALSE)</f>
        <v>8007</v>
      </c>
      <c r="AE81" s="8">
        <f>VLOOKUP($A81,地图配置辅助表!$A$3:$AP$245,地图配置辅助表!Q$1,FALSE)</f>
        <v>1</v>
      </c>
      <c r="AF81" s="8">
        <f>VLOOKUP($A81,地图配置辅助表!$A$3:$AP$245,地图配置辅助表!R$1,FALSE)</f>
        <v>65</v>
      </c>
      <c r="AG81" s="11">
        <f>VLOOKUP($A81,地图配置辅助表!$A$3:$AP$245,地图配置辅助表!S$1,FALSE)</f>
        <v>508008</v>
      </c>
      <c r="AH81" s="11">
        <f>VLOOKUP($A81,地图配置辅助表!$A$3:$AP$245,地图配置辅助表!T$1,FALSE)</f>
        <v>188104</v>
      </c>
      <c r="AI81" s="8">
        <f>VLOOKUP($A81,地图配置辅助表!$A$3:$AP$245,地图配置辅助表!U$1,FALSE)</f>
        <v>3</v>
      </c>
      <c r="AJ81" s="8">
        <f>VLOOKUP($A81,地图配置辅助表!$A$3:$AP$245,地图配置辅助表!V$1,FALSE)</f>
        <v>188101</v>
      </c>
      <c r="AK81" s="8">
        <f>VLOOKUP($A81,地图配置辅助表!$A$3:$AP$245,地图配置辅助表!W$1,FALSE)</f>
        <v>188102</v>
      </c>
      <c r="AL81" s="8">
        <f>VLOOKUP($A81,地图配置辅助表!$A$3:$AP$245,地图配置辅助表!X$1,FALSE)</f>
        <v>188103</v>
      </c>
      <c r="AM81" s="8">
        <f>VLOOKUP($A81,地图配置辅助表!$A$3:$AP$245,地图配置辅助表!Y$1,FALSE)</f>
        <v>0</v>
      </c>
      <c r="AN81" s="8">
        <f>VLOOKUP($A81,地图配置辅助表!$A$3:$AP$245,地图配置辅助表!Z$1,FALSE)</f>
        <v>0</v>
      </c>
      <c r="AO81" s="8">
        <f>VLOOKUP($A81,地图配置辅助表!$A$3:$AP$245,地图配置辅助表!AA$1,FALSE)</f>
        <v>0</v>
      </c>
      <c r="AP81" s="8">
        <f>VLOOKUP($A81,地图配置辅助表!$A$3:$AP$245,地图配置辅助表!AB$1,FALSE)</f>
        <v>0</v>
      </c>
      <c r="AQ81" s="8">
        <f>VLOOKUP($A81,地图配置辅助表!$A$3:$AP$245,地图配置辅助表!AC$1,FALSE)</f>
        <v>0</v>
      </c>
      <c r="AR81" s="8">
        <f>VLOOKUP($A81,地图配置辅助表!$A$3:$AP$245,地图配置辅助表!AD$1,FALSE)</f>
        <v>0</v>
      </c>
      <c r="AS81" s="8">
        <f>VLOOKUP($A81,地图配置辅助表!$A$3:$AP$245,地图配置辅助表!AE$1,FALSE)</f>
        <v>0</v>
      </c>
      <c r="AT81" s="8">
        <f>VLOOKUP($A81,地图配置辅助表!$A$3:$AP$245,地图配置辅助表!AF$1,FALSE)</f>
        <v>4</v>
      </c>
      <c r="AU81" s="8">
        <f>VLOOKUP($A81,地图配置辅助表!$A$3:$AP$245,地图配置辅助表!AG$1,FALSE)</f>
        <v>509</v>
      </c>
      <c r="AV81" s="8">
        <f>VLOOKUP($A81,地图配置辅助表!$A$3:$AP$245,地图配置辅助表!AH$1,FALSE)</f>
        <v>510</v>
      </c>
      <c r="AW81" s="8">
        <f>VLOOKUP($A81,地图配置辅助表!$A$3:$AP$245,地图配置辅助表!AI$1,FALSE)</f>
        <v>511</v>
      </c>
      <c r="AX81" s="8">
        <f>VLOOKUP($A81,地图配置辅助表!$A$3:$AP$245,地图配置辅助表!AJ$1,FALSE)</f>
        <v>512</v>
      </c>
      <c r="AY81" s="8">
        <f>VLOOKUP($A81,地图配置辅助表!$A$3:$AP$245,地图配置辅助表!AK$1,FALSE)</f>
        <v>0</v>
      </c>
      <c r="AZ81" s="8">
        <f>VLOOKUP($A81,地图配置辅助表!$A$3:$AP$245,地图配置辅助表!AL$1,FALSE)</f>
        <v>0</v>
      </c>
      <c r="BA81" s="8">
        <f>VLOOKUP($A81,地图配置辅助表!$A$3:$AP$245,地图配置辅助表!AM$1,FALSE)</f>
        <v>0</v>
      </c>
      <c r="BB81" s="8">
        <f>VLOOKUP($A81,地图配置辅助表!$A$3:$AP$245,地图配置辅助表!AN$1,FALSE)</f>
        <v>0</v>
      </c>
      <c r="BC81" s="8">
        <f>VLOOKUP($A81,地图配置辅助表!$A$3:$AP$245,地图配置辅助表!AO$1,FALSE)</f>
        <v>0</v>
      </c>
      <c r="BD81" s="8">
        <f>VLOOKUP($A81,地图配置辅助表!$A$3:$AP$245,地图配置辅助表!AP$1,FALSE)</f>
        <v>0</v>
      </c>
    </row>
    <row r="82" spans="1:56" s="8" customFormat="1" x14ac:dyDescent="0.15">
      <c r="A82">
        <f>地图配置辅助表!A83</f>
        <v>8009</v>
      </c>
      <c r="B82" s="8">
        <f>地图配置辅助表!B83</f>
        <v>1</v>
      </c>
      <c r="C82" s="8">
        <f>地图配置辅助表!C83</f>
        <v>8</v>
      </c>
      <c r="D82" s="9" t="str">
        <f>地图配置辅助表!D83</f>
        <v>揭穿雷复轰</v>
      </c>
      <c r="E82" s="8" t="s">
        <v>400</v>
      </c>
      <c r="F82" s="8" t="s">
        <v>0</v>
      </c>
      <c r="G82" s="8">
        <v>29</v>
      </c>
      <c r="H82" s="8">
        <v>200</v>
      </c>
      <c r="I82" s="8">
        <v>140</v>
      </c>
      <c r="J82" s="8">
        <v>200</v>
      </c>
      <c r="K82" s="8">
        <v>140</v>
      </c>
      <c r="L82" s="8" t="s">
        <v>476</v>
      </c>
      <c r="M82" s="8">
        <v>0</v>
      </c>
      <c r="R82" s="8" t="s">
        <v>476</v>
      </c>
      <c r="S82" s="11">
        <f>VLOOKUP($A82,地图配置辅助表!$A$3:$AP$245,地图配置辅助表!E$1,FALSE)</f>
        <v>10</v>
      </c>
      <c r="T82" s="8">
        <f>VLOOKUP($A82,地图配置辅助表!$A$3:$AP$245,地图配置辅助表!F$1,FALSE)</f>
        <v>183162</v>
      </c>
      <c r="U82" s="8">
        <f>VLOOKUP($A82,地图配置辅助表!$A$3:$AP$245,地图配置辅助表!G$1,FALSE)</f>
        <v>1</v>
      </c>
      <c r="V82" s="8">
        <f>VLOOKUP($A82,地图配置辅助表!$A$3:$AP$245,地图配置辅助表!H$1,FALSE)</f>
        <v>1</v>
      </c>
      <c r="W82" s="8">
        <f>VLOOKUP($A82,地图配置辅助表!$A$3:$AP$245,地图配置辅助表!I$1,FALSE)</f>
        <v>0</v>
      </c>
      <c r="X82" s="8">
        <f>VLOOKUP($A82,地图配置辅助表!$A$3:$AP$245,地图配置辅助表!J$1,FALSE)</f>
        <v>0</v>
      </c>
      <c r="Y82" s="8">
        <f>VLOOKUP($A82,地图配置辅助表!$A$3:$AP$245,地图配置辅助表!K$1,FALSE)</f>
        <v>0</v>
      </c>
      <c r="Z82" s="8">
        <f>VLOOKUP($A82,地图配置辅助表!$A$3:$AP$245,地图配置辅助表!L$1,FALSE)</f>
        <v>0</v>
      </c>
      <c r="AA82" s="8">
        <f>VLOOKUP($A82,地图配置辅助表!$A$3:$AP$245,地图配置辅助表!M$1,FALSE)</f>
        <v>2</v>
      </c>
      <c r="AB82">
        <f>VLOOKUP($A82,地图配置辅助表!$A$3:$AP$245,地图配置辅助表!N$1,FALSE)</f>
        <v>1</v>
      </c>
      <c r="AC82" s="8">
        <f>VLOOKUP($A82,地图配置辅助表!$A$3:$AP$245,地图配置辅助表!O$1,FALSE)</f>
        <v>3</v>
      </c>
      <c r="AD82">
        <f>VLOOKUP($A82,地图配置辅助表!$A$3:$AP$245,地图配置辅助表!P$1,FALSE)</f>
        <v>8008</v>
      </c>
      <c r="AE82" s="8">
        <f>VLOOKUP($A82,地图配置辅助表!$A$3:$AP$245,地图配置辅助表!Q$1,FALSE)</f>
        <v>1</v>
      </c>
      <c r="AF82" s="8">
        <f>VLOOKUP($A82,地图配置辅助表!$A$3:$AP$245,地图配置辅助表!R$1,FALSE)</f>
        <v>65</v>
      </c>
      <c r="AG82" s="11">
        <f>VLOOKUP($A82,地图配置辅助表!$A$3:$AP$245,地图配置辅助表!S$1,FALSE)</f>
        <v>508009</v>
      </c>
      <c r="AH82" s="11">
        <f>VLOOKUP($A82,地图配置辅助表!$A$3:$AP$245,地图配置辅助表!T$1,FALSE)</f>
        <v>189104</v>
      </c>
      <c r="AI82" s="8">
        <f>VLOOKUP($A82,地图配置辅助表!$A$3:$AP$245,地图配置辅助表!U$1,FALSE)</f>
        <v>3</v>
      </c>
      <c r="AJ82" s="8">
        <f>VLOOKUP($A82,地图配置辅助表!$A$3:$AP$245,地图配置辅助表!V$1,FALSE)</f>
        <v>189101</v>
      </c>
      <c r="AK82" s="8">
        <f>VLOOKUP($A82,地图配置辅助表!$A$3:$AP$245,地图配置辅助表!W$1,FALSE)</f>
        <v>189102</v>
      </c>
      <c r="AL82" s="8">
        <f>VLOOKUP($A82,地图配置辅助表!$A$3:$AP$245,地图配置辅助表!X$1,FALSE)</f>
        <v>189103</v>
      </c>
      <c r="AM82" s="8">
        <f>VLOOKUP($A82,地图配置辅助表!$A$3:$AP$245,地图配置辅助表!Y$1,FALSE)</f>
        <v>0</v>
      </c>
      <c r="AN82" s="8">
        <f>VLOOKUP($A82,地图配置辅助表!$A$3:$AP$245,地图配置辅助表!Z$1,FALSE)</f>
        <v>0</v>
      </c>
      <c r="AO82" s="8">
        <f>VLOOKUP($A82,地图配置辅助表!$A$3:$AP$245,地图配置辅助表!AA$1,FALSE)</f>
        <v>0</v>
      </c>
      <c r="AP82" s="8">
        <f>VLOOKUP($A82,地图配置辅助表!$A$3:$AP$245,地图配置辅助表!AB$1,FALSE)</f>
        <v>0</v>
      </c>
      <c r="AQ82" s="8">
        <f>VLOOKUP($A82,地图配置辅助表!$A$3:$AP$245,地图配置辅助表!AC$1,FALSE)</f>
        <v>0</v>
      </c>
      <c r="AR82" s="8">
        <f>VLOOKUP($A82,地图配置辅助表!$A$3:$AP$245,地图配置辅助表!AD$1,FALSE)</f>
        <v>0</v>
      </c>
      <c r="AS82" s="8">
        <f>VLOOKUP($A82,地图配置辅助表!$A$3:$AP$245,地图配置辅助表!AE$1,FALSE)</f>
        <v>0</v>
      </c>
      <c r="AT82" s="8">
        <f>VLOOKUP($A82,地图配置辅助表!$A$3:$AP$245,地图配置辅助表!AF$1,FALSE)</f>
        <v>4</v>
      </c>
      <c r="AU82" s="8">
        <f>VLOOKUP($A82,地图配置辅助表!$A$3:$AP$245,地图配置辅助表!AG$1,FALSE)</f>
        <v>362</v>
      </c>
      <c r="AV82" s="8">
        <f>VLOOKUP($A82,地图配置辅助表!$A$3:$AP$245,地图配置辅助表!AH$1,FALSE)</f>
        <v>363</v>
      </c>
      <c r="AW82" s="8">
        <f>VLOOKUP($A82,地图配置辅助表!$A$3:$AP$245,地图配置辅助表!AI$1,FALSE)</f>
        <v>364</v>
      </c>
      <c r="AX82" s="8">
        <f>VLOOKUP($A82,地图配置辅助表!$A$3:$AP$245,地图配置辅助表!AJ$1,FALSE)</f>
        <v>365</v>
      </c>
      <c r="AY82" s="8">
        <f>VLOOKUP($A82,地图配置辅助表!$A$3:$AP$245,地图配置辅助表!AK$1,FALSE)</f>
        <v>0</v>
      </c>
      <c r="AZ82" s="8">
        <f>VLOOKUP($A82,地图配置辅助表!$A$3:$AP$245,地图配置辅助表!AL$1,FALSE)</f>
        <v>0</v>
      </c>
      <c r="BA82" s="8">
        <f>VLOOKUP($A82,地图配置辅助表!$A$3:$AP$245,地图配置辅助表!AM$1,FALSE)</f>
        <v>0</v>
      </c>
      <c r="BB82" s="8">
        <f>VLOOKUP($A82,地图配置辅助表!$A$3:$AP$245,地图配置辅助表!AN$1,FALSE)</f>
        <v>0</v>
      </c>
      <c r="BC82" s="8">
        <f>VLOOKUP($A82,地图配置辅助表!$A$3:$AP$245,地图配置辅助表!AO$1,FALSE)</f>
        <v>0</v>
      </c>
      <c r="BD82" s="8">
        <f>VLOOKUP($A82,地图配置辅助表!$A$3:$AP$245,地图配置辅助表!AP$1,FALSE)</f>
        <v>0</v>
      </c>
    </row>
    <row r="83" spans="1:56" s="9" customFormat="1" x14ac:dyDescent="0.15">
      <c r="A83">
        <f>地图配置辅助表!A84</f>
        <v>1201</v>
      </c>
      <c r="B83" s="8">
        <f>地图配置辅助表!B84</f>
        <v>2</v>
      </c>
      <c r="C83" s="9">
        <f>地图配置辅助表!C84</f>
        <v>1</v>
      </c>
      <c r="D83" s="9" t="str">
        <f>地图配置辅助表!D84</f>
        <v>精英巴闭</v>
      </c>
      <c r="E83" s="9" t="str">
        <f>"挑战"&amp;D83</f>
        <v>挑战精英巴闭</v>
      </c>
      <c r="F83" s="9" t="s">
        <v>0</v>
      </c>
      <c r="G83" s="9">
        <v>29</v>
      </c>
      <c r="H83" s="9">
        <v>400</v>
      </c>
      <c r="I83" s="9">
        <v>140</v>
      </c>
      <c r="J83" s="9">
        <v>400</v>
      </c>
      <c r="K83" s="9">
        <v>140</v>
      </c>
      <c r="L83" s="9" t="s">
        <v>169</v>
      </c>
      <c r="M83" s="9">
        <v>0</v>
      </c>
      <c r="R83" s="9" t="s">
        <v>121</v>
      </c>
      <c r="S83" s="11">
        <f>VLOOKUP($A83,地图配置辅助表!$A$3:$AP$245,地图配置辅助表!E$1,FALSE)</f>
        <v>10</v>
      </c>
      <c r="T83" s="9">
        <f>VLOOKUP($A83,地图配置辅助表!$A$3:$AP$245,地图配置辅助表!F$1,FALSE)</f>
        <v>821</v>
      </c>
      <c r="U83" s="9">
        <f>VLOOKUP($A83,地图配置辅助表!$A$3:$AP$245,地图配置辅助表!G$1,FALSE)</f>
        <v>1</v>
      </c>
      <c r="V83" s="9">
        <f>VLOOKUP($A83,地图配置辅助表!$A$3:$AP$245,地图配置辅助表!H$1,FALSE)</f>
        <v>1</v>
      </c>
      <c r="W83" s="9">
        <f>VLOOKUP($A83,地图配置辅助表!$A$3:$AP$245,地图配置辅助表!I$1,FALSE)</f>
        <v>6</v>
      </c>
      <c r="X83" s="9">
        <f>VLOOKUP($A83,地图配置辅助表!$A$3:$AP$245,地图配置辅助表!J$1,FALSE)</f>
        <v>0</v>
      </c>
      <c r="Y83" s="9">
        <f>VLOOKUP($A83,地图配置辅助表!$A$3:$AP$245,地图配置辅助表!K$1,FALSE)</f>
        <v>0</v>
      </c>
      <c r="Z83" s="9">
        <f>VLOOKUP($A83,地图配置辅助表!$A$3:$AP$245,地图配置辅助表!L$1,FALSE)</f>
        <v>0</v>
      </c>
      <c r="AA83" s="9">
        <f>VLOOKUP($A83,地图配置辅助表!$A$3:$AP$245,地图配置辅助表!M$1,FALSE)</f>
        <v>2</v>
      </c>
      <c r="AB83">
        <f>VLOOKUP($A83,地图配置辅助表!$A$3:$AP$245,地图配置辅助表!N$1,FALSE)</f>
        <v>1</v>
      </c>
      <c r="AC83" s="9">
        <f>VLOOKUP($A83,地图配置辅助表!$A$3:$AP$245,地图配置辅助表!O$1,FALSE)</f>
        <v>4</v>
      </c>
      <c r="AD83">
        <f>VLOOKUP($A83,地图配置辅助表!$A$3:$AP$245,地图配置辅助表!P$1,FALSE)</f>
        <v>1019</v>
      </c>
      <c r="AE83" s="8">
        <f>VLOOKUP($A83,地图配置辅助表!$A$3:$AP$245,地图配置辅助表!Q$1,FALSE)</f>
        <v>3</v>
      </c>
      <c r="AF83" s="8">
        <f>VLOOKUP($A83,地图配置辅助表!$A$3:$AP$245,地图配置辅助表!R$1,FALSE)</f>
        <v>1001</v>
      </c>
      <c r="AG83" s="11">
        <f>VLOOKUP($A83,地图配置辅助表!$A$3:$AP$245,地图配置辅助表!S$1,FALSE)</f>
        <v>501201</v>
      </c>
      <c r="AH83" s="11">
        <f>VLOOKUP($A83,地图配置辅助表!$A$3:$AP$245,地图配置辅助表!T$1,FALSE)</f>
        <v>211004</v>
      </c>
      <c r="AI83" s="9">
        <f>VLOOKUP($A83,地图配置辅助表!$A$3:$AP$245,地图配置辅助表!U$1,FALSE)</f>
        <v>2</v>
      </c>
      <c r="AJ83" s="9">
        <f>VLOOKUP($A83,地图配置辅助表!$A$3:$AP$245,地图配置辅助表!V$1,FALSE)</f>
        <v>211001</v>
      </c>
      <c r="AK83" s="9">
        <f>VLOOKUP($A83,地图配置辅助表!$A$3:$AP$245,地图配置辅助表!W$1,FALSE)</f>
        <v>211002</v>
      </c>
      <c r="AL83" s="9">
        <f>VLOOKUP($A83,地图配置辅助表!$A$3:$AP$245,地图配置辅助表!X$1,FALSE)</f>
        <v>0</v>
      </c>
      <c r="AM83" s="9">
        <f>VLOOKUP($A83,地图配置辅助表!$A$3:$AP$245,地图配置辅助表!Y$1,FALSE)</f>
        <v>0</v>
      </c>
      <c r="AN83" s="9">
        <f>VLOOKUP($A83,地图配置辅助表!$A$3:$AP$245,地图配置辅助表!Z$1,FALSE)</f>
        <v>0</v>
      </c>
      <c r="AO83" s="9">
        <f>VLOOKUP($A83,地图配置辅助表!$A$3:$AP$245,地图配置辅助表!AA$1,FALSE)</f>
        <v>0</v>
      </c>
      <c r="AP83" s="9">
        <f>VLOOKUP($A83,地图配置辅助表!$A$3:$AP$245,地图配置辅助表!AB$1,FALSE)</f>
        <v>0</v>
      </c>
      <c r="AQ83" s="9">
        <f>VLOOKUP($A83,地图配置辅助表!$A$3:$AP$245,地图配置辅助表!AC$1,FALSE)</f>
        <v>0</v>
      </c>
      <c r="AR83" s="9">
        <f>VLOOKUP($A83,地图配置辅助表!$A$3:$AP$245,地图配置辅助表!AD$1,FALSE)</f>
        <v>0</v>
      </c>
      <c r="AS83" s="9">
        <f>VLOOKUP($A83,地图配置辅助表!$A$3:$AP$245,地图配置辅助表!AE$1,FALSE)</f>
        <v>0</v>
      </c>
      <c r="AT83" s="9">
        <f>VLOOKUP($A83,地图配置辅助表!$A$3:$AP$245,地图配置辅助表!AF$1,FALSE)</f>
        <v>3</v>
      </c>
      <c r="AU83" s="9">
        <f>VLOOKUP($A83,地图配置辅助表!$A$3:$AP$245,地图配置辅助表!AG$1,FALSE)</f>
        <v>634</v>
      </c>
      <c r="AV83" s="9">
        <f>VLOOKUP($A83,地图配置辅助表!$A$3:$AP$245,地图配置辅助表!AH$1,FALSE)</f>
        <v>640</v>
      </c>
      <c r="AW83" s="9">
        <f>VLOOKUP($A83,地图配置辅助表!$A$3:$AP$245,地图配置辅助表!AI$1,FALSE)</f>
        <v>645</v>
      </c>
      <c r="AX83" s="9">
        <f>VLOOKUP($A83,地图配置辅助表!$A$3:$AP$245,地图配置辅助表!AJ$1,FALSE)</f>
        <v>0</v>
      </c>
      <c r="AY83" s="9">
        <f>VLOOKUP($A83,地图配置辅助表!$A$3:$AP$245,地图配置辅助表!AK$1,FALSE)</f>
        <v>0</v>
      </c>
      <c r="AZ83" s="9">
        <f>VLOOKUP($A83,地图配置辅助表!$A$3:$AP$245,地图配置辅助表!AL$1,FALSE)</f>
        <v>0</v>
      </c>
      <c r="BA83" s="9">
        <f>VLOOKUP($A83,地图配置辅助表!$A$3:$AP$245,地图配置辅助表!AM$1,FALSE)</f>
        <v>0</v>
      </c>
      <c r="BB83" s="9">
        <f>VLOOKUP($A83,地图配置辅助表!$A$3:$AP$245,地图配置辅助表!AN$1,FALSE)</f>
        <v>0</v>
      </c>
      <c r="BC83" s="9">
        <f>VLOOKUP($A83,地图配置辅助表!$A$3:$AP$245,地图配置辅助表!AO$1,FALSE)</f>
        <v>0</v>
      </c>
      <c r="BD83" s="9">
        <f>VLOOKUP($A83,地图配置辅助表!$A$3:$AP$245,地图配置辅助表!AP$1,FALSE)</f>
        <v>0</v>
      </c>
    </row>
    <row r="84" spans="1:56" s="9" customFormat="1" x14ac:dyDescent="0.15">
      <c r="A84">
        <f>地图配置辅助表!A85</f>
        <v>1202</v>
      </c>
      <c r="B84" s="8">
        <f>地图配置辅助表!B85</f>
        <v>2</v>
      </c>
      <c r="C84" s="9">
        <f>地图配置辅助表!C85</f>
        <v>1</v>
      </c>
      <c r="D84" s="9" t="str">
        <f>地图配置辅助表!D85</f>
        <v>精英大傻保镖</v>
      </c>
      <c r="E84" s="9" t="str">
        <f t="shared" ref="E84:E147" si="0">"挑战"&amp;D84</f>
        <v>挑战精英大傻保镖</v>
      </c>
      <c r="F84" s="9" t="s">
        <v>0</v>
      </c>
      <c r="G84" s="9">
        <v>29</v>
      </c>
      <c r="H84" s="9">
        <v>200</v>
      </c>
      <c r="I84" s="9">
        <v>140</v>
      </c>
      <c r="J84" s="9">
        <v>200</v>
      </c>
      <c r="K84" s="9">
        <v>140</v>
      </c>
      <c r="L84" s="9" t="s">
        <v>170</v>
      </c>
      <c r="M84" s="9">
        <v>0</v>
      </c>
      <c r="R84" s="9" t="s">
        <v>122</v>
      </c>
      <c r="S84" s="11">
        <f>VLOOKUP($A84,地图配置辅助表!$A$3:$AP$245,地图配置辅助表!E$1,FALSE)</f>
        <v>10</v>
      </c>
      <c r="T84" s="9">
        <f>VLOOKUP($A84,地图配置辅助表!$A$3:$AP$245,地图配置辅助表!F$1,FALSE)</f>
        <v>968</v>
      </c>
      <c r="U84" s="9">
        <f>VLOOKUP($A84,地图配置辅助表!$A$3:$AP$245,地图配置辅助表!G$1,FALSE)</f>
        <v>1</v>
      </c>
      <c r="V84" s="9">
        <f>VLOOKUP($A84,地图配置辅助表!$A$3:$AP$245,地图配置辅助表!H$1,FALSE)</f>
        <v>1</v>
      </c>
      <c r="W84" s="9">
        <f>VLOOKUP($A84,地图配置辅助表!$A$3:$AP$245,地图配置辅助表!I$1,FALSE)</f>
        <v>6</v>
      </c>
      <c r="X84" s="9">
        <f>VLOOKUP($A84,地图配置辅助表!$A$3:$AP$245,地图配置辅助表!J$1,FALSE)</f>
        <v>0</v>
      </c>
      <c r="Y84" s="9">
        <f>VLOOKUP($A84,地图配置辅助表!$A$3:$AP$245,地图配置辅助表!K$1,FALSE)</f>
        <v>0</v>
      </c>
      <c r="Z84" s="9">
        <f>VLOOKUP($A84,地图配置辅助表!$A$3:$AP$245,地图配置辅助表!L$1,FALSE)</f>
        <v>0</v>
      </c>
      <c r="AA84" s="9">
        <f>VLOOKUP($A84,地图配置辅助表!$A$3:$AP$245,地图配置辅助表!M$1,FALSE)</f>
        <v>2</v>
      </c>
      <c r="AB84">
        <f>VLOOKUP($A84,地图配置辅助表!$A$3:$AP$245,地图配置辅助表!N$1,FALSE)</f>
        <v>1</v>
      </c>
      <c r="AC84" s="9">
        <f>VLOOKUP($A84,地图配置辅助表!$A$3:$AP$245,地图配置辅助表!O$1,FALSE)</f>
        <v>3</v>
      </c>
      <c r="AD84">
        <f>VLOOKUP($A84,地图配置辅助表!$A$3:$AP$245,地图配置辅助表!P$1,FALSE)</f>
        <v>1201</v>
      </c>
      <c r="AE84" s="8">
        <f>VLOOKUP($A84,地图配置辅助表!$A$3:$AP$245,地图配置辅助表!Q$1,FALSE)</f>
        <v>3</v>
      </c>
      <c r="AF84" s="8">
        <f>VLOOKUP($A84,地图配置辅助表!$A$3:$AP$245,地图配置辅助表!R$1,FALSE)</f>
        <v>1002</v>
      </c>
      <c r="AG84" s="11">
        <f>VLOOKUP($A84,地图配置辅助表!$A$3:$AP$245,地图配置辅助表!S$1,FALSE)</f>
        <v>501202</v>
      </c>
      <c r="AH84" s="11">
        <f>VLOOKUP($A84,地图配置辅助表!$A$3:$AP$245,地图配置辅助表!T$1,FALSE)</f>
        <v>212004</v>
      </c>
      <c r="AI84" s="9">
        <f>VLOOKUP($A84,地图配置辅助表!$A$3:$AP$245,地图配置辅助表!U$1,FALSE)</f>
        <v>2</v>
      </c>
      <c r="AJ84" s="9">
        <f>VLOOKUP($A84,地图配置辅助表!$A$3:$AP$245,地图配置辅助表!V$1,FALSE)</f>
        <v>212001</v>
      </c>
      <c r="AK84" s="9">
        <f>VLOOKUP($A84,地图配置辅助表!$A$3:$AP$245,地图配置辅助表!W$1,FALSE)</f>
        <v>212002</v>
      </c>
      <c r="AL84" s="9">
        <f>VLOOKUP($A84,地图配置辅助表!$A$3:$AP$245,地图配置辅助表!X$1,FALSE)</f>
        <v>0</v>
      </c>
      <c r="AM84" s="9">
        <f>VLOOKUP($A84,地图配置辅助表!$A$3:$AP$245,地图配置辅助表!Y$1,FALSE)</f>
        <v>0</v>
      </c>
      <c r="AN84" s="9">
        <f>VLOOKUP($A84,地图配置辅助表!$A$3:$AP$245,地图配置辅助表!Z$1,FALSE)</f>
        <v>0</v>
      </c>
      <c r="AO84" s="9">
        <f>VLOOKUP($A84,地图配置辅助表!$A$3:$AP$245,地图配置辅助表!AA$1,FALSE)</f>
        <v>0</v>
      </c>
      <c r="AP84" s="9">
        <f>VLOOKUP($A84,地图配置辅助表!$A$3:$AP$245,地图配置辅助表!AB$1,FALSE)</f>
        <v>0</v>
      </c>
      <c r="AQ84" s="9">
        <f>VLOOKUP($A84,地图配置辅助表!$A$3:$AP$245,地图配置辅助表!AC$1,FALSE)</f>
        <v>0</v>
      </c>
      <c r="AR84" s="9">
        <f>VLOOKUP($A84,地图配置辅助表!$A$3:$AP$245,地图配置辅助表!AD$1,FALSE)</f>
        <v>0</v>
      </c>
      <c r="AS84" s="9">
        <f>VLOOKUP($A84,地图配置辅助表!$A$3:$AP$245,地图配置辅助表!AE$1,FALSE)</f>
        <v>0</v>
      </c>
      <c r="AT84" s="9">
        <f>VLOOKUP($A84,地图配置辅助表!$A$3:$AP$245,地图配置辅助表!AF$1,FALSE)</f>
        <v>3</v>
      </c>
      <c r="AU84" s="9">
        <f>VLOOKUP($A84,地图配置辅助表!$A$3:$AP$245,地图配置辅助表!AG$1,FALSE)</f>
        <v>272</v>
      </c>
      <c r="AV84" s="9">
        <f>VLOOKUP($A84,地图配置辅助表!$A$3:$AP$245,地图配置辅助表!AH$1,FALSE)</f>
        <v>278</v>
      </c>
      <c r="AW84" s="9">
        <f>VLOOKUP($A84,地图配置辅助表!$A$3:$AP$245,地图配置辅助表!AI$1,FALSE)</f>
        <v>284</v>
      </c>
      <c r="AX84" s="9">
        <f>VLOOKUP($A84,地图配置辅助表!$A$3:$AP$245,地图配置辅助表!AJ$1,FALSE)</f>
        <v>0</v>
      </c>
      <c r="AY84" s="9">
        <f>VLOOKUP($A84,地图配置辅助表!$A$3:$AP$245,地图配置辅助表!AK$1,FALSE)</f>
        <v>0</v>
      </c>
      <c r="AZ84" s="9">
        <f>VLOOKUP($A84,地图配置辅助表!$A$3:$AP$245,地图配置辅助表!AL$1,FALSE)</f>
        <v>0</v>
      </c>
      <c r="BA84" s="9">
        <f>VLOOKUP($A84,地图配置辅助表!$A$3:$AP$245,地图配置辅助表!AM$1,FALSE)</f>
        <v>0</v>
      </c>
      <c r="BB84" s="9">
        <f>VLOOKUP($A84,地图配置辅助表!$A$3:$AP$245,地图配置辅助表!AN$1,FALSE)</f>
        <v>0</v>
      </c>
      <c r="BC84" s="9">
        <f>VLOOKUP($A84,地图配置辅助表!$A$3:$AP$245,地图配置辅助表!AO$1,FALSE)</f>
        <v>0</v>
      </c>
      <c r="BD84" s="9">
        <f>VLOOKUP($A84,地图配置辅助表!$A$3:$AP$245,地图配置辅助表!AP$1,FALSE)</f>
        <v>0</v>
      </c>
    </row>
    <row r="85" spans="1:56" s="9" customFormat="1" x14ac:dyDescent="0.15">
      <c r="A85">
        <f>地图配置辅助表!A86</f>
        <v>1203</v>
      </c>
      <c r="B85" s="8">
        <f>地图配置辅助表!B86</f>
        <v>2</v>
      </c>
      <c r="C85" s="9">
        <f>地图配置辅助表!C86</f>
        <v>1</v>
      </c>
      <c r="D85" s="9" t="str">
        <f>地图配置辅助表!D86</f>
        <v>精英偷车贼</v>
      </c>
      <c r="E85" s="9" t="str">
        <f t="shared" si="0"/>
        <v>挑战精英偷车贼</v>
      </c>
      <c r="F85" s="9" t="s">
        <v>0</v>
      </c>
      <c r="G85" s="9">
        <v>29</v>
      </c>
      <c r="H85" s="9">
        <v>200</v>
      </c>
      <c r="I85" s="9">
        <v>140</v>
      </c>
      <c r="J85" s="9">
        <v>200</v>
      </c>
      <c r="K85" s="9">
        <v>140</v>
      </c>
      <c r="L85" s="9" t="s">
        <v>171</v>
      </c>
      <c r="M85" s="9">
        <v>0</v>
      </c>
      <c r="R85" s="9" t="s">
        <v>123</v>
      </c>
      <c r="S85" s="11">
        <f>VLOOKUP($A85,地图配置辅助表!$A$3:$AP$245,地图配置辅助表!E$1,FALSE)</f>
        <v>10</v>
      </c>
      <c r="T85" s="9">
        <f>VLOOKUP($A85,地图配置辅助表!$A$3:$AP$245,地图配置辅助表!F$1,FALSE)</f>
        <v>1149</v>
      </c>
      <c r="U85" s="9">
        <f>VLOOKUP($A85,地图配置辅助表!$A$3:$AP$245,地图配置辅助表!G$1,FALSE)</f>
        <v>1</v>
      </c>
      <c r="V85" s="9">
        <f>VLOOKUP($A85,地图配置辅助表!$A$3:$AP$245,地图配置辅助表!H$1,FALSE)</f>
        <v>1</v>
      </c>
      <c r="W85" s="9">
        <f>VLOOKUP($A85,地图配置辅助表!$A$3:$AP$245,地图配置辅助表!I$1,FALSE)</f>
        <v>6</v>
      </c>
      <c r="X85" s="9">
        <f>VLOOKUP($A85,地图配置辅助表!$A$3:$AP$245,地图配置辅助表!J$1,FALSE)</f>
        <v>0</v>
      </c>
      <c r="Y85" s="9">
        <f>VLOOKUP($A85,地图配置辅助表!$A$3:$AP$245,地图配置辅助表!K$1,FALSE)</f>
        <v>0</v>
      </c>
      <c r="Z85" s="9">
        <f>VLOOKUP($A85,地图配置辅助表!$A$3:$AP$245,地图配置辅助表!L$1,FALSE)</f>
        <v>0</v>
      </c>
      <c r="AA85" s="9">
        <f>VLOOKUP($A85,地图配置辅助表!$A$3:$AP$245,地图配置辅助表!M$1,FALSE)</f>
        <v>2</v>
      </c>
      <c r="AB85">
        <f>VLOOKUP($A85,地图配置辅助表!$A$3:$AP$245,地图配置辅助表!N$1,FALSE)</f>
        <v>1</v>
      </c>
      <c r="AC85" s="9">
        <f>VLOOKUP($A85,地图配置辅助表!$A$3:$AP$245,地图配置辅助表!O$1,FALSE)</f>
        <v>3</v>
      </c>
      <c r="AD85">
        <f>VLOOKUP($A85,地图配置辅助表!$A$3:$AP$245,地图配置辅助表!P$1,FALSE)</f>
        <v>1202</v>
      </c>
      <c r="AE85" s="8">
        <f>VLOOKUP($A85,地图配置辅助表!$A$3:$AP$245,地图配置辅助表!Q$1,FALSE)</f>
        <v>3</v>
      </c>
      <c r="AF85" s="8">
        <f>VLOOKUP($A85,地图配置辅助表!$A$3:$AP$245,地图配置辅助表!R$1,FALSE)</f>
        <v>1003</v>
      </c>
      <c r="AG85" s="11">
        <f>VLOOKUP($A85,地图配置辅助表!$A$3:$AP$245,地图配置辅助表!S$1,FALSE)</f>
        <v>501203</v>
      </c>
      <c r="AH85" s="11">
        <f>VLOOKUP($A85,地图配置辅助表!$A$3:$AP$245,地图配置辅助表!T$1,FALSE)</f>
        <v>213004</v>
      </c>
      <c r="AI85" s="9">
        <f>VLOOKUP($A85,地图配置辅助表!$A$3:$AP$245,地图配置辅助表!U$1,FALSE)</f>
        <v>2</v>
      </c>
      <c r="AJ85" s="9">
        <f>VLOOKUP($A85,地图配置辅助表!$A$3:$AP$245,地图配置辅助表!V$1,FALSE)</f>
        <v>213001</v>
      </c>
      <c r="AK85" s="9">
        <f>VLOOKUP($A85,地图配置辅助表!$A$3:$AP$245,地图配置辅助表!W$1,FALSE)</f>
        <v>213002</v>
      </c>
      <c r="AL85" s="9">
        <f>VLOOKUP($A85,地图配置辅助表!$A$3:$AP$245,地图配置辅助表!X$1,FALSE)</f>
        <v>0</v>
      </c>
      <c r="AM85" s="9">
        <f>VLOOKUP($A85,地图配置辅助表!$A$3:$AP$245,地图配置辅助表!Y$1,FALSE)</f>
        <v>0</v>
      </c>
      <c r="AN85" s="9">
        <f>VLOOKUP($A85,地图配置辅助表!$A$3:$AP$245,地图配置辅助表!Z$1,FALSE)</f>
        <v>0</v>
      </c>
      <c r="AO85" s="9">
        <f>VLOOKUP($A85,地图配置辅助表!$A$3:$AP$245,地图配置辅助表!AA$1,FALSE)</f>
        <v>0</v>
      </c>
      <c r="AP85" s="9">
        <f>VLOOKUP($A85,地图配置辅助表!$A$3:$AP$245,地图配置辅助表!AB$1,FALSE)</f>
        <v>0</v>
      </c>
      <c r="AQ85" s="9">
        <f>VLOOKUP($A85,地图配置辅助表!$A$3:$AP$245,地图配置辅助表!AC$1,FALSE)</f>
        <v>0</v>
      </c>
      <c r="AR85" s="9">
        <f>VLOOKUP($A85,地图配置辅助表!$A$3:$AP$245,地图配置辅助表!AD$1,FALSE)</f>
        <v>0</v>
      </c>
      <c r="AS85" s="9">
        <f>VLOOKUP($A85,地图配置辅助表!$A$3:$AP$245,地图配置辅助表!AE$1,FALSE)</f>
        <v>0</v>
      </c>
      <c r="AT85" s="9">
        <f>VLOOKUP($A85,地图配置辅助表!$A$3:$AP$245,地图配置辅助表!AF$1,FALSE)</f>
        <v>3</v>
      </c>
      <c r="AU85" s="9">
        <f>VLOOKUP($A85,地图配置辅助表!$A$3:$AP$245,地图配置辅助表!AG$1,FALSE)</f>
        <v>103</v>
      </c>
      <c r="AV85" s="9">
        <f>VLOOKUP($A85,地图配置辅助表!$A$3:$AP$245,地图配置辅助表!AH$1,FALSE)</f>
        <v>109</v>
      </c>
      <c r="AW85" s="9">
        <f>VLOOKUP($A85,地图配置辅助表!$A$3:$AP$245,地图配置辅助表!AI$1,FALSE)</f>
        <v>115</v>
      </c>
      <c r="AX85" s="9">
        <f>VLOOKUP($A85,地图配置辅助表!$A$3:$AP$245,地图配置辅助表!AJ$1,FALSE)</f>
        <v>0</v>
      </c>
      <c r="AY85" s="9">
        <f>VLOOKUP($A85,地图配置辅助表!$A$3:$AP$245,地图配置辅助表!AK$1,FALSE)</f>
        <v>0</v>
      </c>
      <c r="AZ85" s="9">
        <f>VLOOKUP($A85,地图配置辅助表!$A$3:$AP$245,地图配置辅助表!AL$1,FALSE)</f>
        <v>0</v>
      </c>
      <c r="BA85" s="9">
        <f>VLOOKUP($A85,地图配置辅助表!$A$3:$AP$245,地图配置辅助表!AM$1,FALSE)</f>
        <v>0</v>
      </c>
      <c r="BB85" s="9">
        <f>VLOOKUP($A85,地图配置辅助表!$A$3:$AP$245,地图配置辅助表!AN$1,FALSE)</f>
        <v>0</v>
      </c>
      <c r="BC85" s="9">
        <f>VLOOKUP($A85,地图配置辅助表!$A$3:$AP$245,地图配置辅助表!AO$1,FALSE)</f>
        <v>0</v>
      </c>
      <c r="BD85" s="9">
        <f>VLOOKUP($A85,地图配置辅助表!$A$3:$AP$245,地图配置辅助表!AP$1,FALSE)</f>
        <v>0</v>
      </c>
    </row>
    <row r="86" spans="1:56" s="9" customFormat="1" x14ac:dyDescent="0.15">
      <c r="A86">
        <f>地图配置辅助表!A87</f>
        <v>1204</v>
      </c>
      <c r="B86" s="8">
        <f>地图配置辅助表!B87</f>
        <v>2</v>
      </c>
      <c r="C86" s="9">
        <f>地图配置辅助表!C87</f>
        <v>1</v>
      </c>
      <c r="D86" s="9" t="str">
        <f>地图配置辅助表!D87</f>
        <v>精英丧彪手下</v>
      </c>
      <c r="E86" s="9" t="str">
        <f t="shared" si="0"/>
        <v>挑战精英丧彪手下</v>
      </c>
      <c r="F86" s="9" t="s">
        <v>0</v>
      </c>
      <c r="G86" s="9">
        <v>29</v>
      </c>
      <c r="H86" s="9">
        <v>200</v>
      </c>
      <c r="I86" s="9">
        <v>140</v>
      </c>
      <c r="J86" s="9">
        <v>200</v>
      </c>
      <c r="K86" s="9">
        <v>140</v>
      </c>
      <c r="L86" s="9" t="s">
        <v>172</v>
      </c>
      <c r="M86" s="9">
        <v>0</v>
      </c>
      <c r="R86" s="9" t="s">
        <v>124</v>
      </c>
      <c r="S86" s="11">
        <f>VLOOKUP($A86,地图配置辅助表!$A$3:$AP$245,地图配置辅助表!E$1,FALSE)</f>
        <v>10</v>
      </c>
      <c r="T86" s="9">
        <f>VLOOKUP($A86,地图配置辅助表!$A$3:$AP$245,地图配置辅助表!F$1,FALSE)</f>
        <v>1324</v>
      </c>
      <c r="U86" s="9">
        <f>VLOOKUP($A86,地图配置辅助表!$A$3:$AP$245,地图配置辅助表!G$1,FALSE)</f>
        <v>1</v>
      </c>
      <c r="V86" s="9">
        <f>VLOOKUP($A86,地图配置辅助表!$A$3:$AP$245,地图配置辅助表!H$1,FALSE)</f>
        <v>1</v>
      </c>
      <c r="W86" s="9">
        <f>VLOOKUP($A86,地图配置辅助表!$A$3:$AP$245,地图配置辅助表!I$1,FALSE)</f>
        <v>6</v>
      </c>
      <c r="X86" s="9">
        <f>VLOOKUP($A86,地图配置辅助表!$A$3:$AP$245,地图配置辅助表!J$1,FALSE)</f>
        <v>0</v>
      </c>
      <c r="Y86" s="9">
        <f>VLOOKUP($A86,地图配置辅助表!$A$3:$AP$245,地图配置辅助表!K$1,FALSE)</f>
        <v>0</v>
      </c>
      <c r="Z86" s="9">
        <f>VLOOKUP($A86,地图配置辅助表!$A$3:$AP$245,地图配置辅助表!L$1,FALSE)</f>
        <v>0</v>
      </c>
      <c r="AA86" s="9">
        <f>VLOOKUP($A86,地图配置辅助表!$A$3:$AP$245,地图配置辅助表!M$1,FALSE)</f>
        <v>2</v>
      </c>
      <c r="AB86">
        <f>VLOOKUP($A86,地图配置辅助表!$A$3:$AP$245,地图配置辅助表!N$1,FALSE)</f>
        <v>1</v>
      </c>
      <c r="AC86" s="9">
        <f>VLOOKUP($A86,地图配置辅助表!$A$3:$AP$245,地图配置辅助表!O$1,FALSE)</f>
        <v>3</v>
      </c>
      <c r="AD86">
        <f>VLOOKUP($A86,地图配置辅助表!$A$3:$AP$245,地图配置辅助表!P$1,FALSE)</f>
        <v>1203</v>
      </c>
      <c r="AE86" s="8">
        <f>VLOOKUP($A86,地图配置辅助表!$A$3:$AP$245,地图配置辅助表!Q$1,FALSE)</f>
        <v>3</v>
      </c>
      <c r="AF86" s="8">
        <f>VLOOKUP($A86,地图配置辅助表!$A$3:$AP$245,地图配置辅助表!R$1,FALSE)</f>
        <v>1004</v>
      </c>
      <c r="AG86" s="11">
        <f>VLOOKUP($A86,地图配置辅助表!$A$3:$AP$245,地图配置辅助表!S$1,FALSE)</f>
        <v>501204</v>
      </c>
      <c r="AH86" s="11">
        <f>VLOOKUP($A86,地图配置辅助表!$A$3:$AP$245,地图配置辅助表!T$1,FALSE)</f>
        <v>214004</v>
      </c>
      <c r="AI86" s="9">
        <f>VLOOKUP($A86,地图配置辅助表!$A$3:$AP$245,地图配置辅助表!U$1,FALSE)</f>
        <v>2</v>
      </c>
      <c r="AJ86" s="9">
        <f>VLOOKUP($A86,地图配置辅助表!$A$3:$AP$245,地图配置辅助表!V$1,FALSE)</f>
        <v>214001</v>
      </c>
      <c r="AK86" s="9">
        <f>VLOOKUP($A86,地图配置辅助表!$A$3:$AP$245,地图配置辅助表!W$1,FALSE)</f>
        <v>214002</v>
      </c>
      <c r="AL86" s="9">
        <f>VLOOKUP($A86,地图配置辅助表!$A$3:$AP$245,地图配置辅助表!X$1,FALSE)</f>
        <v>0</v>
      </c>
      <c r="AM86" s="9">
        <f>VLOOKUP($A86,地图配置辅助表!$A$3:$AP$245,地图配置辅助表!Y$1,FALSE)</f>
        <v>0</v>
      </c>
      <c r="AN86" s="9">
        <f>VLOOKUP($A86,地图配置辅助表!$A$3:$AP$245,地图配置辅助表!Z$1,FALSE)</f>
        <v>0</v>
      </c>
      <c r="AO86" s="9">
        <f>VLOOKUP($A86,地图配置辅助表!$A$3:$AP$245,地图配置辅助表!AA$1,FALSE)</f>
        <v>0</v>
      </c>
      <c r="AP86" s="9">
        <f>VLOOKUP($A86,地图配置辅助表!$A$3:$AP$245,地图配置辅助表!AB$1,FALSE)</f>
        <v>0</v>
      </c>
      <c r="AQ86" s="9">
        <f>VLOOKUP($A86,地图配置辅助表!$A$3:$AP$245,地图配置辅助表!AC$1,FALSE)</f>
        <v>0</v>
      </c>
      <c r="AR86" s="9">
        <f>VLOOKUP($A86,地图配置辅助表!$A$3:$AP$245,地图配置辅助表!AD$1,FALSE)</f>
        <v>0</v>
      </c>
      <c r="AS86" s="9">
        <f>VLOOKUP($A86,地图配置辅助表!$A$3:$AP$245,地图配置辅助表!AE$1,FALSE)</f>
        <v>0</v>
      </c>
      <c r="AT86" s="9">
        <f>VLOOKUP($A86,地图配置辅助表!$A$3:$AP$245,地图配置辅助表!AF$1,FALSE)</f>
        <v>4</v>
      </c>
      <c r="AU86" s="9">
        <f>VLOOKUP($A86,地图配置辅助表!$A$3:$AP$245,地图配置辅助表!AG$1,FALSE)</f>
        <v>330</v>
      </c>
      <c r="AV86" s="9">
        <f>VLOOKUP($A86,地图配置辅助表!$A$3:$AP$245,地图配置辅助表!AH$1,FALSE)</f>
        <v>331</v>
      </c>
      <c r="AW86" s="9">
        <f>VLOOKUP($A86,地图配置辅助表!$A$3:$AP$245,地图配置辅助表!AI$1,FALSE)</f>
        <v>332</v>
      </c>
      <c r="AX86" s="9">
        <f>VLOOKUP($A86,地图配置辅助表!$A$3:$AP$245,地图配置辅助表!AJ$1,FALSE)</f>
        <v>394</v>
      </c>
      <c r="AY86" s="9">
        <f>VLOOKUP($A86,地图配置辅助表!$A$3:$AP$245,地图配置辅助表!AK$1,FALSE)</f>
        <v>0</v>
      </c>
      <c r="AZ86" s="9">
        <f>VLOOKUP($A86,地图配置辅助表!$A$3:$AP$245,地图配置辅助表!AL$1,FALSE)</f>
        <v>0</v>
      </c>
      <c r="BA86" s="9">
        <f>VLOOKUP($A86,地图配置辅助表!$A$3:$AP$245,地图配置辅助表!AM$1,FALSE)</f>
        <v>0</v>
      </c>
      <c r="BB86" s="9">
        <f>VLOOKUP($A86,地图配置辅助表!$A$3:$AP$245,地图配置辅助表!AN$1,FALSE)</f>
        <v>0</v>
      </c>
      <c r="BC86" s="9">
        <f>VLOOKUP($A86,地图配置辅助表!$A$3:$AP$245,地图配置辅助表!AO$1,FALSE)</f>
        <v>0</v>
      </c>
      <c r="BD86" s="9">
        <f>VLOOKUP($A86,地图配置辅助表!$A$3:$AP$245,地图配置辅助表!AP$1,FALSE)</f>
        <v>0</v>
      </c>
    </row>
    <row r="87" spans="1:56" s="9" customFormat="1" x14ac:dyDescent="0.15">
      <c r="A87">
        <f>地图配置辅助表!A88</f>
        <v>1205</v>
      </c>
      <c r="B87" s="8">
        <f>地图配置辅助表!B88</f>
        <v>2</v>
      </c>
      <c r="C87" s="9">
        <f>地图配置辅助表!C88</f>
        <v>1</v>
      </c>
      <c r="D87" s="9" t="str">
        <f>地图配置辅助表!D88</f>
        <v>精英丧彪</v>
      </c>
      <c r="E87" s="9" t="str">
        <f t="shared" si="0"/>
        <v>挑战精英丧彪</v>
      </c>
      <c r="F87" s="9" t="s">
        <v>0</v>
      </c>
      <c r="G87" s="9">
        <v>29</v>
      </c>
      <c r="H87" s="9">
        <v>200</v>
      </c>
      <c r="I87" s="9">
        <v>140</v>
      </c>
      <c r="J87" s="9">
        <v>200</v>
      </c>
      <c r="K87" s="9">
        <v>140</v>
      </c>
      <c r="L87" s="9" t="s">
        <v>173</v>
      </c>
      <c r="M87" s="9">
        <v>0</v>
      </c>
      <c r="R87" s="9" t="s">
        <v>125</v>
      </c>
      <c r="S87" s="11">
        <f>VLOOKUP($A87,地图配置辅助表!$A$3:$AP$245,地图配置辅助表!E$1,FALSE)</f>
        <v>10</v>
      </c>
      <c r="T87" s="9">
        <f>VLOOKUP($A87,地图配置辅助表!$A$3:$AP$245,地图配置辅助表!F$1,FALSE)</f>
        <v>1525</v>
      </c>
      <c r="U87" s="9">
        <f>VLOOKUP($A87,地图配置辅助表!$A$3:$AP$245,地图配置辅助表!G$1,FALSE)</f>
        <v>1</v>
      </c>
      <c r="V87" s="9">
        <f>VLOOKUP($A87,地图配置辅助表!$A$3:$AP$245,地图配置辅助表!H$1,FALSE)</f>
        <v>1</v>
      </c>
      <c r="W87" s="9">
        <f>VLOOKUP($A87,地图配置辅助表!$A$3:$AP$245,地图配置辅助表!I$1,FALSE)</f>
        <v>6</v>
      </c>
      <c r="X87" s="9">
        <f>VLOOKUP($A87,地图配置辅助表!$A$3:$AP$245,地图配置辅助表!J$1,FALSE)</f>
        <v>0</v>
      </c>
      <c r="Y87" s="9">
        <f>VLOOKUP($A87,地图配置辅助表!$A$3:$AP$245,地图配置辅助表!K$1,FALSE)</f>
        <v>0</v>
      </c>
      <c r="Z87" s="9">
        <f>VLOOKUP($A87,地图配置辅助表!$A$3:$AP$245,地图配置辅助表!L$1,FALSE)</f>
        <v>0</v>
      </c>
      <c r="AA87" s="9">
        <f>VLOOKUP($A87,地图配置辅助表!$A$3:$AP$245,地图配置辅助表!M$1,FALSE)</f>
        <v>2</v>
      </c>
      <c r="AB87">
        <f>VLOOKUP($A87,地图配置辅助表!$A$3:$AP$245,地图配置辅助表!N$1,FALSE)</f>
        <v>1</v>
      </c>
      <c r="AC87" s="9">
        <f>VLOOKUP($A87,地图配置辅助表!$A$3:$AP$245,地图配置辅助表!O$1,FALSE)</f>
        <v>3</v>
      </c>
      <c r="AD87">
        <f>VLOOKUP($A87,地图配置辅助表!$A$3:$AP$245,地图配置辅助表!P$1,FALSE)</f>
        <v>1204</v>
      </c>
      <c r="AE87" s="8">
        <f>VLOOKUP($A87,地图配置辅助表!$A$3:$AP$245,地图配置辅助表!Q$1,FALSE)</f>
        <v>3</v>
      </c>
      <c r="AF87" s="8">
        <f>VLOOKUP($A87,地图配置辅助表!$A$3:$AP$245,地图配置辅助表!R$1,FALSE)</f>
        <v>1005</v>
      </c>
      <c r="AG87" s="11">
        <f>VLOOKUP($A87,地图配置辅助表!$A$3:$AP$245,地图配置辅助表!S$1,FALSE)</f>
        <v>501205</v>
      </c>
      <c r="AH87" s="11">
        <f>VLOOKUP($A87,地图配置辅助表!$A$3:$AP$245,地图配置辅助表!T$1,FALSE)</f>
        <v>215004</v>
      </c>
      <c r="AI87" s="9">
        <f>VLOOKUP($A87,地图配置辅助表!$A$3:$AP$245,地图配置辅助表!U$1,FALSE)</f>
        <v>2</v>
      </c>
      <c r="AJ87" s="9">
        <f>VLOOKUP($A87,地图配置辅助表!$A$3:$AP$245,地图配置辅助表!V$1,FALSE)</f>
        <v>215001</v>
      </c>
      <c r="AK87" s="9">
        <f>VLOOKUP($A87,地图配置辅助表!$A$3:$AP$245,地图配置辅助表!W$1,FALSE)</f>
        <v>215002</v>
      </c>
      <c r="AL87" s="9">
        <f>VLOOKUP($A87,地图配置辅助表!$A$3:$AP$245,地图配置辅助表!X$1,FALSE)</f>
        <v>0</v>
      </c>
      <c r="AM87" s="9">
        <f>VLOOKUP($A87,地图配置辅助表!$A$3:$AP$245,地图配置辅助表!Y$1,FALSE)</f>
        <v>0</v>
      </c>
      <c r="AN87" s="9">
        <f>VLOOKUP($A87,地图配置辅助表!$A$3:$AP$245,地图配置辅助表!Z$1,FALSE)</f>
        <v>0</v>
      </c>
      <c r="AO87" s="9">
        <f>VLOOKUP($A87,地图配置辅助表!$A$3:$AP$245,地图配置辅助表!AA$1,FALSE)</f>
        <v>0</v>
      </c>
      <c r="AP87" s="9">
        <f>VLOOKUP($A87,地图配置辅助表!$A$3:$AP$245,地图配置辅助表!AB$1,FALSE)</f>
        <v>0</v>
      </c>
      <c r="AQ87" s="9">
        <f>VLOOKUP($A87,地图配置辅助表!$A$3:$AP$245,地图配置辅助表!AC$1,FALSE)</f>
        <v>0</v>
      </c>
      <c r="AR87" s="9">
        <f>VLOOKUP($A87,地图配置辅助表!$A$3:$AP$245,地图配置辅助表!AD$1,FALSE)</f>
        <v>0</v>
      </c>
      <c r="AS87" s="9">
        <f>VLOOKUP($A87,地图配置辅助表!$A$3:$AP$245,地图配置辅助表!AE$1,FALSE)</f>
        <v>0</v>
      </c>
      <c r="AT87" s="9">
        <f>VLOOKUP($A87,地图配置辅助表!$A$3:$AP$245,地图配置辅助表!AF$1,FALSE)</f>
        <v>3</v>
      </c>
      <c r="AU87" s="9">
        <f>VLOOKUP($A87,地图配置辅助表!$A$3:$AP$245,地图配置辅助表!AG$1,FALSE)</f>
        <v>29</v>
      </c>
      <c r="AV87" s="9">
        <f>VLOOKUP($A87,地图配置辅助表!$A$3:$AP$245,地图配置辅助表!AH$1,FALSE)</f>
        <v>36</v>
      </c>
      <c r="AW87" s="9">
        <f>VLOOKUP($A87,地图配置辅助表!$A$3:$AP$245,地图配置辅助表!AI$1,FALSE)</f>
        <v>42</v>
      </c>
      <c r="AX87" s="9">
        <f>VLOOKUP($A87,地图配置辅助表!$A$3:$AP$245,地图配置辅助表!AJ$1,FALSE)</f>
        <v>0</v>
      </c>
      <c r="AY87" s="9">
        <f>VLOOKUP($A87,地图配置辅助表!$A$3:$AP$245,地图配置辅助表!AK$1,FALSE)</f>
        <v>0</v>
      </c>
      <c r="AZ87" s="9">
        <f>VLOOKUP($A87,地图配置辅助表!$A$3:$AP$245,地图配置辅助表!AL$1,FALSE)</f>
        <v>0</v>
      </c>
      <c r="BA87" s="9">
        <f>VLOOKUP($A87,地图配置辅助表!$A$3:$AP$245,地图配置辅助表!AM$1,FALSE)</f>
        <v>0</v>
      </c>
      <c r="BB87" s="9">
        <f>VLOOKUP($A87,地图配置辅助表!$A$3:$AP$245,地图配置辅助表!AN$1,FALSE)</f>
        <v>0</v>
      </c>
      <c r="BC87" s="9">
        <f>VLOOKUP($A87,地图配置辅助表!$A$3:$AP$245,地图配置辅助表!AO$1,FALSE)</f>
        <v>0</v>
      </c>
      <c r="BD87" s="9">
        <f>VLOOKUP($A87,地图配置辅助表!$A$3:$AP$245,地图配置辅助表!AP$1,FALSE)</f>
        <v>0</v>
      </c>
    </row>
    <row r="88" spans="1:56" s="9" customFormat="1" x14ac:dyDescent="0.15">
      <c r="A88">
        <f>地图配置辅助表!A89</f>
        <v>1206</v>
      </c>
      <c r="B88" s="8">
        <f>地图配置辅助表!B89</f>
        <v>2</v>
      </c>
      <c r="C88" s="9">
        <f>地图配置辅助表!C89</f>
        <v>1</v>
      </c>
      <c r="D88" s="9" t="str">
        <f>地图配置辅助表!D89</f>
        <v>精英拦截者</v>
      </c>
      <c r="E88" s="9" t="str">
        <f t="shared" si="0"/>
        <v>挑战精英拦截者</v>
      </c>
      <c r="F88" s="9" t="s">
        <v>0</v>
      </c>
      <c r="G88" s="9">
        <v>29</v>
      </c>
      <c r="H88" s="9">
        <v>200</v>
      </c>
      <c r="I88" s="9">
        <v>140</v>
      </c>
      <c r="J88" s="9">
        <v>200</v>
      </c>
      <c r="K88" s="9">
        <v>140</v>
      </c>
      <c r="L88" s="9" t="s">
        <v>174</v>
      </c>
      <c r="M88" s="9">
        <v>0</v>
      </c>
      <c r="R88" s="9" t="s">
        <v>126</v>
      </c>
      <c r="S88" s="11">
        <f>VLOOKUP($A88,地图配置辅助表!$A$3:$AP$245,地图配置辅助表!E$1,FALSE)</f>
        <v>10</v>
      </c>
      <c r="T88" s="9">
        <f>VLOOKUP($A88,地图配置辅助表!$A$3:$AP$245,地图配置辅助表!F$1,FALSE)</f>
        <v>1754</v>
      </c>
      <c r="U88" s="9">
        <f>VLOOKUP($A88,地图配置辅助表!$A$3:$AP$245,地图配置辅助表!G$1,FALSE)</f>
        <v>1</v>
      </c>
      <c r="V88" s="9">
        <f>VLOOKUP($A88,地图配置辅助表!$A$3:$AP$245,地图配置辅助表!H$1,FALSE)</f>
        <v>1</v>
      </c>
      <c r="W88" s="9">
        <f>VLOOKUP($A88,地图配置辅助表!$A$3:$AP$245,地图配置辅助表!I$1,FALSE)</f>
        <v>6</v>
      </c>
      <c r="X88" s="9">
        <f>VLOOKUP($A88,地图配置辅助表!$A$3:$AP$245,地图配置辅助表!J$1,FALSE)</f>
        <v>0</v>
      </c>
      <c r="Y88" s="9">
        <f>VLOOKUP($A88,地图配置辅助表!$A$3:$AP$245,地图配置辅助表!K$1,FALSE)</f>
        <v>0</v>
      </c>
      <c r="Z88" s="9">
        <f>VLOOKUP($A88,地图配置辅助表!$A$3:$AP$245,地图配置辅助表!L$1,FALSE)</f>
        <v>0</v>
      </c>
      <c r="AA88" s="9">
        <f>VLOOKUP($A88,地图配置辅助表!$A$3:$AP$245,地图配置辅助表!M$1,FALSE)</f>
        <v>2</v>
      </c>
      <c r="AB88">
        <f>VLOOKUP($A88,地图配置辅助表!$A$3:$AP$245,地图配置辅助表!N$1,FALSE)</f>
        <v>1</v>
      </c>
      <c r="AC88" s="9">
        <f>VLOOKUP($A88,地图配置辅助表!$A$3:$AP$245,地图配置辅助表!O$1,FALSE)</f>
        <v>3</v>
      </c>
      <c r="AD88">
        <f>VLOOKUP($A88,地图配置辅助表!$A$3:$AP$245,地图配置辅助表!P$1,FALSE)</f>
        <v>1205</v>
      </c>
      <c r="AE88" s="8">
        <f>VLOOKUP($A88,地图配置辅助表!$A$3:$AP$245,地图配置辅助表!Q$1,FALSE)</f>
        <v>3</v>
      </c>
      <c r="AF88" s="8">
        <f>VLOOKUP($A88,地图配置辅助表!$A$3:$AP$245,地图配置辅助表!R$1,FALSE)</f>
        <v>1006</v>
      </c>
      <c r="AG88" s="11">
        <f>VLOOKUP($A88,地图配置辅助表!$A$3:$AP$245,地图配置辅助表!S$1,FALSE)</f>
        <v>501206</v>
      </c>
      <c r="AH88" s="11">
        <f>VLOOKUP($A88,地图配置辅助表!$A$3:$AP$245,地图配置辅助表!T$1,FALSE)</f>
        <v>216004</v>
      </c>
      <c r="AI88" s="9">
        <f>VLOOKUP($A88,地图配置辅助表!$A$3:$AP$245,地图配置辅助表!U$1,FALSE)</f>
        <v>2</v>
      </c>
      <c r="AJ88" s="9">
        <f>VLOOKUP($A88,地图配置辅助表!$A$3:$AP$245,地图配置辅助表!V$1,FALSE)</f>
        <v>216001</v>
      </c>
      <c r="AK88" s="9">
        <f>VLOOKUP($A88,地图配置辅助表!$A$3:$AP$245,地图配置辅助表!W$1,FALSE)</f>
        <v>216002</v>
      </c>
      <c r="AL88" s="9">
        <f>VLOOKUP($A88,地图配置辅助表!$A$3:$AP$245,地图配置辅助表!X$1,FALSE)</f>
        <v>0</v>
      </c>
      <c r="AM88" s="9">
        <f>VLOOKUP($A88,地图配置辅助表!$A$3:$AP$245,地图配置辅助表!Y$1,FALSE)</f>
        <v>0</v>
      </c>
      <c r="AN88" s="9">
        <f>VLOOKUP($A88,地图配置辅助表!$A$3:$AP$245,地图配置辅助表!Z$1,FALSE)</f>
        <v>0</v>
      </c>
      <c r="AO88" s="9">
        <f>VLOOKUP($A88,地图配置辅助表!$A$3:$AP$245,地图配置辅助表!AA$1,FALSE)</f>
        <v>0</v>
      </c>
      <c r="AP88" s="9">
        <f>VLOOKUP($A88,地图配置辅助表!$A$3:$AP$245,地图配置辅助表!AB$1,FALSE)</f>
        <v>0</v>
      </c>
      <c r="AQ88" s="9">
        <f>VLOOKUP($A88,地图配置辅助表!$A$3:$AP$245,地图配置辅助表!AC$1,FALSE)</f>
        <v>0</v>
      </c>
      <c r="AR88" s="9">
        <f>VLOOKUP($A88,地图配置辅助表!$A$3:$AP$245,地图配置辅助表!AD$1,FALSE)</f>
        <v>0</v>
      </c>
      <c r="AS88" s="9">
        <f>VLOOKUP($A88,地图配置辅助表!$A$3:$AP$245,地图配置辅助表!AE$1,FALSE)</f>
        <v>0</v>
      </c>
      <c r="AT88" s="9">
        <f>VLOOKUP($A88,地图配置辅助表!$A$3:$AP$245,地图配置辅助表!AF$1,FALSE)</f>
        <v>3</v>
      </c>
      <c r="AU88" s="9">
        <f>VLOOKUP($A88,地图配置辅助表!$A$3:$AP$245,地图配置辅助表!AG$1,FALSE)</f>
        <v>31</v>
      </c>
      <c r="AV88" s="9">
        <f>VLOOKUP($A88,地图配置辅助表!$A$3:$AP$245,地图配置辅助表!AH$1,FALSE)</f>
        <v>37</v>
      </c>
      <c r="AW88" s="9">
        <f>VLOOKUP($A88,地图配置辅助表!$A$3:$AP$245,地图配置辅助表!AI$1,FALSE)</f>
        <v>43</v>
      </c>
      <c r="AX88" s="9">
        <f>VLOOKUP($A88,地图配置辅助表!$A$3:$AP$245,地图配置辅助表!AJ$1,FALSE)</f>
        <v>0</v>
      </c>
      <c r="AY88" s="9">
        <f>VLOOKUP($A88,地图配置辅助表!$A$3:$AP$245,地图配置辅助表!AK$1,FALSE)</f>
        <v>0</v>
      </c>
      <c r="AZ88" s="9">
        <f>VLOOKUP($A88,地图配置辅助表!$A$3:$AP$245,地图配置辅助表!AL$1,FALSE)</f>
        <v>0</v>
      </c>
      <c r="BA88" s="9">
        <f>VLOOKUP($A88,地图配置辅助表!$A$3:$AP$245,地图配置辅助表!AM$1,FALSE)</f>
        <v>0</v>
      </c>
      <c r="BB88" s="9">
        <f>VLOOKUP($A88,地图配置辅助表!$A$3:$AP$245,地图配置辅助表!AN$1,FALSE)</f>
        <v>0</v>
      </c>
      <c r="BC88" s="9">
        <f>VLOOKUP($A88,地图配置辅助表!$A$3:$AP$245,地图配置辅助表!AO$1,FALSE)</f>
        <v>0</v>
      </c>
      <c r="BD88" s="9">
        <f>VLOOKUP($A88,地图配置辅助表!$A$3:$AP$245,地图配置辅助表!AP$1,FALSE)</f>
        <v>0</v>
      </c>
    </row>
    <row r="89" spans="1:56" s="9" customFormat="1" x14ac:dyDescent="0.15">
      <c r="A89">
        <f>地图配置辅助表!A90</f>
        <v>1207</v>
      </c>
      <c r="B89" s="8">
        <f>地图配置辅助表!B90</f>
        <v>2</v>
      </c>
      <c r="C89" s="9">
        <f>地图配置辅助表!C90</f>
        <v>1</v>
      </c>
      <c r="D89" s="9" t="str">
        <f>地图配置辅助表!D90</f>
        <v>精英靓坤手下</v>
      </c>
      <c r="E89" s="9" t="str">
        <f t="shared" si="0"/>
        <v>挑战精英靓坤手下</v>
      </c>
      <c r="F89" s="9" t="s">
        <v>0</v>
      </c>
      <c r="G89" s="9">
        <v>29</v>
      </c>
      <c r="H89" s="9">
        <v>200</v>
      </c>
      <c r="I89" s="9">
        <v>140</v>
      </c>
      <c r="J89" s="9">
        <v>200</v>
      </c>
      <c r="K89" s="9">
        <v>140</v>
      </c>
      <c r="L89" s="9" t="s">
        <v>632</v>
      </c>
      <c r="M89" s="9">
        <v>0</v>
      </c>
      <c r="R89" s="9" t="s">
        <v>617</v>
      </c>
      <c r="S89" s="11">
        <f>VLOOKUP($A89,地图配置辅助表!$A$3:$AP$245,地图配置辅助表!E$1,FALSE)</f>
        <v>10</v>
      </c>
      <c r="T89" s="9">
        <f>VLOOKUP($A89,地图配置辅助表!$A$3:$AP$245,地图配置辅助表!F$1,FALSE)</f>
        <v>1983</v>
      </c>
      <c r="U89" s="9">
        <f>VLOOKUP($A89,地图配置辅助表!$A$3:$AP$245,地图配置辅助表!G$1,FALSE)</f>
        <v>1</v>
      </c>
      <c r="V89" s="9">
        <f>VLOOKUP($A89,地图配置辅助表!$A$3:$AP$245,地图配置辅助表!H$1,FALSE)</f>
        <v>1</v>
      </c>
      <c r="W89" s="9">
        <f>VLOOKUP($A89,地图配置辅助表!$A$3:$AP$245,地图配置辅助表!I$1,FALSE)</f>
        <v>6</v>
      </c>
      <c r="X89" s="9">
        <f>VLOOKUP($A89,地图配置辅助表!$A$3:$AP$245,地图配置辅助表!J$1,FALSE)</f>
        <v>0</v>
      </c>
      <c r="Y89" s="9">
        <f>VLOOKUP($A89,地图配置辅助表!$A$3:$AP$245,地图配置辅助表!K$1,FALSE)</f>
        <v>0</v>
      </c>
      <c r="Z89" s="9">
        <f>VLOOKUP($A89,地图配置辅助表!$A$3:$AP$245,地图配置辅助表!L$1,FALSE)</f>
        <v>0</v>
      </c>
      <c r="AA89" s="9">
        <f>VLOOKUP($A89,地图配置辅助表!$A$3:$AP$245,地图配置辅助表!M$1,FALSE)</f>
        <v>2</v>
      </c>
      <c r="AB89">
        <f>VLOOKUP($A89,地图配置辅助表!$A$3:$AP$245,地图配置辅助表!N$1,FALSE)</f>
        <v>1</v>
      </c>
      <c r="AC89" s="9">
        <f>VLOOKUP($A89,地图配置辅助表!$A$3:$AP$245,地图配置辅助表!O$1,FALSE)</f>
        <v>3</v>
      </c>
      <c r="AD89">
        <f>VLOOKUP($A89,地图配置辅助表!$A$3:$AP$245,地图配置辅助表!P$1,FALSE)</f>
        <v>1206</v>
      </c>
      <c r="AE89" s="8">
        <f>VLOOKUP($A89,地图配置辅助表!$A$3:$AP$245,地图配置辅助表!Q$1,FALSE)</f>
        <v>3</v>
      </c>
      <c r="AF89" s="8">
        <f>VLOOKUP($A89,地图配置辅助表!$A$3:$AP$245,地图配置辅助表!R$1,FALSE)</f>
        <v>1007</v>
      </c>
      <c r="AG89" s="11">
        <f>VLOOKUP($A89,地图配置辅助表!$A$3:$AP$245,地图配置辅助表!S$1,FALSE)</f>
        <v>501207</v>
      </c>
      <c r="AH89" s="11">
        <f>VLOOKUP($A89,地图配置辅助表!$A$3:$AP$245,地图配置辅助表!T$1,FALSE)</f>
        <v>217004</v>
      </c>
      <c r="AI89" s="9">
        <f>VLOOKUP($A89,地图配置辅助表!$A$3:$AP$245,地图配置辅助表!U$1,FALSE)</f>
        <v>2</v>
      </c>
      <c r="AJ89" s="9">
        <f>VLOOKUP($A89,地图配置辅助表!$A$3:$AP$245,地图配置辅助表!V$1,FALSE)</f>
        <v>217001</v>
      </c>
      <c r="AK89" s="9">
        <f>VLOOKUP($A89,地图配置辅助表!$A$3:$AP$245,地图配置辅助表!W$1,FALSE)</f>
        <v>217002</v>
      </c>
      <c r="AL89" s="9">
        <f>VLOOKUP($A89,地图配置辅助表!$A$3:$AP$245,地图配置辅助表!X$1,FALSE)</f>
        <v>0</v>
      </c>
      <c r="AM89" s="9">
        <f>VLOOKUP($A89,地图配置辅助表!$A$3:$AP$245,地图配置辅助表!Y$1,FALSE)</f>
        <v>0</v>
      </c>
      <c r="AN89" s="9">
        <f>VLOOKUP($A89,地图配置辅助表!$A$3:$AP$245,地图配置辅助表!Z$1,FALSE)</f>
        <v>0</v>
      </c>
      <c r="AO89" s="9">
        <f>VLOOKUP($A89,地图配置辅助表!$A$3:$AP$245,地图配置辅助表!AA$1,FALSE)</f>
        <v>0</v>
      </c>
      <c r="AP89" s="9">
        <f>VLOOKUP($A89,地图配置辅助表!$A$3:$AP$245,地图配置辅助表!AB$1,FALSE)</f>
        <v>0</v>
      </c>
      <c r="AQ89" s="9">
        <f>VLOOKUP($A89,地图配置辅助表!$A$3:$AP$245,地图配置辅助表!AC$1,FALSE)</f>
        <v>0</v>
      </c>
      <c r="AR89" s="9">
        <f>VLOOKUP($A89,地图配置辅助表!$A$3:$AP$245,地图配置辅助表!AD$1,FALSE)</f>
        <v>0</v>
      </c>
      <c r="AS89" s="9">
        <f>VLOOKUP($A89,地图配置辅助表!$A$3:$AP$245,地图配置辅助表!AE$1,FALSE)</f>
        <v>0</v>
      </c>
      <c r="AT89" s="9">
        <f>VLOOKUP($A89,地图配置辅助表!$A$3:$AP$245,地图配置辅助表!AF$1,FALSE)</f>
        <v>4</v>
      </c>
      <c r="AU89" s="9">
        <f>VLOOKUP($A89,地图配置辅助表!$A$3:$AP$245,地图配置辅助表!AG$1,FALSE)</f>
        <v>330</v>
      </c>
      <c r="AV89" s="9">
        <f>VLOOKUP($A89,地图配置辅助表!$A$3:$AP$245,地图配置辅助表!AH$1,FALSE)</f>
        <v>331</v>
      </c>
      <c r="AW89" s="9">
        <f>VLOOKUP($A89,地图配置辅助表!$A$3:$AP$245,地图配置辅助表!AI$1,FALSE)</f>
        <v>332</v>
      </c>
      <c r="AX89" s="9">
        <f>VLOOKUP($A89,地图配置辅助表!$A$3:$AP$245,地图配置辅助表!AJ$1,FALSE)</f>
        <v>394</v>
      </c>
      <c r="AY89" s="9">
        <f>VLOOKUP($A89,地图配置辅助表!$A$3:$AP$245,地图配置辅助表!AK$1,FALSE)</f>
        <v>0</v>
      </c>
      <c r="AZ89" s="9">
        <f>VLOOKUP($A89,地图配置辅助表!$A$3:$AP$245,地图配置辅助表!AL$1,FALSE)</f>
        <v>0</v>
      </c>
      <c r="BA89" s="9">
        <f>VLOOKUP($A89,地图配置辅助表!$A$3:$AP$245,地图配置辅助表!AM$1,FALSE)</f>
        <v>0</v>
      </c>
      <c r="BB89" s="9">
        <f>VLOOKUP($A89,地图配置辅助表!$A$3:$AP$245,地图配置辅助表!AN$1,FALSE)</f>
        <v>0</v>
      </c>
      <c r="BC89" s="9">
        <f>VLOOKUP($A89,地图配置辅助表!$A$3:$AP$245,地图配置辅助表!AO$1,FALSE)</f>
        <v>0</v>
      </c>
      <c r="BD89" s="9">
        <f>VLOOKUP($A89,地图配置辅助表!$A$3:$AP$245,地图配置辅助表!AP$1,FALSE)</f>
        <v>0</v>
      </c>
    </row>
    <row r="90" spans="1:56" s="9" customFormat="1" x14ac:dyDescent="0.15">
      <c r="A90">
        <f>地图配置辅助表!A91</f>
        <v>1208</v>
      </c>
      <c r="B90" s="8">
        <f>地图配置辅助表!B91</f>
        <v>2</v>
      </c>
      <c r="C90" s="9">
        <f>地图配置辅助表!C91</f>
        <v>1</v>
      </c>
      <c r="D90" s="9" t="str">
        <f>地图配置辅助表!D91</f>
        <v>精英阿强</v>
      </c>
      <c r="E90" s="9" t="str">
        <f t="shared" si="0"/>
        <v>挑战精英阿强</v>
      </c>
      <c r="F90" s="9" t="s">
        <v>0</v>
      </c>
      <c r="G90" s="9">
        <v>29</v>
      </c>
      <c r="H90" s="9">
        <v>200</v>
      </c>
      <c r="I90" s="9">
        <v>140</v>
      </c>
      <c r="J90" s="9">
        <v>200</v>
      </c>
      <c r="K90" s="9">
        <v>140</v>
      </c>
      <c r="L90" s="9" t="s">
        <v>633</v>
      </c>
      <c r="M90" s="9">
        <v>0</v>
      </c>
      <c r="R90" s="9" t="s">
        <v>618</v>
      </c>
      <c r="S90" s="11">
        <f>VLOOKUP($A90,地图配置辅助表!$A$3:$AP$245,地图配置辅助表!E$1,FALSE)</f>
        <v>10</v>
      </c>
      <c r="T90" s="9">
        <f>VLOOKUP($A90,地图配置辅助表!$A$3:$AP$245,地图配置辅助表!F$1,FALSE)</f>
        <v>2254</v>
      </c>
      <c r="U90" s="9">
        <f>VLOOKUP($A90,地图配置辅助表!$A$3:$AP$245,地图配置辅助表!G$1,FALSE)</f>
        <v>1</v>
      </c>
      <c r="V90" s="9">
        <f>VLOOKUP($A90,地图配置辅助表!$A$3:$AP$245,地图配置辅助表!H$1,FALSE)</f>
        <v>1</v>
      </c>
      <c r="W90" s="9">
        <f>VLOOKUP($A90,地图配置辅助表!$A$3:$AP$245,地图配置辅助表!I$1,FALSE)</f>
        <v>6</v>
      </c>
      <c r="X90" s="9">
        <f>VLOOKUP($A90,地图配置辅助表!$A$3:$AP$245,地图配置辅助表!J$1,FALSE)</f>
        <v>0</v>
      </c>
      <c r="Y90" s="9">
        <f>VLOOKUP($A90,地图配置辅助表!$A$3:$AP$245,地图配置辅助表!K$1,FALSE)</f>
        <v>0</v>
      </c>
      <c r="Z90" s="9">
        <f>VLOOKUP($A90,地图配置辅助表!$A$3:$AP$245,地图配置辅助表!L$1,FALSE)</f>
        <v>0</v>
      </c>
      <c r="AA90" s="9">
        <f>VLOOKUP($A90,地图配置辅助表!$A$3:$AP$245,地图配置辅助表!M$1,FALSE)</f>
        <v>2</v>
      </c>
      <c r="AB90">
        <f>VLOOKUP($A90,地图配置辅助表!$A$3:$AP$245,地图配置辅助表!N$1,FALSE)</f>
        <v>1</v>
      </c>
      <c r="AC90" s="9">
        <f>VLOOKUP($A90,地图配置辅助表!$A$3:$AP$245,地图配置辅助表!O$1,FALSE)</f>
        <v>3</v>
      </c>
      <c r="AD90">
        <f>VLOOKUP($A90,地图配置辅助表!$A$3:$AP$245,地图配置辅助表!P$1,FALSE)</f>
        <v>1207</v>
      </c>
      <c r="AE90" s="8">
        <f>VLOOKUP($A90,地图配置辅助表!$A$3:$AP$245,地图配置辅助表!Q$1,FALSE)</f>
        <v>3</v>
      </c>
      <c r="AF90" s="8">
        <f>VLOOKUP($A90,地图配置辅助表!$A$3:$AP$245,地图配置辅助表!R$1,FALSE)</f>
        <v>1008</v>
      </c>
      <c r="AG90" s="11">
        <f>VLOOKUP($A90,地图配置辅助表!$A$3:$AP$245,地图配置辅助表!S$1,FALSE)</f>
        <v>501208</v>
      </c>
      <c r="AH90" s="11">
        <f>VLOOKUP($A90,地图配置辅助表!$A$3:$AP$245,地图配置辅助表!T$1,FALSE)</f>
        <v>218004</v>
      </c>
      <c r="AI90" s="9">
        <f>VLOOKUP($A90,地图配置辅助表!$A$3:$AP$245,地图配置辅助表!U$1,FALSE)</f>
        <v>2</v>
      </c>
      <c r="AJ90" s="9">
        <f>VLOOKUP($A90,地图配置辅助表!$A$3:$AP$245,地图配置辅助表!V$1,FALSE)</f>
        <v>218001</v>
      </c>
      <c r="AK90" s="9">
        <f>VLOOKUP($A90,地图配置辅助表!$A$3:$AP$245,地图配置辅助表!W$1,FALSE)</f>
        <v>218002</v>
      </c>
      <c r="AL90" s="9">
        <f>VLOOKUP($A90,地图配置辅助表!$A$3:$AP$245,地图配置辅助表!X$1,FALSE)</f>
        <v>0</v>
      </c>
      <c r="AM90" s="9">
        <f>VLOOKUP($A90,地图配置辅助表!$A$3:$AP$245,地图配置辅助表!Y$1,FALSE)</f>
        <v>0</v>
      </c>
      <c r="AN90" s="9">
        <f>VLOOKUP($A90,地图配置辅助表!$A$3:$AP$245,地图配置辅助表!Z$1,FALSE)</f>
        <v>0</v>
      </c>
      <c r="AO90" s="9">
        <f>VLOOKUP($A90,地图配置辅助表!$A$3:$AP$245,地图配置辅助表!AA$1,FALSE)</f>
        <v>0</v>
      </c>
      <c r="AP90" s="9">
        <f>VLOOKUP($A90,地图配置辅助表!$A$3:$AP$245,地图配置辅助表!AB$1,FALSE)</f>
        <v>0</v>
      </c>
      <c r="AQ90" s="9">
        <f>VLOOKUP($A90,地图配置辅助表!$A$3:$AP$245,地图配置辅助表!AC$1,FALSE)</f>
        <v>0</v>
      </c>
      <c r="AR90" s="9">
        <f>VLOOKUP($A90,地图配置辅助表!$A$3:$AP$245,地图配置辅助表!AD$1,FALSE)</f>
        <v>0</v>
      </c>
      <c r="AS90" s="9">
        <f>VLOOKUP($A90,地图配置辅助表!$A$3:$AP$245,地图配置辅助表!AE$1,FALSE)</f>
        <v>0</v>
      </c>
      <c r="AT90" s="9">
        <f>VLOOKUP($A90,地图配置辅助表!$A$3:$AP$245,地图配置辅助表!AF$1,FALSE)</f>
        <v>3</v>
      </c>
      <c r="AU90" s="9">
        <f>VLOOKUP($A90,地图配置辅助表!$A$3:$AP$245,地图配置辅助表!AG$1,FALSE)</f>
        <v>29</v>
      </c>
      <c r="AV90" s="9">
        <f>VLOOKUP($A90,地图配置辅助表!$A$3:$AP$245,地图配置辅助表!AH$1,FALSE)</f>
        <v>36</v>
      </c>
      <c r="AW90" s="9">
        <f>VLOOKUP($A90,地图配置辅助表!$A$3:$AP$245,地图配置辅助表!AI$1,FALSE)</f>
        <v>42</v>
      </c>
      <c r="AX90" s="9">
        <f>VLOOKUP($A90,地图配置辅助表!$A$3:$AP$245,地图配置辅助表!AJ$1,FALSE)</f>
        <v>0</v>
      </c>
      <c r="AY90" s="9">
        <f>VLOOKUP($A90,地图配置辅助表!$A$3:$AP$245,地图配置辅助表!AK$1,FALSE)</f>
        <v>0</v>
      </c>
      <c r="AZ90" s="9">
        <f>VLOOKUP($A90,地图配置辅助表!$A$3:$AP$245,地图配置辅助表!AL$1,FALSE)</f>
        <v>0</v>
      </c>
      <c r="BA90" s="9">
        <f>VLOOKUP($A90,地图配置辅助表!$A$3:$AP$245,地图配置辅助表!AM$1,FALSE)</f>
        <v>0</v>
      </c>
      <c r="BB90" s="9">
        <f>VLOOKUP($A90,地图配置辅助表!$A$3:$AP$245,地图配置辅助表!AN$1,FALSE)</f>
        <v>0</v>
      </c>
      <c r="BC90" s="9">
        <f>VLOOKUP($A90,地图配置辅助表!$A$3:$AP$245,地图配置辅助表!AO$1,FALSE)</f>
        <v>0</v>
      </c>
      <c r="BD90" s="9">
        <f>VLOOKUP($A90,地图配置辅助表!$A$3:$AP$245,地图配置辅助表!AP$1,FALSE)</f>
        <v>0</v>
      </c>
    </row>
    <row r="91" spans="1:56" s="9" customFormat="1" x14ac:dyDescent="0.15">
      <c r="A91">
        <f>地图配置辅助表!A92</f>
        <v>1209</v>
      </c>
      <c r="B91" s="8">
        <f>地图配置辅助表!B92</f>
        <v>2</v>
      </c>
      <c r="C91" s="9">
        <f>地图配置辅助表!C92</f>
        <v>1</v>
      </c>
      <c r="D91" s="9" t="str">
        <f>地图配置辅助表!D92</f>
        <v>精英靓坤</v>
      </c>
      <c r="E91" s="9" t="str">
        <f t="shared" si="0"/>
        <v>挑战精英靓坤</v>
      </c>
      <c r="F91" s="9" t="s">
        <v>0</v>
      </c>
      <c r="G91" s="9">
        <v>29</v>
      </c>
      <c r="H91" s="9">
        <v>200</v>
      </c>
      <c r="I91" s="9">
        <v>140</v>
      </c>
      <c r="J91" s="9">
        <v>200</v>
      </c>
      <c r="K91" s="9">
        <v>140</v>
      </c>
      <c r="L91" s="9" t="s">
        <v>634</v>
      </c>
      <c r="M91" s="9">
        <v>0</v>
      </c>
      <c r="R91" s="9" t="s">
        <v>619</v>
      </c>
      <c r="S91" s="11">
        <f>VLOOKUP($A91,地图配置辅助表!$A$3:$AP$245,地图配置辅助表!E$1,FALSE)</f>
        <v>10</v>
      </c>
      <c r="T91" s="9">
        <f>VLOOKUP($A91,地图配置辅助表!$A$3:$AP$245,地图配置辅助表!F$1,FALSE)</f>
        <v>2545</v>
      </c>
      <c r="U91" s="9">
        <f>VLOOKUP($A91,地图配置辅助表!$A$3:$AP$245,地图配置辅助表!G$1,FALSE)</f>
        <v>1</v>
      </c>
      <c r="V91" s="9">
        <f>VLOOKUP($A91,地图配置辅助表!$A$3:$AP$245,地图配置辅助表!H$1,FALSE)</f>
        <v>1</v>
      </c>
      <c r="W91" s="9">
        <f>VLOOKUP($A91,地图配置辅助表!$A$3:$AP$245,地图配置辅助表!I$1,FALSE)</f>
        <v>6</v>
      </c>
      <c r="X91" s="9">
        <f>VLOOKUP($A91,地图配置辅助表!$A$3:$AP$245,地图配置辅助表!J$1,FALSE)</f>
        <v>0</v>
      </c>
      <c r="Y91" s="9">
        <f>VLOOKUP($A91,地图配置辅助表!$A$3:$AP$245,地图配置辅助表!K$1,FALSE)</f>
        <v>0</v>
      </c>
      <c r="Z91" s="9">
        <f>VLOOKUP($A91,地图配置辅助表!$A$3:$AP$245,地图配置辅助表!L$1,FALSE)</f>
        <v>0</v>
      </c>
      <c r="AA91" s="9">
        <f>VLOOKUP($A91,地图配置辅助表!$A$3:$AP$245,地图配置辅助表!M$1,FALSE)</f>
        <v>2</v>
      </c>
      <c r="AB91">
        <f>VLOOKUP($A91,地图配置辅助表!$A$3:$AP$245,地图配置辅助表!N$1,FALSE)</f>
        <v>1</v>
      </c>
      <c r="AC91" s="9">
        <f>VLOOKUP($A91,地图配置辅助表!$A$3:$AP$245,地图配置辅助表!O$1,FALSE)</f>
        <v>3</v>
      </c>
      <c r="AD91">
        <f>VLOOKUP($A91,地图配置辅助表!$A$3:$AP$245,地图配置辅助表!P$1,FALSE)</f>
        <v>1208</v>
      </c>
      <c r="AE91" s="8">
        <f>VLOOKUP($A91,地图配置辅助表!$A$3:$AP$245,地图配置辅助表!Q$1,FALSE)</f>
        <v>3</v>
      </c>
      <c r="AF91" s="8">
        <f>VLOOKUP($A91,地图配置辅助表!$A$3:$AP$245,地图配置辅助表!R$1,FALSE)</f>
        <v>1009</v>
      </c>
      <c r="AG91" s="11">
        <f>VLOOKUP($A91,地图配置辅助表!$A$3:$AP$245,地图配置辅助表!S$1,FALSE)</f>
        <v>501209</v>
      </c>
      <c r="AH91" s="11">
        <f>VLOOKUP($A91,地图配置辅助表!$A$3:$AP$245,地图配置辅助表!T$1,FALSE)</f>
        <v>219004</v>
      </c>
      <c r="AI91" s="9">
        <f>VLOOKUP($A91,地图配置辅助表!$A$3:$AP$245,地图配置辅助表!U$1,FALSE)</f>
        <v>2</v>
      </c>
      <c r="AJ91" s="9">
        <f>VLOOKUP($A91,地图配置辅助表!$A$3:$AP$245,地图配置辅助表!V$1,FALSE)</f>
        <v>219001</v>
      </c>
      <c r="AK91" s="9">
        <f>VLOOKUP($A91,地图配置辅助表!$A$3:$AP$245,地图配置辅助表!W$1,FALSE)</f>
        <v>219002</v>
      </c>
      <c r="AL91" s="9">
        <f>VLOOKUP($A91,地图配置辅助表!$A$3:$AP$245,地图配置辅助表!X$1,FALSE)</f>
        <v>0</v>
      </c>
      <c r="AM91" s="9">
        <f>VLOOKUP($A91,地图配置辅助表!$A$3:$AP$245,地图配置辅助表!Y$1,FALSE)</f>
        <v>0</v>
      </c>
      <c r="AN91" s="9">
        <f>VLOOKUP($A91,地图配置辅助表!$A$3:$AP$245,地图配置辅助表!Z$1,FALSE)</f>
        <v>0</v>
      </c>
      <c r="AO91" s="9">
        <f>VLOOKUP($A91,地图配置辅助表!$A$3:$AP$245,地图配置辅助表!AA$1,FALSE)</f>
        <v>0</v>
      </c>
      <c r="AP91" s="9">
        <f>VLOOKUP($A91,地图配置辅助表!$A$3:$AP$245,地图配置辅助表!AB$1,FALSE)</f>
        <v>0</v>
      </c>
      <c r="AQ91" s="9">
        <f>VLOOKUP($A91,地图配置辅助表!$A$3:$AP$245,地图配置辅助表!AC$1,FALSE)</f>
        <v>0</v>
      </c>
      <c r="AR91" s="9">
        <f>VLOOKUP($A91,地图配置辅助表!$A$3:$AP$245,地图配置辅助表!AD$1,FALSE)</f>
        <v>0</v>
      </c>
      <c r="AS91" s="9">
        <f>VLOOKUP($A91,地图配置辅助表!$A$3:$AP$245,地图配置辅助表!AE$1,FALSE)</f>
        <v>0</v>
      </c>
      <c r="AT91" s="9">
        <f>VLOOKUP($A91,地图配置辅助表!$A$3:$AP$245,地图配置辅助表!AF$1,FALSE)</f>
        <v>3</v>
      </c>
      <c r="AU91" s="9">
        <f>VLOOKUP($A91,地图配置辅助表!$A$3:$AP$245,地图配置辅助表!AG$1,FALSE)</f>
        <v>31</v>
      </c>
      <c r="AV91" s="9">
        <f>VLOOKUP($A91,地图配置辅助表!$A$3:$AP$245,地图配置辅助表!AH$1,FALSE)</f>
        <v>37</v>
      </c>
      <c r="AW91" s="9">
        <f>VLOOKUP($A91,地图配置辅助表!$A$3:$AP$245,地图配置辅助表!AI$1,FALSE)</f>
        <v>43</v>
      </c>
      <c r="AX91" s="9">
        <f>VLOOKUP($A91,地图配置辅助表!$A$3:$AP$245,地图配置辅助表!AJ$1,FALSE)</f>
        <v>0</v>
      </c>
      <c r="AY91" s="9">
        <f>VLOOKUP($A91,地图配置辅助表!$A$3:$AP$245,地图配置辅助表!AK$1,FALSE)</f>
        <v>0</v>
      </c>
      <c r="AZ91" s="9">
        <f>VLOOKUP($A91,地图配置辅助表!$A$3:$AP$245,地图配置辅助表!AL$1,FALSE)</f>
        <v>0</v>
      </c>
      <c r="BA91" s="9">
        <f>VLOOKUP($A91,地图配置辅助表!$A$3:$AP$245,地图配置辅助表!AM$1,FALSE)</f>
        <v>0</v>
      </c>
      <c r="BB91" s="9">
        <f>VLOOKUP($A91,地图配置辅助表!$A$3:$AP$245,地图配置辅助表!AN$1,FALSE)</f>
        <v>0</v>
      </c>
      <c r="BC91" s="9">
        <f>VLOOKUP($A91,地图配置辅助表!$A$3:$AP$245,地图配置辅助表!AO$1,FALSE)</f>
        <v>0</v>
      </c>
      <c r="BD91" s="9">
        <f>VLOOKUP($A91,地图配置辅助表!$A$3:$AP$245,地图配置辅助表!AP$1,FALSE)</f>
        <v>0</v>
      </c>
    </row>
    <row r="92" spans="1:56" s="9" customFormat="1" x14ac:dyDescent="0.15">
      <c r="A92">
        <f>地图配置辅助表!A93</f>
        <v>2201</v>
      </c>
      <c r="B92" s="8">
        <f>地图配置辅助表!B93</f>
        <v>2</v>
      </c>
      <c r="C92" s="9">
        <f>地图配置辅助表!C93</f>
        <v>2</v>
      </c>
      <c r="D92" s="9" t="str">
        <f>地图配置辅助表!D93</f>
        <v>精英议员保镖</v>
      </c>
      <c r="E92" s="9" t="str">
        <f t="shared" si="0"/>
        <v>挑战精英议员保镖</v>
      </c>
      <c r="F92" s="9" t="s">
        <v>0</v>
      </c>
      <c r="G92" s="9">
        <v>29</v>
      </c>
      <c r="H92" s="9">
        <v>200</v>
      </c>
      <c r="I92" s="9">
        <v>140</v>
      </c>
      <c r="J92" s="9">
        <v>200</v>
      </c>
      <c r="K92" s="9">
        <v>140</v>
      </c>
      <c r="L92" s="9" t="s">
        <v>175</v>
      </c>
      <c r="M92" s="9">
        <v>0</v>
      </c>
      <c r="R92" s="9" t="s">
        <v>127</v>
      </c>
      <c r="S92" s="11">
        <f>VLOOKUP($A92,地图配置辅助表!$A$3:$AP$245,地图配置辅助表!E$1,FALSE)</f>
        <v>10</v>
      </c>
      <c r="T92" s="9">
        <f>VLOOKUP($A92,地图配置辅助表!$A$3:$AP$245,地图配置辅助表!F$1,FALSE)</f>
        <v>2527</v>
      </c>
      <c r="U92" s="9">
        <f>VLOOKUP($A92,地图配置辅助表!$A$3:$AP$245,地图配置辅助表!G$1,FALSE)</f>
        <v>1</v>
      </c>
      <c r="V92" s="9">
        <f>VLOOKUP($A92,地图配置辅助表!$A$3:$AP$245,地图配置辅助表!H$1,FALSE)</f>
        <v>1</v>
      </c>
      <c r="W92" s="9">
        <f>VLOOKUP($A92,地图配置辅助表!$A$3:$AP$245,地图配置辅助表!I$1,FALSE)</f>
        <v>6</v>
      </c>
      <c r="X92" s="9">
        <f>VLOOKUP($A92,地图配置辅助表!$A$3:$AP$245,地图配置辅助表!J$1,FALSE)</f>
        <v>0</v>
      </c>
      <c r="Y92" s="9">
        <f>VLOOKUP($A92,地图配置辅助表!$A$3:$AP$245,地图配置辅助表!K$1,FALSE)</f>
        <v>0</v>
      </c>
      <c r="Z92" s="9">
        <f>VLOOKUP($A92,地图配置辅助表!$A$3:$AP$245,地图配置辅助表!L$1,FALSE)</f>
        <v>0</v>
      </c>
      <c r="AA92" s="9">
        <f>VLOOKUP($A92,地图配置辅助表!$A$3:$AP$245,地图配置辅助表!M$1,FALSE)</f>
        <v>2</v>
      </c>
      <c r="AB92">
        <f>VLOOKUP($A92,地图配置辅助表!$A$3:$AP$245,地图配置辅助表!N$1,FALSE)</f>
        <v>1</v>
      </c>
      <c r="AC92" s="9">
        <f>VLOOKUP($A92,地图配置辅助表!$A$3:$AP$245,地图配置辅助表!O$1,FALSE)</f>
        <v>3</v>
      </c>
      <c r="AD92">
        <f>VLOOKUP($A92,地图配置辅助表!$A$3:$AP$245,地图配置辅助表!P$1,FALSE)</f>
        <v>1209</v>
      </c>
      <c r="AE92" s="8">
        <f>VLOOKUP($A92,地图配置辅助表!$A$3:$AP$245,地图配置辅助表!Q$1,FALSE)</f>
        <v>3</v>
      </c>
      <c r="AF92" s="8">
        <f>VLOOKUP($A92,地图配置辅助表!$A$3:$AP$245,地图配置辅助表!R$1,FALSE)</f>
        <v>2001</v>
      </c>
      <c r="AG92" s="11">
        <f>VLOOKUP($A92,地图配置辅助表!$A$3:$AP$245,地图配置辅助表!S$1,FALSE)</f>
        <v>502201</v>
      </c>
      <c r="AH92" s="11">
        <f>VLOOKUP($A92,地图配置辅助表!$A$3:$AP$245,地图配置辅助表!T$1,FALSE)</f>
        <v>221004</v>
      </c>
      <c r="AI92" s="9">
        <f>VLOOKUP($A92,地图配置辅助表!$A$3:$AP$245,地图配置辅助表!U$1,FALSE)</f>
        <v>2</v>
      </c>
      <c r="AJ92" s="9">
        <f>VLOOKUP($A92,地图配置辅助表!$A$3:$AP$245,地图配置辅助表!V$1,FALSE)</f>
        <v>221001</v>
      </c>
      <c r="AK92" s="9">
        <f>VLOOKUP($A92,地图配置辅助表!$A$3:$AP$245,地图配置辅助表!W$1,FALSE)</f>
        <v>221002</v>
      </c>
      <c r="AL92" s="9">
        <f>VLOOKUP($A92,地图配置辅助表!$A$3:$AP$245,地图配置辅助表!X$1,FALSE)</f>
        <v>0</v>
      </c>
      <c r="AM92" s="9">
        <f>VLOOKUP($A92,地图配置辅助表!$A$3:$AP$245,地图配置辅助表!Y$1,FALSE)</f>
        <v>0</v>
      </c>
      <c r="AN92" s="9">
        <f>VLOOKUP($A92,地图配置辅助表!$A$3:$AP$245,地图配置辅助表!Z$1,FALSE)</f>
        <v>0</v>
      </c>
      <c r="AO92" s="9">
        <f>VLOOKUP($A92,地图配置辅助表!$A$3:$AP$245,地图配置辅助表!AA$1,FALSE)</f>
        <v>0</v>
      </c>
      <c r="AP92" s="9">
        <f>VLOOKUP($A92,地图配置辅助表!$A$3:$AP$245,地图配置辅助表!AB$1,FALSE)</f>
        <v>0</v>
      </c>
      <c r="AQ92" s="9">
        <f>VLOOKUP($A92,地图配置辅助表!$A$3:$AP$245,地图配置辅助表!AC$1,FALSE)</f>
        <v>0</v>
      </c>
      <c r="AR92" s="9">
        <f>VLOOKUP($A92,地图配置辅助表!$A$3:$AP$245,地图配置辅助表!AD$1,FALSE)</f>
        <v>0</v>
      </c>
      <c r="AS92" s="9">
        <f>VLOOKUP($A92,地图配置辅助表!$A$3:$AP$245,地图配置辅助表!AE$1,FALSE)</f>
        <v>0</v>
      </c>
      <c r="AT92" s="9">
        <f>VLOOKUP($A92,地图配置辅助表!$A$3:$AP$245,地图配置辅助表!AF$1,FALSE)</f>
        <v>3</v>
      </c>
      <c r="AU92" s="9">
        <f>VLOOKUP($A92,地图配置辅助表!$A$3:$AP$245,地图配置辅助表!AG$1,FALSE)</f>
        <v>91</v>
      </c>
      <c r="AV92" s="9">
        <f>VLOOKUP($A92,地图配置辅助表!$A$3:$AP$245,地图配置辅助表!AH$1,FALSE)</f>
        <v>98</v>
      </c>
      <c r="AW92" s="9">
        <f>VLOOKUP($A92,地图配置辅助表!$A$3:$AP$245,地图配置辅助表!AI$1,FALSE)</f>
        <v>105</v>
      </c>
      <c r="AX92" s="9">
        <f>VLOOKUP($A92,地图配置辅助表!$A$3:$AP$245,地图配置辅助表!AJ$1,FALSE)</f>
        <v>0</v>
      </c>
      <c r="AY92" s="9">
        <f>VLOOKUP($A92,地图配置辅助表!$A$3:$AP$245,地图配置辅助表!AK$1,FALSE)</f>
        <v>0</v>
      </c>
      <c r="AZ92" s="9">
        <f>VLOOKUP($A92,地图配置辅助表!$A$3:$AP$245,地图配置辅助表!AL$1,FALSE)</f>
        <v>0</v>
      </c>
      <c r="BA92" s="9">
        <f>VLOOKUP($A92,地图配置辅助表!$A$3:$AP$245,地图配置辅助表!AM$1,FALSE)</f>
        <v>0</v>
      </c>
      <c r="BB92" s="9">
        <f>VLOOKUP($A92,地图配置辅助表!$A$3:$AP$245,地图配置辅助表!AN$1,FALSE)</f>
        <v>0</v>
      </c>
      <c r="BC92" s="9">
        <f>VLOOKUP($A92,地图配置辅助表!$A$3:$AP$245,地图配置辅助表!AO$1,FALSE)</f>
        <v>0</v>
      </c>
      <c r="BD92" s="9">
        <f>VLOOKUP($A92,地图配置辅助表!$A$3:$AP$245,地图配置辅助表!AP$1,FALSE)</f>
        <v>0</v>
      </c>
    </row>
    <row r="93" spans="1:56" s="9" customFormat="1" x14ac:dyDescent="0.15">
      <c r="A93">
        <f>地图配置辅助表!A94</f>
        <v>2202</v>
      </c>
      <c r="B93" s="8">
        <f>地图配置辅助表!B94</f>
        <v>2</v>
      </c>
      <c r="C93" s="9">
        <f>地图配置辅助表!C94</f>
        <v>2</v>
      </c>
      <c r="D93" s="9" t="str">
        <f>地图配置辅助表!D94</f>
        <v>精英张议员</v>
      </c>
      <c r="E93" s="9" t="str">
        <f t="shared" si="0"/>
        <v>挑战精英张议员</v>
      </c>
      <c r="F93" s="9" t="s">
        <v>0</v>
      </c>
      <c r="G93" s="9">
        <v>29</v>
      </c>
      <c r="H93" s="9">
        <v>200</v>
      </c>
      <c r="I93" s="9">
        <v>140</v>
      </c>
      <c r="J93" s="9">
        <v>200</v>
      </c>
      <c r="K93" s="9">
        <v>140</v>
      </c>
      <c r="L93" s="9" t="s">
        <v>176</v>
      </c>
      <c r="M93" s="9">
        <v>0</v>
      </c>
      <c r="R93" s="9" t="s">
        <v>128</v>
      </c>
      <c r="S93" s="11">
        <f>VLOOKUP($A93,地图配置辅助表!$A$3:$AP$245,地图配置辅助表!E$1,FALSE)</f>
        <v>10</v>
      </c>
      <c r="T93" s="9">
        <f>VLOOKUP($A93,地图配置辅助表!$A$3:$AP$245,地图配置辅助表!F$1,FALSE)</f>
        <v>2860</v>
      </c>
      <c r="U93" s="9">
        <f>VLOOKUP($A93,地图配置辅助表!$A$3:$AP$245,地图配置辅助表!G$1,FALSE)</f>
        <v>1</v>
      </c>
      <c r="V93" s="9">
        <f>VLOOKUP($A93,地图配置辅助表!$A$3:$AP$245,地图配置辅助表!H$1,FALSE)</f>
        <v>1</v>
      </c>
      <c r="W93" s="9">
        <f>VLOOKUP($A93,地图配置辅助表!$A$3:$AP$245,地图配置辅助表!I$1,FALSE)</f>
        <v>6</v>
      </c>
      <c r="X93" s="9">
        <f>VLOOKUP($A93,地图配置辅助表!$A$3:$AP$245,地图配置辅助表!J$1,FALSE)</f>
        <v>0</v>
      </c>
      <c r="Y93" s="9">
        <f>VLOOKUP($A93,地图配置辅助表!$A$3:$AP$245,地图配置辅助表!K$1,FALSE)</f>
        <v>0</v>
      </c>
      <c r="Z93" s="9">
        <f>VLOOKUP($A93,地图配置辅助表!$A$3:$AP$245,地图配置辅助表!L$1,FALSE)</f>
        <v>0</v>
      </c>
      <c r="AA93" s="9">
        <f>VLOOKUP($A93,地图配置辅助表!$A$3:$AP$245,地图配置辅助表!M$1,FALSE)</f>
        <v>2</v>
      </c>
      <c r="AB93">
        <f>VLOOKUP($A93,地图配置辅助表!$A$3:$AP$245,地图配置辅助表!N$1,FALSE)</f>
        <v>1</v>
      </c>
      <c r="AC93" s="9">
        <f>VLOOKUP($A93,地图配置辅助表!$A$3:$AP$245,地图配置辅助表!O$1,FALSE)</f>
        <v>3</v>
      </c>
      <c r="AD93">
        <f>VLOOKUP($A93,地图配置辅助表!$A$3:$AP$245,地图配置辅助表!P$1,FALSE)</f>
        <v>2201</v>
      </c>
      <c r="AE93" s="8">
        <f>VLOOKUP($A93,地图配置辅助表!$A$3:$AP$245,地图配置辅助表!Q$1,FALSE)</f>
        <v>3</v>
      </c>
      <c r="AF93" s="8">
        <f>VLOOKUP($A93,地图配置辅助表!$A$3:$AP$245,地图配置辅助表!R$1,FALSE)</f>
        <v>2002</v>
      </c>
      <c r="AG93" s="11">
        <f>VLOOKUP($A93,地图配置辅助表!$A$3:$AP$245,地图配置辅助表!S$1,FALSE)</f>
        <v>502202</v>
      </c>
      <c r="AH93" s="11">
        <f>VLOOKUP($A93,地图配置辅助表!$A$3:$AP$245,地图配置辅助表!T$1,FALSE)</f>
        <v>222004</v>
      </c>
      <c r="AI93" s="9">
        <f>VLOOKUP($A93,地图配置辅助表!$A$3:$AP$245,地图配置辅助表!U$1,FALSE)</f>
        <v>2</v>
      </c>
      <c r="AJ93" s="9">
        <f>VLOOKUP($A93,地图配置辅助表!$A$3:$AP$245,地图配置辅助表!V$1,FALSE)</f>
        <v>222001</v>
      </c>
      <c r="AK93" s="9">
        <f>VLOOKUP($A93,地图配置辅助表!$A$3:$AP$245,地图配置辅助表!W$1,FALSE)</f>
        <v>222002</v>
      </c>
      <c r="AL93" s="9">
        <f>VLOOKUP($A93,地图配置辅助表!$A$3:$AP$245,地图配置辅助表!X$1,FALSE)</f>
        <v>0</v>
      </c>
      <c r="AM93" s="9">
        <f>VLOOKUP($A93,地图配置辅助表!$A$3:$AP$245,地图配置辅助表!Y$1,FALSE)</f>
        <v>0</v>
      </c>
      <c r="AN93" s="9">
        <f>VLOOKUP($A93,地图配置辅助表!$A$3:$AP$245,地图配置辅助表!Z$1,FALSE)</f>
        <v>0</v>
      </c>
      <c r="AO93" s="9">
        <f>VLOOKUP($A93,地图配置辅助表!$A$3:$AP$245,地图配置辅助表!AA$1,FALSE)</f>
        <v>0</v>
      </c>
      <c r="AP93" s="9">
        <f>VLOOKUP($A93,地图配置辅助表!$A$3:$AP$245,地图配置辅助表!AB$1,FALSE)</f>
        <v>0</v>
      </c>
      <c r="AQ93" s="9">
        <f>VLOOKUP($A93,地图配置辅助表!$A$3:$AP$245,地图配置辅助表!AC$1,FALSE)</f>
        <v>0</v>
      </c>
      <c r="AR93" s="9">
        <f>VLOOKUP($A93,地图配置辅助表!$A$3:$AP$245,地图配置辅助表!AD$1,FALSE)</f>
        <v>0</v>
      </c>
      <c r="AS93" s="9">
        <f>VLOOKUP($A93,地图配置辅助表!$A$3:$AP$245,地图配置辅助表!AE$1,FALSE)</f>
        <v>0</v>
      </c>
      <c r="AT93" s="9">
        <f>VLOOKUP($A93,地图配置辅助表!$A$3:$AP$245,地图配置辅助表!AF$1,FALSE)</f>
        <v>3</v>
      </c>
      <c r="AU93" s="9">
        <f>VLOOKUP($A93,地图配置辅助表!$A$3:$AP$245,地图配置辅助表!AG$1,FALSE)</f>
        <v>78</v>
      </c>
      <c r="AV93" s="9">
        <f>VLOOKUP($A93,地图配置辅助表!$A$3:$AP$245,地图配置辅助表!AH$1,FALSE)</f>
        <v>79</v>
      </c>
      <c r="AW93" s="9">
        <f>VLOOKUP($A93,地图配置辅助表!$A$3:$AP$245,地图配置辅助表!AI$1,FALSE)</f>
        <v>80</v>
      </c>
      <c r="AX93" s="9">
        <f>VLOOKUP($A93,地图配置辅助表!$A$3:$AP$245,地图配置辅助表!AJ$1,FALSE)</f>
        <v>0</v>
      </c>
      <c r="AY93" s="9">
        <f>VLOOKUP($A93,地图配置辅助表!$A$3:$AP$245,地图配置辅助表!AK$1,FALSE)</f>
        <v>0</v>
      </c>
      <c r="AZ93" s="9">
        <f>VLOOKUP($A93,地图配置辅助表!$A$3:$AP$245,地图配置辅助表!AL$1,FALSE)</f>
        <v>0</v>
      </c>
      <c r="BA93" s="9">
        <f>VLOOKUP($A93,地图配置辅助表!$A$3:$AP$245,地图配置辅助表!AM$1,FALSE)</f>
        <v>0</v>
      </c>
      <c r="BB93" s="9">
        <f>VLOOKUP($A93,地图配置辅助表!$A$3:$AP$245,地图配置辅助表!AN$1,FALSE)</f>
        <v>0</v>
      </c>
      <c r="BC93" s="9">
        <f>VLOOKUP($A93,地图配置辅助表!$A$3:$AP$245,地图配置辅助表!AO$1,FALSE)</f>
        <v>0</v>
      </c>
      <c r="BD93" s="9">
        <f>VLOOKUP($A93,地图配置辅助表!$A$3:$AP$245,地图配置辅助表!AP$1,FALSE)</f>
        <v>0</v>
      </c>
    </row>
    <row r="94" spans="1:56" s="9" customFormat="1" x14ac:dyDescent="0.15">
      <c r="A94">
        <f>地图配置辅助表!A95</f>
        <v>2203</v>
      </c>
      <c r="B94" s="8">
        <f>地图配置辅助表!B95</f>
        <v>2</v>
      </c>
      <c r="C94" s="9">
        <f>地图配置辅助表!C95</f>
        <v>2</v>
      </c>
      <c r="D94" s="9" t="str">
        <f>地图配置辅助表!D95</f>
        <v>精英枪手</v>
      </c>
      <c r="E94" s="9" t="str">
        <f t="shared" si="0"/>
        <v>挑战精英枪手</v>
      </c>
      <c r="F94" s="9" t="s">
        <v>0</v>
      </c>
      <c r="G94" s="9">
        <v>29</v>
      </c>
      <c r="H94" s="9">
        <v>200</v>
      </c>
      <c r="I94" s="9">
        <v>140</v>
      </c>
      <c r="J94" s="9">
        <v>200</v>
      </c>
      <c r="K94" s="9">
        <v>140</v>
      </c>
      <c r="L94" s="9" t="s">
        <v>177</v>
      </c>
      <c r="M94" s="9">
        <v>0</v>
      </c>
      <c r="R94" s="9" t="s">
        <v>129</v>
      </c>
      <c r="S94" s="11">
        <f>VLOOKUP($A94,地图配置辅助表!$A$3:$AP$245,地图配置辅助表!E$1,FALSE)</f>
        <v>10</v>
      </c>
      <c r="T94" s="9">
        <f>VLOOKUP($A94,地图配置辅助表!$A$3:$AP$245,地图配置辅助表!F$1,FALSE)</f>
        <v>3238</v>
      </c>
      <c r="U94" s="9">
        <f>VLOOKUP($A94,地图配置辅助表!$A$3:$AP$245,地图配置辅助表!G$1,FALSE)</f>
        <v>1</v>
      </c>
      <c r="V94" s="9">
        <f>VLOOKUP($A94,地图配置辅助表!$A$3:$AP$245,地图配置辅助表!H$1,FALSE)</f>
        <v>1</v>
      </c>
      <c r="W94" s="9">
        <f>VLOOKUP($A94,地图配置辅助表!$A$3:$AP$245,地图配置辅助表!I$1,FALSE)</f>
        <v>6</v>
      </c>
      <c r="X94" s="9">
        <f>VLOOKUP($A94,地图配置辅助表!$A$3:$AP$245,地图配置辅助表!J$1,FALSE)</f>
        <v>0</v>
      </c>
      <c r="Y94" s="9">
        <f>VLOOKUP($A94,地图配置辅助表!$A$3:$AP$245,地图配置辅助表!K$1,FALSE)</f>
        <v>0</v>
      </c>
      <c r="Z94" s="9">
        <f>VLOOKUP($A94,地图配置辅助表!$A$3:$AP$245,地图配置辅助表!L$1,FALSE)</f>
        <v>0</v>
      </c>
      <c r="AA94" s="9">
        <f>VLOOKUP($A94,地图配置辅助表!$A$3:$AP$245,地图配置辅助表!M$1,FALSE)</f>
        <v>2</v>
      </c>
      <c r="AB94">
        <f>VLOOKUP($A94,地图配置辅助表!$A$3:$AP$245,地图配置辅助表!N$1,FALSE)</f>
        <v>1</v>
      </c>
      <c r="AC94" s="9">
        <f>VLOOKUP($A94,地图配置辅助表!$A$3:$AP$245,地图配置辅助表!O$1,FALSE)</f>
        <v>3</v>
      </c>
      <c r="AD94">
        <f>VLOOKUP($A94,地图配置辅助表!$A$3:$AP$245,地图配置辅助表!P$1,FALSE)</f>
        <v>2202</v>
      </c>
      <c r="AE94" s="8">
        <f>VLOOKUP($A94,地图配置辅助表!$A$3:$AP$245,地图配置辅助表!Q$1,FALSE)</f>
        <v>3</v>
      </c>
      <c r="AF94" s="8">
        <f>VLOOKUP($A94,地图配置辅助表!$A$3:$AP$245,地图配置辅助表!R$1,FALSE)</f>
        <v>2003</v>
      </c>
      <c r="AG94" s="11">
        <f>VLOOKUP($A94,地图配置辅助表!$A$3:$AP$245,地图配置辅助表!S$1,FALSE)</f>
        <v>502203</v>
      </c>
      <c r="AH94" s="11">
        <f>VLOOKUP($A94,地图配置辅助表!$A$3:$AP$245,地图配置辅助表!T$1,FALSE)</f>
        <v>223004</v>
      </c>
      <c r="AI94" s="9">
        <f>VLOOKUP($A94,地图配置辅助表!$A$3:$AP$245,地图配置辅助表!U$1,FALSE)</f>
        <v>2</v>
      </c>
      <c r="AJ94" s="9">
        <f>VLOOKUP($A94,地图配置辅助表!$A$3:$AP$245,地图配置辅助表!V$1,FALSE)</f>
        <v>223001</v>
      </c>
      <c r="AK94" s="9">
        <f>VLOOKUP($A94,地图配置辅助表!$A$3:$AP$245,地图配置辅助表!W$1,FALSE)</f>
        <v>223002</v>
      </c>
      <c r="AL94" s="9">
        <f>VLOOKUP($A94,地图配置辅助表!$A$3:$AP$245,地图配置辅助表!X$1,FALSE)</f>
        <v>0</v>
      </c>
      <c r="AM94" s="9">
        <f>VLOOKUP($A94,地图配置辅助表!$A$3:$AP$245,地图配置辅助表!Y$1,FALSE)</f>
        <v>0</v>
      </c>
      <c r="AN94" s="9">
        <f>VLOOKUP($A94,地图配置辅助表!$A$3:$AP$245,地图配置辅助表!Z$1,FALSE)</f>
        <v>0</v>
      </c>
      <c r="AO94" s="9">
        <f>VLOOKUP($A94,地图配置辅助表!$A$3:$AP$245,地图配置辅助表!AA$1,FALSE)</f>
        <v>0</v>
      </c>
      <c r="AP94" s="9">
        <f>VLOOKUP($A94,地图配置辅助表!$A$3:$AP$245,地图配置辅助表!AB$1,FALSE)</f>
        <v>0</v>
      </c>
      <c r="AQ94" s="9">
        <f>VLOOKUP($A94,地图配置辅助表!$A$3:$AP$245,地图配置辅助表!AC$1,FALSE)</f>
        <v>0</v>
      </c>
      <c r="AR94" s="9">
        <f>VLOOKUP($A94,地图配置辅助表!$A$3:$AP$245,地图配置辅助表!AD$1,FALSE)</f>
        <v>0</v>
      </c>
      <c r="AS94" s="9">
        <f>VLOOKUP($A94,地图配置辅助表!$A$3:$AP$245,地图配置辅助表!AE$1,FALSE)</f>
        <v>0</v>
      </c>
      <c r="AT94" s="9">
        <f>VLOOKUP($A94,地图配置辅助表!$A$3:$AP$245,地图配置辅助表!AF$1,FALSE)</f>
        <v>3</v>
      </c>
      <c r="AU94" s="9">
        <f>VLOOKUP($A94,地图配置辅助表!$A$3:$AP$245,地图配置辅助表!AG$1,FALSE)</f>
        <v>81</v>
      </c>
      <c r="AV94" s="9">
        <f>VLOOKUP($A94,地图配置辅助表!$A$3:$AP$245,地图配置辅助表!AH$1,FALSE)</f>
        <v>89</v>
      </c>
      <c r="AW94" s="9">
        <f>VLOOKUP($A94,地图配置辅助表!$A$3:$AP$245,地图配置辅助表!AI$1,FALSE)</f>
        <v>96</v>
      </c>
      <c r="AX94" s="9">
        <f>VLOOKUP($A94,地图配置辅助表!$A$3:$AP$245,地图配置辅助表!AJ$1,FALSE)</f>
        <v>0</v>
      </c>
      <c r="AY94" s="9">
        <f>VLOOKUP($A94,地图配置辅助表!$A$3:$AP$245,地图配置辅助表!AK$1,FALSE)</f>
        <v>0</v>
      </c>
      <c r="AZ94" s="9">
        <f>VLOOKUP($A94,地图配置辅助表!$A$3:$AP$245,地图配置辅助表!AL$1,FALSE)</f>
        <v>0</v>
      </c>
      <c r="BA94" s="9">
        <f>VLOOKUP($A94,地图配置辅助表!$A$3:$AP$245,地图配置辅助表!AM$1,FALSE)</f>
        <v>0</v>
      </c>
      <c r="BB94" s="9">
        <f>VLOOKUP($A94,地图配置辅助表!$A$3:$AP$245,地图配置辅助表!AN$1,FALSE)</f>
        <v>0</v>
      </c>
      <c r="BC94" s="9">
        <f>VLOOKUP($A94,地图配置辅助表!$A$3:$AP$245,地图配置辅助表!AO$1,FALSE)</f>
        <v>0</v>
      </c>
      <c r="BD94" s="9">
        <f>VLOOKUP($A94,地图配置辅助表!$A$3:$AP$245,地图配置辅助表!AP$1,FALSE)</f>
        <v>0</v>
      </c>
    </row>
    <row r="95" spans="1:56" s="9" customFormat="1" x14ac:dyDescent="0.15">
      <c r="A95">
        <f>地图配置辅助表!A96</f>
        <v>2204</v>
      </c>
      <c r="B95" s="8">
        <f>地图配置辅助表!B96</f>
        <v>2</v>
      </c>
      <c r="C95" s="9">
        <f>地图配置辅助表!C96</f>
        <v>2</v>
      </c>
      <c r="D95" s="9" t="str">
        <f>地图配置辅助表!D96</f>
        <v>精英大飞手下</v>
      </c>
      <c r="E95" s="9" t="str">
        <f t="shared" si="0"/>
        <v>挑战精英大飞手下</v>
      </c>
      <c r="F95" s="9" t="s">
        <v>0</v>
      </c>
      <c r="G95" s="9">
        <v>29</v>
      </c>
      <c r="H95" s="9">
        <v>200</v>
      </c>
      <c r="I95" s="9">
        <v>140</v>
      </c>
      <c r="J95" s="9">
        <v>200</v>
      </c>
      <c r="K95" s="9">
        <v>140</v>
      </c>
      <c r="L95" s="9" t="s">
        <v>178</v>
      </c>
      <c r="M95" s="9">
        <v>0</v>
      </c>
      <c r="R95" s="9" t="s">
        <v>130</v>
      </c>
      <c r="S95" s="11">
        <f>VLOOKUP($A95,地图配置辅助表!$A$3:$AP$245,地图配置辅助表!E$1,FALSE)</f>
        <v>10</v>
      </c>
      <c r="T95" s="9">
        <f>VLOOKUP($A95,地图配置辅助表!$A$3:$AP$245,地图配置辅助表!F$1,FALSE)</f>
        <v>3614</v>
      </c>
      <c r="U95" s="9">
        <f>VLOOKUP($A95,地图配置辅助表!$A$3:$AP$245,地图配置辅助表!G$1,FALSE)</f>
        <v>1</v>
      </c>
      <c r="V95" s="9">
        <f>VLOOKUP($A95,地图配置辅助表!$A$3:$AP$245,地图配置辅助表!H$1,FALSE)</f>
        <v>1</v>
      </c>
      <c r="W95" s="9">
        <f>VLOOKUP($A95,地图配置辅助表!$A$3:$AP$245,地图配置辅助表!I$1,FALSE)</f>
        <v>6</v>
      </c>
      <c r="X95" s="9">
        <f>VLOOKUP($A95,地图配置辅助表!$A$3:$AP$245,地图配置辅助表!J$1,FALSE)</f>
        <v>0</v>
      </c>
      <c r="Y95" s="9">
        <f>VLOOKUP($A95,地图配置辅助表!$A$3:$AP$245,地图配置辅助表!K$1,FALSE)</f>
        <v>0</v>
      </c>
      <c r="Z95" s="9">
        <f>VLOOKUP($A95,地图配置辅助表!$A$3:$AP$245,地图配置辅助表!L$1,FALSE)</f>
        <v>0</v>
      </c>
      <c r="AA95" s="9">
        <f>VLOOKUP($A95,地图配置辅助表!$A$3:$AP$245,地图配置辅助表!M$1,FALSE)</f>
        <v>2</v>
      </c>
      <c r="AB95">
        <f>VLOOKUP($A95,地图配置辅助表!$A$3:$AP$245,地图配置辅助表!N$1,FALSE)</f>
        <v>1</v>
      </c>
      <c r="AC95" s="9">
        <f>VLOOKUP($A95,地图配置辅助表!$A$3:$AP$245,地图配置辅助表!O$1,FALSE)</f>
        <v>3</v>
      </c>
      <c r="AD95">
        <f>VLOOKUP($A95,地图配置辅助表!$A$3:$AP$245,地图配置辅助表!P$1,FALSE)</f>
        <v>2203</v>
      </c>
      <c r="AE95" s="8">
        <f>VLOOKUP($A95,地图配置辅助表!$A$3:$AP$245,地图配置辅助表!Q$1,FALSE)</f>
        <v>3</v>
      </c>
      <c r="AF95" s="8">
        <f>VLOOKUP($A95,地图配置辅助表!$A$3:$AP$245,地图配置辅助表!R$1,FALSE)</f>
        <v>2004</v>
      </c>
      <c r="AG95" s="11">
        <f>VLOOKUP($A95,地图配置辅助表!$A$3:$AP$245,地图配置辅助表!S$1,FALSE)</f>
        <v>502204</v>
      </c>
      <c r="AH95" s="11">
        <f>VLOOKUP($A95,地图配置辅助表!$A$3:$AP$245,地图配置辅助表!T$1,FALSE)</f>
        <v>224004</v>
      </c>
      <c r="AI95" s="9">
        <f>VLOOKUP($A95,地图配置辅助表!$A$3:$AP$245,地图配置辅助表!U$1,FALSE)</f>
        <v>2</v>
      </c>
      <c r="AJ95" s="9">
        <f>VLOOKUP($A95,地图配置辅助表!$A$3:$AP$245,地图配置辅助表!V$1,FALSE)</f>
        <v>224001</v>
      </c>
      <c r="AK95" s="9">
        <f>VLOOKUP($A95,地图配置辅助表!$A$3:$AP$245,地图配置辅助表!W$1,FALSE)</f>
        <v>224002</v>
      </c>
      <c r="AL95" s="9">
        <f>VLOOKUP($A95,地图配置辅助表!$A$3:$AP$245,地图配置辅助表!X$1,FALSE)</f>
        <v>0</v>
      </c>
      <c r="AM95" s="9">
        <f>VLOOKUP($A95,地图配置辅助表!$A$3:$AP$245,地图配置辅助表!Y$1,FALSE)</f>
        <v>0</v>
      </c>
      <c r="AN95" s="9">
        <f>VLOOKUP($A95,地图配置辅助表!$A$3:$AP$245,地图配置辅助表!Z$1,FALSE)</f>
        <v>0</v>
      </c>
      <c r="AO95" s="9">
        <f>VLOOKUP($A95,地图配置辅助表!$A$3:$AP$245,地图配置辅助表!AA$1,FALSE)</f>
        <v>0</v>
      </c>
      <c r="AP95" s="9">
        <f>VLOOKUP($A95,地图配置辅助表!$A$3:$AP$245,地图配置辅助表!AB$1,FALSE)</f>
        <v>0</v>
      </c>
      <c r="AQ95" s="9">
        <f>VLOOKUP($A95,地图配置辅助表!$A$3:$AP$245,地图配置辅助表!AC$1,FALSE)</f>
        <v>0</v>
      </c>
      <c r="AR95" s="9">
        <f>VLOOKUP($A95,地图配置辅助表!$A$3:$AP$245,地图配置辅助表!AD$1,FALSE)</f>
        <v>0</v>
      </c>
      <c r="AS95" s="9">
        <f>VLOOKUP($A95,地图配置辅助表!$A$3:$AP$245,地图配置辅助表!AE$1,FALSE)</f>
        <v>0</v>
      </c>
      <c r="AT95" s="9">
        <f>VLOOKUP($A95,地图配置辅助表!$A$3:$AP$245,地图配置辅助表!AF$1,FALSE)</f>
        <v>3</v>
      </c>
      <c r="AU95" s="9">
        <f>VLOOKUP($A95,地图配置辅助表!$A$3:$AP$245,地图配置辅助表!AG$1,FALSE)</f>
        <v>65</v>
      </c>
      <c r="AV95" s="9">
        <f>VLOOKUP($A95,地图配置辅助表!$A$3:$AP$245,地图配置辅助表!AH$1,FALSE)</f>
        <v>66</v>
      </c>
      <c r="AW95" s="9">
        <f>VLOOKUP($A95,地图配置辅助表!$A$3:$AP$245,地图配置辅助表!AI$1,FALSE)</f>
        <v>67</v>
      </c>
      <c r="AX95" s="9">
        <f>VLOOKUP($A95,地图配置辅助表!$A$3:$AP$245,地图配置辅助表!AJ$1,FALSE)</f>
        <v>0</v>
      </c>
      <c r="AY95" s="9">
        <f>VLOOKUP($A95,地图配置辅助表!$A$3:$AP$245,地图配置辅助表!AK$1,FALSE)</f>
        <v>0</v>
      </c>
      <c r="AZ95" s="9">
        <f>VLOOKUP($A95,地图配置辅助表!$A$3:$AP$245,地图配置辅助表!AL$1,FALSE)</f>
        <v>0</v>
      </c>
      <c r="BA95" s="9">
        <f>VLOOKUP($A95,地图配置辅助表!$A$3:$AP$245,地图配置辅助表!AM$1,FALSE)</f>
        <v>0</v>
      </c>
      <c r="BB95" s="9">
        <f>VLOOKUP($A95,地图配置辅助表!$A$3:$AP$245,地图配置辅助表!AN$1,FALSE)</f>
        <v>0</v>
      </c>
      <c r="BC95" s="9">
        <f>VLOOKUP($A95,地图配置辅助表!$A$3:$AP$245,地图配置辅助表!AO$1,FALSE)</f>
        <v>0</v>
      </c>
      <c r="BD95" s="9">
        <f>VLOOKUP($A95,地图配置辅助表!$A$3:$AP$245,地图配置辅助表!AP$1,FALSE)</f>
        <v>0</v>
      </c>
    </row>
    <row r="96" spans="1:56" s="9" customFormat="1" x14ac:dyDescent="0.15">
      <c r="A96">
        <f>地图配置辅助表!A97</f>
        <v>2205</v>
      </c>
      <c r="B96" s="8">
        <f>地图配置辅助表!B97</f>
        <v>2</v>
      </c>
      <c r="C96" s="9">
        <f>地图配置辅助表!C97</f>
        <v>2</v>
      </c>
      <c r="D96" s="9" t="str">
        <f>地图配置辅助表!D97</f>
        <v>精英大飞弟子</v>
      </c>
      <c r="E96" s="9" t="str">
        <f t="shared" si="0"/>
        <v>挑战精英大飞弟子</v>
      </c>
      <c r="F96" s="9" t="s">
        <v>0</v>
      </c>
      <c r="G96" s="9">
        <v>29</v>
      </c>
      <c r="H96" s="9">
        <v>200</v>
      </c>
      <c r="I96" s="9">
        <v>140</v>
      </c>
      <c r="J96" s="9">
        <v>200</v>
      </c>
      <c r="K96" s="9">
        <v>140</v>
      </c>
      <c r="L96" s="9" t="s">
        <v>179</v>
      </c>
      <c r="M96" s="9">
        <v>0</v>
      </c>
      <c r="R96" s="9" t="s">
        <v>131</v>
      </c>
      <c r="S96" s="11">
        <f>VLOOKUP($A96,地图配置辅助表!$A$3:$AP$245,地图配置辅助表!E$1,FALSE)</f>
        <v>10</v>
      </c>
      <c r="T96" s="9">
        <f>VLOOKUP($A96,地图配置辅助表!$A$3:$AP$245,地图配置辅助表!F$1,FALSE)</f>
        <v>4093</v>
      </c>
      <c r="U96" s="9">
        <f>VLOOKUP($A96,地图配置辅助表!$A$3:$AP$245,地图配置辅助表!G$1,FALSE)</f>
        <v>1</v>
      </c>
      <c r="V96" s="9">
        <f>VLOOKUP($A96,地图配置辅助表!$A$3:$AP$245,地图配置辅助表!H$1,FALSE)</f>
        <v>1</v>
      </c>
      <c r="W96" s="9">
        <f>VLOOKUP($A96,地图配置辅助表!$A$3:$AP$245,地图配置辅助表!I$1,FALSE)</f>
        <v>6</v>
      </c>
      <c r="X96" s="9">
        <f>VLOOKUP($A96,地图配置辅助表!$A$3:$AP$245,地图配置辅助表!J$1,FALSE)</f>
        <v>0</v>
      </c>
      <c r="Y96" s="9">
        <f>VLOOKUP($A96,地图配置辅助表!$A$3:$AP$245,地图配置辅助表!K$1,FALSE)</f>
        <v>0</v>
      </c>
      <c r="Z96" s="9">
        <f>VLOOKUP($A96,地图配置辅助表!$A$3:$AP$245,地图配置辅助表!L$1,FALSE)</f>
        <v>0</v>
      </c>
      <c r="AA96" s="9">
        <f>VLOOKUP($A96,地图配置辅助表!$A$3:$AP$245,地图配置辅助表!M$1,FALSE)</f>
        <v>2</v>
      </c>
      <c r="AB96">
        <f>VLOOKUP($A96,地图配置辅助表!$A$3:$AP$245,地图配置辅助表!N$1,FALSE)</f>
        <v>1</v>
      </c>
      <c r="AC96" s="9">
        <f>VLOOKUP($A96,地图配置辅助表!$A$3:$AP$245,地图配置辅助表!O$1,FALSE)</f>
        <v>3</v>
      </c>
      <c r="AD96">
        <f>VLOOKUP($A96,地图配置辅助表!$A$3:$AP$245,地图配置辅助表!P$1,FALSE)</f>
        <v>2204</v>
      </c>
      <c r="AE96" s="8">
        <f>VLOOKUP($A96,地图配置辅助表!$A$3:$AP$245,地图配置辅助表!Q$1,FALSE)</f>
        <v>3</v>
      </c>
      <c r="AF96" s="8">
        <f>VLOOKUP($A96,地图配置辅助表!$A$3:$AP$245,地图配置辅助表!R$1,FALSE)</f>
        <v>2005</v>
      </c>
      <c r="AG96" s="11">
        <f>VLOOKUP($A96,地图配置辅助表!$A$3:$AP$245,地图配置辅助表!S$1,FALSE)</f>
        <v>502205</v>
      </c>
      <c r="AH96" s="11">
        <f>VLOOKUP($A96,地图配置辅助表!$A$3:$AP$245,地图配置辅助表!T$1,FALSE)</f>
        <v>225004</v>
      </c>
      <c r="AI96" s="9">
        <f>VLOOKUP($A96,地图配置辅助表!$A$3:$AP$245,地图配置辅助表!U$1,FALSE)</f>
        <v>2</v>
      </c>
      <c r="AJ96" s="9">
        <f>VLOOKUP($A96,地图配置辅助表!$A$3:$AP$245,地图配置辅助表!V$1,FALSE)</f>
        <v>225001</v>
      </c>
      <c r="AK96" s="9">
        <f>VLOOKUP($A96,地图配置辅助表!$A$3:$AP$245,地图配置辅助表!W$1,FALSE)</f>
        <v>225002</v>
      </c>
      <c r="AL96" s="9">
        <f>VLOOKUP($A96,地图配置辅助表!$A$3:$AP$245,地图配置辅助表!X$1,FALSE)</f>
        <v>0</v>
      </c>
      <c r="AM96" s="9">
        <f>VLOOKUP($A96,地图配置辅助表!$A$3:$AP$245,地图配置辅助表!Y$1,FALSE)</f>
        <v>0</v>
      </c>
      <c r="AN96" s="9">
        <f>VLOOKUP($A96,地图配置辅助表!$A$3:$AP$245,地图配置辅助表!Z$1,FALSE)</f>
        <v>0</v>
      </c>
      <c r="AO96" s="9">
        <f>VLOOKUP($A96,地图配置辅助表!$A$3:$AP$245,地图配置辅助表!AA$1,FALSE)</f>
        <v>0</v>
      </c>
      <c r="AP96" s="9">
        <f>VLOOKUP($A96,地图配置辅助表!$A$3:$AP$245,地图配置辅助表!AB$1,FALSE)</f>
        <v>0</v>
      </c>
      <c r="AQ96" s="9">
        <f>VLOOKUP($A96,地图配置辅助表!$A$3:$AP$245,地图配置辅助表!AC$1,FALSE)</f>
        <v>0</v>
      </c>
      <c r="AR96" s="9">
        <f>VLOOKUP($A96,地图配置辅助表!$A$3:$AP$245,地图配置辅助表!AD$1,FALSE)</f>
        <v>0</v>
      </c>
      <c r="AS96" s="9">
        <f>VLOOKUP($A96,地图配置辅助表!$A$3:$AP$245,地图配置辅助表!AE$1,FALSE)</f>
        <v>0</v>
      </c>
      <c r="AT96" s="9">
        <f>VLOOKUP($A96,地图配置辅助表!$A$3:$AP$245,地图配置辅助表!AF$1,FALSE)</f>
        <v>3</v>
      </c>
      <c r="AU96" s="9">
        <f>VLOOKUP($A96,地图配置辅助表!$A$3:$AP$245,地图配置辅助表!AG$1,FALSE)</f>
        <v>80</v>
      </c>
      <c r="AV96" s="9">
        <f>VLOOKUP($A96,地图配置辅助表!$A$3:$AP$245,地图配置辅助表!AH$1,FALSE)</f>
        <v>81</v>
      </c>
      <c r="AW96" s="9">
        <f>VLOOKUP($A96,地图配置辅助表!$A$3:$AP$245,地图配置辅助表!AI$1,FALSE)</f>
        <v>82</v>
      </c>
      <c r="AX96" s="9">
        <f>VLOOKUP($A96,地图配置辅助表!$A$3:$AP$245,地图配置辅助表!AJ$1,FALSE)</f>
        <v>0</v>
      </c>
      <c r="AY96" s="9">
        <f>VLOOKUP($A96,地图配置辅助表!$A$3:$AP$245,地图配置辅助表!AK$1,FALSE)</f>
        <v>0</v>
      </c>
      <c r="AZ96" s="9">
        <f>VLOOKUP($A96,地图配置辅助表!$A$3:$AP$245,地图配置辅助表!AL$1,FALSE)</f>
        <v>0</v>
      </c>
      <c r="BA96" s="9">
        <f>VLOOKUP($A96,地图配置辅助表!$A$3:$AP$245,地图配置辅助表!AM$1,FALSE)</f>
        <v>0</v>
      </c>
      <c r="BB96" s="9">
        <f>VLOOKUP($A96,地图配置辅助表!$A$3:$AP$245,地图配置辅助表!AN$1,FALSE)</f>
        <v>0</v>
      </c>
      <c r="BC96" s="9">
        <f>VLOOKUP($A96,地图配置辅助表!$A$3:$AP$245,地图配置辅助表!AO$1,FALSE)</f>
        <v>0</v>
      </c>
      <c r="BD96" s="9">
        <f>VLOOKUP($A96,地图配置辅助表!$A$3:$AP$245,地图配置辅助表!AP$1,FALSE)</f>
        <v>0</v>
      </c>
    </row>
    <row r="97" spans="1:56" s="9" customFormat="1" x14ac:dyDescent="0.15">
      <c r="A97">
        <f>地图配置辅助表!A98</f>
        <v>2206</v>
      </c>
      <c r="B97" s="8">
        <f>地图配置辅助表!B98</f>
        <v>2</v>
      </c>
      <c r="C97" s="9">
        <f>地图配置辅助表!C98</f>
        <v>2</v>
      </c>
      <c r="D97" s="9" t="str">
        <f>地图配置辅助表!D98</f>
        <v>精英追踪者</v>
      </c>
      <c r="E97" s="9" t="str">
        <f t="shared" si="0"/>
        <v>挑战精英追踪者</v>
      </c>
      <c r="F97" s="9" t="s">
        <v>0</v>
      </c>
      <c r="G97" s="9">
        <v>29</v>
      </c>
      <c r="H97" s="9">
        <v>200</v>
      </c>
      <c r="I97" s="9">
        <v>140</v>
      </c>
      <c r="J97" s="9">
        <v>200</v>
      </c>
      <c r="K97" s="9">
        <v>140</v>
      </c>
      <c r="L97" s="9" t="s">
        <v>180</v>
      </c>
      <c r="M97" s="9">
        <v>0</v>
      </c>
      <c r="R97" s="9" t="s">
        <v>132</v>
      </c>
      <c r="S97" s="11">
        <f>VLOOKUP($A97,地图配置辅助表!$A$3:$AP$245,地图配置辅助表!E$1,FALSE)</f>
        <v>10</v>
      </c>
      <c r="T97" s="9">
        <f>VLOOKUP($A97,地图配置辅助表!$A$3:$AP$245,地图配置辅助表!F$1,FALSE)</f>
        <v>4591</v>
      </c>
      <c r="U97" s="9">
        <f>VLOOKUP($A97,地图配置辅助表!$A$3:$AP$245,地图配置辅助表!G$1,FALSE)</f>
        <v>1</v>
      </c>
      <c r="V97" s="9">
        <f>VLOOKUP($A97,地图配置辅助表!$A$3:$AP$245,地图配置辅助表!H$1,FALSE)</f>
        <v>1</v>
      </c>
      <c r="W97" s="9">
        <f>VLOOKUP($A97,地图配置辅助表!$A$3:$AP$245,地图配置辅助表!I$1,FALSE)</f>
        <v>6</v>
      </c>
      <c r="X97" s="9">
        <f>VLOOKUP($A97,地图配置辅助表!$A$3:$AP$245,地图配置辅助表!J$1,FALSE)</f>
        <v>0</v>
      </c>
      <c r="Y97" s="9">
        <f>VLOOKUP($A97,地图配置辅助表!$A$3:$AP$245,地图配置辅助表!K$1,FALSE)</f>
        <v>0</v>
      </c>
      <c r="Z97" s="9">
        <f>VLOOKUP($A97,地图配置辅助表!$A$3:$AP$245,地图配置辅助表!L$1,FALSE)</f>
        <v>0</v>
      </c>
      <c r="AA97" s="9">
        <f>VLOOKUP($A97,地图配置辅助表!$A$3:$AP$245,地图配置辅助表!M$1,FALSE)</f>
        <v>2</v>
      </c>
      <c r="AB97">
        <f>VLOOKUP($A97,地图配置辅助表!$A$3:$AP$245,地图配置辅助表!N$1,FALSE)</f>
        <v>1</v>
      </c>
      <c r="AC97" s="9">
        <f>VLOOKUP($A97,地图配置辅助表!$A$3:$AP$245,地图配置辅助表!O$1,FALSE)</f>
        <v>3</v>
      </c>
      <c r="AD97">
        <f>VLOOKUP($A97,地图配置辅助表!$A$3:$AP$245,地图配置辅助表!P$1,FALSE)</f>
        <v>2205</v>
      </c>
      <c r="AE97" s="8">
        <f>VLOOKUP($A97,地图配置辅助表!$A$3:$AP$245,地图配置辅助表!Q$1,FALSE)</f>
        <v>3</v>
      </c>
      <c r="AF97" s="8">
        <f>VLOOKUP($A97,地图配置辅助表!$A$3:$AP$245,地图配置辅助表!R$1,FALSE)</f>
        <v>2006</v>
      </c>
      <c r="AG97" s="11">
        <f>VLOOKUP($A97,地图配置辅助表!$A$3:$AP$245,地图配置辅助表!S$1,FALSE)</f>
        <v>502206</v>
      </c>
      <c r="AH97" s="11">
        <f>VLOOKUP($A97,地图配置辅助表!$A$3:$AP$245,地图配置辅助表!T$1,FALSE)</f>
        <v>226004</v>
      </c>
      <c r="AI97" s="9">
        <f>VLOOKUP($A97,地图配置辅助表!$A$3:$AP$245,地图配置辅助表!U$1,FALSE)</f>
        <v>2</v>
      </c>
      <c r="AJ97" s="9">
        <f>VLOOKUP($A97,地图配置辅助表!$A$3:$AP$245,地图配置辅助表!V$1,FALSE)</f>
        <v>226001</v>
      </c>
      <c r="AK97" s="9">
        <f>VLOOKUP($A97,地图配置辅助表!$A$3:$AP$245,地图配置辅助表!W$1,FALSE)</f>
        <v>226002</v>
      </c>
      <c r="AL97" s="9">
        <f>VLOOKUP($A97,地图配置辅助表!$A$3:$AP$245,地图配置辅助表!X$1,FALSE)</f>
        <v>0</v>
      </c>
      <c r="AM97" s="9">
        <f>VLOOKUP($A97,地图配置辅助表!$A$3:$AP$245,地图配置辅助表!Y$1,FALSE)</f>
        <v>0</v>
      </c>
      <c r="AN97" s="9">
        <f>VLOOKUP($A97,地图配置辅助表!$A$3:$AP$245,地图配置辅助表!Z$1,FALSE)</f>
        <v>0</v>
      </c>
      <c r="AO97" s="9">
        <f>VLOOKUP($A97,地图配置辅助表!$A$3:$AP$245,地图配置辅助表!AA$1,FALSE)</f>
        <v>0</v>
      </c>
      <c r="AP97" s="9">
        <f>VLOOKUP($A97,地图配置辅助表!$A$3:$AP$245,地图配置辅助表!AB$1,FALSE)</f>
        <v>0</v>
      </c>
      <c r="AQ97" s="9">
        <f>VLOOKUP($A97,地图配置辅助表!$A$3:$AP$245,地图配置辅助表!AC$1,FALSE)</f>
        <v>0</v>
      </c>
      <c r="AR97" s="9">
        <f>VLOOKUP($A97,地图配置辅助表!$A$3:$AP$245,地图配置辅助表!AD$1,FALSE)</f>
        <v>0</v>
      </c>
      <c r="AS97" s="9">
        <f>VLOOKUP($A97,地图配置辅助表!$A$3:$AP$245,地图配置辅助表!AE$1,FALSE)</f>
        <v>0</v>
      </c>
      <c r="AT97" s="9">
        <f>VLOOKUP($A97,地图配置辅助表!$A$3:$AP$245,地图配置辅助表!AF$1,FALSE)</f>
        <v>3</v>
      </c>
      <c r="AU97" s="9">
        <f>VLOOKUP($A97,地图配置辅助表!$A$3:$AP$245,地图配置辅助表!AG$1,FALSE)</f>
        <v>58</v>
      </c>
      <c r="AV97" s="9">
        <f>VLOOKUP($A97,地图配置辅助表!$A$3:$AP$245,地图配置辅助表!AH$1,FALSE)</f>
        <v>59</v>
      </c>
      <c r="AW97" s="9">
        <f>VLOOKUP($A97,地图配置辅助表!$A$3:$AP$245,地图配置辅助表!AI$1,FALSE)</f>
        <v>60</v>
      </c>
      <c r="AX97" s="9">
        <f>VLOOKUP($A97,地图配置辅助表!$A$3:$AP$245,地图配置辅助表!AJ$1,FALSE)</f>
        <v>0</v>
      </c>
      <c r="AY97" s="9">
        <f>VLOOKUP($A97,地图配置辅助表!$A$3:$AP$245,地图配置辅助表!AK$1,FALSE)</f>
        <v>0</v>
      </c>
      <c r="AZ97" s="9">
        <f>VLOOKUP($A97,地图配置辅助表!$A$3:$AP$245,地图配置辅助表!AL$1,FALSE)</f>
        <v>0</v>
      </c>
      <c r="BA97" s="9">
        <f>VLOOKUP($A97,地图配置辅助表!$A$3:$AP$245,地图配置辅助表!AM$1,FALSE)</f>
        <v>0</v>
      </c>
      <c r="BB97" s="9">
        <f>VLOOKUP($A97,地图配置辅助表!$A$3:$AP$245,地图配置辅助表!AN$1,FALSE)</f>
        <v>0</v>
      </c>
      <c r="BC97" s="9">
        <f>VLOOKUP($A97,地图配置辅助表!$A$3:$AP$245,地图配置辅助表!AO$1,FALSE)</f>
        <v>0</v>
      </c>
      <c r="BD97" s="9">
        <f>VLOOKUP($A97,地图配置辅助表!$A$3:$AP$245,地图配置辅助表!AP$1,FALSE)</f>
        <v>0</v>
      </c>
    </row>
    <row r="98" spans="1:56" s="9" customFormat="1" x14ac:dyDescent="0.15">
      <c r="A98">
        <f>地图配置辅助表!A99</f>
        <v>2207</v>
      </c>
      <c r="B98" s="8">
        <f>地图配置辅助表!B99</f>
        <v>2</v>
      </c>
      <c r="C98" s="9">
        <f>地图配置辅助表!C99</f>
        <v>2</v>
      </c>
      <c r="D98" s="9" t="str">
        <f>地图配置辅助表!D99</f>
        <v>精英雷公保镖</v>
      </c>
      <c r="E98" s="9" t="str">
        <f t="shared" si="0"/>
        <v>挑战精英雷公保镖</v>
      </c>
      <c r="F98" s="9" t="s">
        <v>0</v>
      </c>
      <c r="G98" s="9">
        <v>29</v>
      </c>
      <c r="H98" s="9">
        <v>200</v>
      </c>
      <c r="I98" s="9">
        <v>140</v>
      </c>
      <c r="J98" s="9">
        <v>200</v>
      </c>
      <c r="K98" s="9">
        <v>140</v>
      </c>
      <c r="L98" s="9" t="s">
        <v>635</v>
      </c>
      <c r="M98" s="9">
        <v>0</v>
      </c>
      <c r="R98" s="9" t="s">
        <v>620</v>
      </c>
      <c r="S98" s="11">
        <f>VLOOKUP($A98,地图配置辅助表!$A$3:$AP$245,地图配置辅助表!E$1,FALSE)</f>
        <v>10</v>
      </c>
      <c r="T98" s="9">
        <f>VLOOKUP($A98,地图配置辅助表!$A$3:$AP$245,地图配置辅助表!F$1,FALSE)</f>
        <v>5109</v>
      </c>
      <c r="U98" s="9">
        <f>VLOOKUP($A98,地图配置辅助表!$A$3:$AP$245,地图配置辅助表!G$1,FALSE)</f>
        <v>1</v>
      </c>
      <c r="V98" s="9">
        <f>VLOOKUP($A98,地图配置辅助表!$A$3:$AP$245,地图配置辅助表!H$1,FALSE)</f>
        <v>1</v>
      </c>
      <c r="W98" s="9">
        <f>VLOOKUP($A98,地图配置辅助表!$A$3:$AP$245,地图配置辅助表!I$1,FALSE)</f>
        <v>6</v>
      </c>
      <c r="X98" s="9">
        <f>VLOOKUP($A98,地图配置辅助表!$A$3:$AP$245,地图配置辅助表!J$1,FALSE)</f>
        <v>0</v>
      </c>
      <c r="Y98" s="9">
        <f>VLOOKUP($A98,地图配置辅助表!$A$3:$AP$245,地图配置辅助表!K$1,FALSE)</f>
        <v>0</v>
      </c>
      <c r="Z98" s="9">
        <f>VLOOKUP($A98,地图配置辅助表!$A$3:$AP$245,地图配置辅助表!L$1,FALSE)</f>
        <v>0</v>
      </c>
      <c r="AA98" s="9">
        <f>VLOOKUP($A98,地图配置辅助表!$A$3:$AP$245,地图配置辅助表!M$1,FALSE)</f>
        <v>2</v>
      </c>
      <c r="AB98">
        <f>VLOOKUP($A98,地图配置辅助表!$A$3:$AP$245,地图配置辅助表!N$1,FALSE)</f>
        <v>1</v>
      </c>
      <c r="AC98" s="9">
        <f>VLOOKUP($A98,地图配置辅助表!$A$3:$AP$245,地图配置辅助表!O$1,FALSE)</f>
        <v>3</v>
      </c>
      <c r="AD98">
        <f>VLOOKUP($A98,地图配置辅助表!$A$3:$AP$245,地图配置辅助表!P$1,FALSE)</f>
        <v>2206</v>
      </c>
      <c r="AE98" s="8">
        <f>VLOOKUP($A98,地图配置辅助表!$A$3:$AP$245,地图配置辅助表!Q$1,FALSE)</f>
        <v>3</v>
      </c>
      <c r="AF98" s="8">
        <f>VLOOKUP($A98,地图配置辅助表!$A$3:$AP$245,地图配置辅助表!R$1,FALSE)</f>
        <v>2007</v>
      </c>
      <c r="AG98" s="11">
        <f>VLOOKUP($A98,地图配置辅助表!$A$3:$AP$245,地图配置辅助表!S$1,FALSE)</f>
        <v>502207</v>
      </c>
      <c r="AH98" s="11">
        <f>VLOOKUP($A98,地图配置辅助表!$A$3:$AP$245,地图配置辅助表!T$1,FALSE)</f>
        <v>227004</v>
      </c>
      <c r="AI98" s="9">
        <f>VLOOKUP($A98,地图配置辅助表!$A$3:$AP$245,地图配置辅助表!U$1,FALSE)</f>
        <v>2</v>
      </c>
      <c r="AJ98" s="9">
        <f>VLOOKUP($A98,地图配置辅助表!$A$3:$AP$245,地图配置辅助表!V$1,FALSE)</f>
        <v>227001</v>
      </c>
      <c r="AK98" s="9">
        <f>VLOOKUP($A98,地图配置辅助表!$A$3:$AP$245,地图配置辅助表!W$1,FALSE)</f>
        <v>227002</v>
      </c>
      <c r="AL98" s="9">
        <f>VLOOKUP($A98,地图配置辅助表!$A$3:$AP$245,地图配置辅助表!X$1,FALSE)</f>
        <v>0</v>
      </c>
      <c r="AM98" s="9">
        <f>VLOOKUP($A98,地图配置辅助表!$A$3:$AP$245,地图配置辅助表!Y$1,FALSE)</f>
        <v>0</v>
      </c>
      <c r="AN98" s="9">
        <f>VLOOKUP($A98,地图配置辅助表!$A$3:$AP$245,地图配置辅助表!Z$1,FALSE)</f>
        <v>0</v>
      </c>
      <c r="AO98" s="9">
        <f>VLOOKUP($A98,地图配置辅助表!$A$3:$AP$245,地图配置辅助表!AA$1,FALSE)</f>
        <v>0</v>
      </c>
      <c r="AP98" s="9">
        <f>VLOOKUP($A98,地图配置辅助表!$A$3:$AP$245,地图配置辅助表!AB$1,FALSE)</f>
        <v>0</v>
      </c>
      <c r="AQ98" s="9">
        <f>VLOOKUP($A98,地图配置辅助表!$A$3:$AP$245,地图配置辅助表!AC$1,FALSE)</f>
        <v>0</v>
      </c>
      <c r="AR98" s="9">
        <f>VLOOKUP($A98,地图配置辅助表!$A$3:$AP$245,地图配置辅助表!AD$1,FALSE)</f>
        <v>0</v>
      </c>
      <c r="AS98" s="9">
        <f>VLOOKUP($A98,地图配置辅助表!$A$3:$AP$245,地图配置辅助表!AE$1,FALSE)</f>
        <v>0</v>
      </c>
      <c r="AT98" s="9">
        <f>VLOOKUP($A98,地图配置辅助表!$A$3:$AP$245,地图配置辅助表!AF$1,FALSE)</f>
        <v>3</v>
      </c>
      <c r="AU98" s="9">
        <f>VLOOKUP($A98,地图配置辅助表!$A$3:$AP$245,地图配置辅助表!AG$1,FALSE)</f>
        <v>65</v>
      </c>
      <c r="AV98" s="9">
        <f>VLOOKUP($A98,地图配置辅助表!$A$3:$AP$245,地图配置辅助表!AH$1,FALSE)</f>
        <v>66</v>
      </c>
      <c r="AW98" s="9">
        <f>VLOOKUP($A98,地图配置辅助表!$A$3:$AP$245,地图配置辅助表!AI$1,FALSE)</f>
        <v>67</v>
      </c>
      <c r="AX98" s="9">
        <f>VLOOKUP($A98,地图配置辅助表!$A$3:$AP$245,地图配置辅助表!AJ$1,FALSE)</f>
        <v>0</v>
      </c>
      <c r="AY98" s="9">
        <f>VLOOKUP($A98,地图配置辅助表!$A$3:$AP$245,地图配置辅助表!AK$1,FALSE)</f>
        <v>0</v>
      </c>
      <c r="AZ98" s="9">
        <f>VLOOKUP($A98,地图配置辅助表!$A$3:$AP$245,地图配置辅助表!AL$1,FALSE)</f>
        <v>0</v>
      </c>
      <c r="BA98" s="9">
        <f>VLOOKUP($A98,地图配置辅助表!$A$3:$AP$245,地图配置辅助表!AM$1,FALSE)</f>
        <v>0</v>
      </c>
      <c r="BB98" s="9">
        <f>VLOOKUP($A98,地图配置辅助表!$A$3:$AP$245,地图配置辅助表!AN$1,FALSE)</f>
        <v>0</v>
      </c>
      <c r="BC98" s="9">
        <f>VLOOKUP($A98,地图配置辅助表!$A$3:$AP$245,地图配置辅助表!AO$1,FALSE)</f>
        <v>0</v>
      </c>
      <c r="BD98" s="9">
        <f>VLOOKUP($A98,地图配置辅助表!$A$3:$AP$245,地图配置辅助表!AP$1,FALSE)</f>
        <v>0</v>
      </c>
    </row>
    <row r="99" spans="1:56" s="9" customFormat="1" x14ac:dyDescent="0.15">
      <c r="A99">
        <f>地图配置辅助表!A100</f>
        <v>2208</v>
      </c>
      <c r="B99" s="8">
        <f>地图配置辅助表!B100</f>
        <v>2</v>
      </c>
      <c r="C99" s="9">
        <f>地图配置辅助表!C100</f>
        <v>2</v>
      </c>
      <c r="D99" s="9" t="str">
        <f>地图配置辅助表!D100</f>
        <v>精英赌场警卫</v>
      </c>
      <c r="E99" s="9" t="str">
        <f t="shared" si="0"/>
        <v>挑战精英赌场警卫</v>
      </c>
      <c r="F99" s="9" t="s">
        <v>0</v>
      </c>
      <c r="G99" s="9">
        <v>29</v>
      </c>
      <c r="H99" s="9">
        <v>200</v>
      </c>
      <c r="I99" s="9">
        <v>140</v>
      </c>
      <c r="J99" s="9">
        <v>200</v>
      </c>
      <c r="K99" s="9">
        <v>140</v>
      </c>
      <c r="L99" s="9" t="s">
        <v>636</v>
      </c>
      <c r="M99" s="9">
        <v>0</v>
      </c>
      <c r="R99" s="9" t="s">
        <v>621</v>
      </c>
      <c r="S99" s="11">
        <f>VLOOKUP($A99,地图配置辅助表!$A$3:$AP$245,地图配置辅助表!E$1,FALSE)</f>
        <v>10</v>
      </c>
      <c r="T99" s="9">
        <f>VLOOKUP($A99,地图配置辅助表!$A$3:$AP$245,地图配置辅助表!F$1,FALSE)</f>
        <v>5763</v>
      </c>
      <c r="U99" s="9">
        <f>VLOOKUP($A99,地图配置辅助表!$A$3:$AP$245,地图配置辅助表!G$1,FALSE)</f>
        <v>1</v>
      </c>
      <c r="V99" s="9">
        <f>VLOOKUP($A99,地图配置辅助表!$A$3:$AP$245,地图配置辅助表!H$1,FALSE)</f>
        <v>1</v>
      </c>
      <c r="W99" s="9">
        <f>VLOOKUP($A99,地图配置辅助表!$A$3:$AP$245,地图配置辅助表!I$1,FALSE)</f>
        <v>6</v>
      </c>
      <c r="X99" s="9">
        <f>VLOOKUP($A99,地图配置辅助表!$A$3:$AP$245,地图配置辅助表!J$1,FALSE)</f>
        <v>0</v>
      </c>
      <c r="Y99" s="9">
        <f>VLOOKUP($A99,地图配置辅助表!$A$3:$AP$245,地图配置辅助表!K$1,FALSE)</f>
        <v>0</v>
      </c>
      <c r="Z99" s="9">
        <f>VLOOKUP($A99,地图配置辅助表!$A$3:$AP$245,地图配置辅助表!L$1,FALSE)</f>
        <v>0</v>
      </c>
      <c r="AA99" s="9">
        <f>VLOOKUP($A99,地图配置辅助表!$A$3:$AP$245,地图配置辅助表!M$1,FALSE)</f>
        <v>2</v>
      </c>
      <c r="AB99">
        <f>VLOOKUP($A99,地图配置辅助表!$A$3:$AP$245,地图配置辅助表!N$1,FALSE)</f>
        <v>1</v>
      </c>
      <c r="AC99" s="9">
        <f>VLOOKUP($A99,地图配置辅助表!$A$3:$AP$245,地图配置辅助表!O$1,FALSE)</f>
        <v>3</v>
      </c>
      <c r="AD99">
        <f>VLOOKUP($A99,地图配置辅助表!$A$3:$AP$245,地图配置辅助表!P$1,FALSE)</f>
        <v>2207</v>
      </c>
      <c r="AE99" s="8">
        <f>VLOOKUP($A99,地图配置辅助表!$A$3:$AP$245,地图配置辅助表!Q$1,FALSE)</f>
        <v>3</v>
      </c>
      <c r="AF99" s="8">
        <f>VLOOKUP($A99,地图配置辅助表!$A$3:$AP$245,地图配置辅助表!R$1,FALSE)</f>
        <v>2008</v>
      </c>
      <c r="AG99" s="11">
        <f>VLOOKUP($A99,地图配置辅助表!$A$3:$AP$245,地图配置辅助表!S$1,FALSE)</f>
        <v>502208</v>
      </c>
      <c r="AH99" s="11">
        <f>VLOOKUP($A99,地图配置辅助表!$A$3:$AP$245,地图配置辅助表!T$1,FALSE)</f>
        <v>228004</v>
      </c>
      <c r="AI99" s="9">
        <f>VLOOKUP($A99,地图配置辅助表!$A$3:$AP$245,地图配置辅助表!U$1,FALSE)</f>
        <v>2</v>
      </c>
      <c r="AJ99" s="9">
        <f>VLOOKUP($A99,地图配置辅助表!$A$3:$AP$245,地图配置辅助表!V$1,FALSE)</f>
        <v>228001</v>
      </c>
      <c r="AK99" s="9">
        <f>VLOOKUP($A99,地图配置辅助表!$A$3:$AP$245,地图配置辅助表!W$1,FALSE)</f>
        <v>228002</v>
      </c>
      <c r="AL99" s="9">
        <f>VLOOKUP($A99,地图配置辅助表!$A$3:$AP$245,地图配置辅助表!X$1,FALSE)</f>
        <v>0</v>
      </c>
      <c r="AM99" s="9">
        <f>VLOOKUP($A99,地图配置辅助表!$A$3:$AP$245,地图配置辅助表!Y$1,FALSE)</f>
        <v>0</v>
      </c>
      <c r="AN99" s="9">
        <f>VLOOKUP($A99,地图配置辅助表!$A$3:$AP$245,地图配置辅助表!Z$1,FALSE)</f>
        <v>0</v>
      </c>
      <c r="AO99" s="9">
        <f>VLOOKUP($A99,地图配置辅助表!$A$3:$AP$245,地图配置辅助表!AA$1,FALSE)</f>
        <v>0</v>
      </c>
      <c r="AP99" s="9">
        <f>VLOOKUP($A99,地图配置辅助表!$A$3:$AP$245,地图配置辅助表!AB$1,FALSE)</f>
        <v>0</v>
      </c>
      <c r="AQ99" s="9">
        <f>VLOOKUP($A99,地图配置辅助表!$A$3:$AP$245,地图配置辅助表!AC$1,FALSE)</f>
        <v>0</v>
      </c>
      <c r="AR99" s="9">
        <f>VLOOKUP($A99,地图配置辅助表!$A$3:$AP$245,地图配置辅助表!AD$1,FALSE)</f>
        <v>0</v>
      </c>
      <c r="AS99" s="9">
        <f>VLOOKUP($A99,地图配置辅助表!$A$3:$AP$245,地图配置辅助表!AE$1,FALSE)</f>
        <v>0</v>
      </c>
      <c r="AT99" s="9">
        <f>VLOOKUP($A99,地图配置辅助表!$A$3:$AP$245,地图配置辅助表!AF$1,FALSE)</f>
        <v>3</v>
      </c>
      <c r="AU99" s="9">
        <f>VLOOKUP($A99,地图配置辅助表!$A$3:$AP$245,地图配置辅助表!AG$1,FALSE)</f>
        <v>80</v>
      </c>
      <c r="AV99" s="9">
        <f>VLOOKUP($A99,地图配置辅助表!$A$3:$AP$245,地图配置辅助表!AH$1,FALSE)</f>
        <v>81</v>
      </c>
      <c r="AW99" s="9">
        <f>VLOOKUP($A99,地图配置辅助表!$A$3:$AP$245,地图配置辅助表!AI$1,FALSE)</f>
        <v>82</v>
      </c>
      <c r="AX99" s="9">
        <f>VLOOKUP($A99,地图配置辅助表!$A$3:$AP$245,地图配置辅助表!AJ$1,FALSE)</f>
        <v>0</v>
      </c>
      <c r="AY99" s="9">
        <f>VLOOKUP($A99,地图配置辅助表!$A$3:$AP$245,地图配置辅助表!AK$1,FALSE)</f>
        <v>0</v>
      </c>
      <c r="AZ99" s="9">
        <f>VLOOKUP($A99,地图配置辅助表!$A$3:$AP$245,地图配置辅助表!AL$1,FALSE)</f>
        <v>0</v>
      </c>
      <c r="BA99" s="9">
        <f>VLOOKUP($A99,地图配置辅助表!$A$3:$AP$245,地图配置辅助表!AM$1,FALSE)</f>
        <v>0</v>
      </c>
      <c r="BB99" s="9">
        <f>VLOOKUP($A99,地图配置辅助表!$A$3:$AP$245,地图配置辅助表!AN$1,FALSE)</f>
        <v>0</v>
      </c>
      <c r="BC99" s="9">
        <f>VLOOKUP($A99,地图配置辅助表!$A$3:$AP$245,地图配置辅助表!AO$1,FALSE)</f>
        <v>0</v>
      </c>
      <c r="BD99" s="9">
        <f>VLOOKUP($A99,地图配置辅助表!$A$3:$AP$245,地图配置辅助表!AP$1,FALSE)</f>
        <v>0</v>
      </c>
    </row>
    <row r="100" spans="1:56" s="9" customFormat="1" x14ac:dyDescent="0.15">
      <c r="A100">
        <f>地图配置辅助表!A101</f>
        <v>2209</v>
      </c>
      <c r="B100" s="8">
        <f>地图配置辅助表!B101</f>
        <v>2</v>
      </c>
      <c r="C100" s="9">
        <f>地图配置辅助表!C101</f>
        <v>2</v>
      </c>
      <c r="D100" s="9" t="str">
        <f>地图配置辅助表!D101</f>
        <v>精英丁瑶护卫</v>
      </c>
      <c r="E100" s="9" t="str">
        <f t="shared" si="0"/>
        <v>挑战精英丁瑶护卫</v>
      </c>
      <c r="F100" s="9" t="s">
        <v>0</v>
      </c>
      <c r="G100" s="9">
        <v>29</v>
      </c>
      <c r="H100" s="9">
        <v>200</v>
      </c>
      <c r="I100" s="9">
        <v>140</v>
      </c>
      <c r="J100" s="9">
        <v>200</v>
      </c>
      <c r="K100" s="9">
        <v>140</v>
      </c>
      <c r="L100" s="9" t="s">
        <v>637</v>
      </c>
      <c r="M100" s="9">
        <v>0</v>
      </c>
      <c r="R100" s="9" t="s">
        <v>622</v>
      </c>
      <c r="S100" s="11">
        <f>VLOOKUP($A100,地图配置辅助表!$A$3:$AP$245,地图配置辅助表!E$1,FALSE)</f>
        <v>10</v>
      </c>
      <c r="T100" s="9">
        <f>VLOOKUP($A100,地图配置辅助表!$A$3:$AP$245,地图配置辅助表!F$1,FALSE)</f>
        <v>6444</v>
      </c>
      <c r="U100" s="9">
        <f>VLOOKUP($A100,地图配置辅助表!$A$3:$AP$245,地图配置辅助表!G$1,FALSE)</f>
        <v>1</v>
      </c>
      <c r="V100" s="9">
        <f>VLOOKUP($A100,地图配置辅助表!$A$3:$AP$245,地图配置辅助表!H$1,FALSE)</f>
        <v>1</v>
      </c>
      <c r="W100" s="9">
        <f>VLOOKUP($A100,地图配置辅助表!$A$3:$AP$245,地图配置辅助表!I$1,FALSE)</f>
        <v>6</v>
      </c>
      <c r="X100" s="9">
        <f>VLOOKUP($A100,地图配置辅助表!$A$3:$AP$245,地图配置辅助表!J$1,FALSE)</f>
        <v>0</v>
      </c>
      <c r="Y100" s="9">
        <f>VLOOKUP($A100,地图配置辅助表!$A$3:$AP$245,地图配置辅助表!K$1,FALSE)</f>
        <v>0</v>
      </c>
      <c r="Z100" s="9">
        <f>VLOOKUP($A100,地图配置辅助表!$A$3:$AP$245,地图配置辅助表!L$1,FALSE)</f>
        <v>0</v>
      </c>
      <c r="AA100" s="9">
        <f>VLOOKUP($A100,地图配置辅助表!$A$3:$AP$245,地图配置辅助表!M$1,FALSE)</f>
        <v>2</v>
      </c>
      <c r="AB100">
        <f>VLOOKUP($A100,地图配置辅助表!$A$3:$AP$245,地图配置辅助表!N$1,FALSE)</f>
        <v>1</v>
      </c>
      <c r="AC100" s="9">
        <f>VLOOKUP($A100,地图配置辅助表!$A$3:$AP$245,地图配置辅助表!O$1,FALSE)</f>
        <v>3</v>
      </c>
      <c r="AD100">
        <f>VLOOKUP($A100,地图配置辅助表!$A$3:$AP$245,地图配置辅助表!P$1,FALSE)</f>
        <v>2208</v>
      </c>
      <c r="AE100" s="8">
        <f>VLOOKUP($A100,地图配置辅助表!$A$3:$AP$245,地图配置辅助表!Q$1,FALSE)</f>
        <v>3</v>
      </c>
      <c r="AF100" s="8">
        <f>VLOOKUP($A100,地图配置辅助表!$A$3:$AP$245,地图配置辅助表!R$1,FALSE)</f>
        <v>2009</v>
      </c>
      <c r="AG100" s="11">
        <f>VLOOKUP($A100,地图配置辅助表!$A$3:$AP$245,地图配置辅助表!S$1,FALSE)</f>
        <v>502209</v>
      </c>
      <c r="AH100" s="11">
        <f>VLOOKUP($A100,地图配置辅助表!$A$3:$AP$245,地图配置辅助表!T$1,FALSE)</f>
        <v>229004</v>
      </c>
      <c r="AI100" s="9">
        <f>VLOOKUP($A100,地图配置辅助表!$A$3:$AP$245,地图配置辅助表!U$1,FALSE)</f>
        <v>2</v>
      </c>
      <c r="AJ100" s="9">
        <f>VLOOKUP($A100,地图配置辅助表!$A$3:$AP$245,地图配置辅助表!V$1,FALSE)</f>
        <v>229001</v>
      </c>
      <c r="AK100" s="9">
        <f>VLOOKUP($A100,地图配置辅助表!$A$3:$AP$245,地图配置辅助表!W$1,FALSE)</f>
        <v>229002</v>
      </c>
      <c r="AL100" s="9">
        <f>VLOOKUP($A100,地图配置辅助表!$A$3:$AP$245,地图配置辅助表!X$1,FALSE)</f>
        <v>0</v>
      </c>
      <c r="AM100" s="9">
        <f>VLOOKUP($A100,地图配置辅助表!$A$3:$AP$245,地图配置辅助表!Y$1,FALSE)</f>
        <v>0</v>
      </c>
      <c r="AN100" s="9">
        <f>VLOOKUP($A100,地图配置辅助表!$A$3:$AP$245,地图配置辅助表!Z$1,FALSE)</f>
        <v>0</v>
      </c>
      <c r="AO100" s="9">
        <f>VLOOKUP($A100,地图配置辅助表!$A$3:$AP$245,地图配置辅助表!AA$1,FALSE)</f>
        <v>0</v>
      </c>
      <c r="AP100" s="9">
        <f>VLOOKUP($A100,地图配置辅助表!$A$3:$AP$245,地图配置辅助表!AB$1,FALSE)</f>
        <v>0</v>
      </c>
      <c r="AQ100" s="9">
        <f>VLOOKUP($A100,地图配置辅助表!$A$3:$AP$245,地图配置辅助表!AC$1,FALSE)</f>
        <v>0</v>
      </c>
      <c r="AR100" s="9">
        <f>VLOOKUP($A100,地图配置辅助表!$A$3:$AP$245,地图配置辅助表!AD$1,FALSE)</f>
        <v>0</v>
      </c>
      <c r="AS100" s="9">
        <f>VLOOKUP($A100,地图配置辅助表!$A$3:$AP$245,地图配置辅助表!AE$1,FALSE)</f>
        <v>0</v>
      </c>
      <c r="AT100" s="9">
        <f>VLOOKUP($A100,地图配置辅助表!$A$3:$AP$245,地图配置辅助表!AF$1,FALSE)</f>
        <v>3</v>
      </c>
      <c r="AU100" s="9">
        <f>VLOOKUP($A100,地图配置辅助表!$A$3:$AP$245,地图配置辅助表!AG$1,FALSE)</f>
        <v>58</v>
      </c>
      <c r="AV100" s="9">
        <f>VLOOKUP($A100,地图配置辅助表!$A$3:$AP$245,地图配置辅助表!AH$1,FALSE)</f>
        <v>59</v>
      </c>
      <c r="AW100" s="9">
        <f>VLOOKUP($A100,地图配置辅助表!$A$3:$AP$245,地图配置辅助表!AI$1,FALSE)</f>
        <v>60</v>
      </c>
      <c r="AX100" s="9">
        <f>VLOOKUP($A100,地图配置辅助表!$A$3:$AP$245,地图配置辅助表!AJ$1,FALSE)</f>
        <v>0</v>
      </c>
      <c r="AY100" s="9">
        <f>VLOOKUP($A100,地图配置辅助表!$A$3:$AP$245,地图配置辅助表!AK$1,FALSE)</f>
        <v>0</v>
      </c>
      <c r="AZ100" s="9">
        <f>VLOOKUP($A100,地图配置辅助表!$A$3:$AP$245,地图配置辅助表!AL$1,FALSE)</f>
        <v>0</v>
      </c>
      <c r="BA100" s="9">
        <f>VLOOKUP($A100,地图配置辅助表!$A$3:$AP$245,地图配置辅助表!AM$1,FALSE)</f>
        <v>0</v>
      </c>
      <c r="BB100" s="9">
        <f>VLOOKUP($A100,地图配置辅助表!$A$3:$AP$245,地图配置辅助表!AN$1,FALSE)</f>
        <v>0</v>
      </c>
      <c r="BC100" s="9">
        <f>VLOOKUP($A100,地图配置辅助表!$A$3:$AP$245,地图配置辅助表!AO$1,FALSE)</f>
        <v>0</v>
      </c>
      <c r="BD100" s="9">
        <f>VLOOKUP($A100,地图配置辅助表!$A$3:$AP$245,地图配置辅助表!AP$1,FALSE)</f>
        <v>0</v>
      </c>
    </row>
    <row r="101" spans="1:56" s="9" customFormat="1" x14ac:dyDescent="0.15">
      <c r="A101">
        <f>地图配置辅助表!A102</f>
        <v>3201</v>
      </c>
      <c r="B101" s="8">
        <f>地图配置辅助表!B102</f>
        <v>2</v>
      </c>
      <c r="C101" s="9">
        <f>地图配置辅助表!C102</f>
        <v>3</v>
      </c>
      <c r="D101" s="9" t="str">
        <f>地图配置辅助表!D102</f>
        <v>精英乌鸦手下</v>
      </c>
      <c r="E101" s="9" t="str">
        <f t="shared" si="0"/>
        <v>挑战精英乌鸦手下</v>
      </c>
      <c r="F101" s="9" t="s">
        <v>0</v>
      </c>
      <c r="G101" s="9">
        <v>29</v>
      </c>
      <c r="H101" s="9">
        <v>200</v>
      </c>
      <c r="I101" s="9">
        <v>140</v>
      </c>
      <c r="J101" s="9">
        <v>200</v>
      </c>
      <c r="K101" s="9">
        <v>140</v>
      </c>
      <c r="L101" s="9" t="s">
        <v>181</v>
      </c>
      <c r="M101" s="9">
        <v>0</v>
      </c>
      <c r="R101" s="9" t="s">
        <v>133</v>
      </c>
      <c r="S101" s="11">
        <f>VLOOKUP($A101,地图配置辅助表!$A$3:$AP$245,地图配置辅助表!E$1,FALSE)</f>
        <v>10</v>
      </c>
      <c r="T101" s="9">
        <f>VLOOKUP($A101,地图配置辅助表!$A$3:$AP$245,地图配置辅助表!F$1,FALSE)</f>
        <v>6426</v>
      </c>
      <c r="U101" s="9">
        <f>VLOOKUP($A101,地图配置辅助表!$A$3:$AP$245,地图配置辅助表!G$1,FALSE)</f>
        <v>1</v>
      </c>
      <c r="V101" s="9">
        <f>VLOOKUP($A101,地图配置辅助表!$A$3:$AP$245,地图配置辅助表!H$1,FALSE)</f>
        <v>1</v>
      </c>
      <c r="W101" s="9">
        <f>VLOOKUP($A101,地图配置辅助表!$A$3:$AP$245,地图配置辅助表!I$1,FALSE)</f>
        <v>6</v>
      </c>
      <c r="X101" s="9">
        <f>VLOOKUP($A101,地图配置辅助表!$A$3:$AP$245,地图配置辅助表!J$1,FALSE)</f>
        <v>0</v>
      </c>
      <c r="Y101" s="9">
        <f>VLOOKUP($A101,地图配置辅助表!$A$3:$AP$245,地图配置辅助表!K$1,FALSE)</f>
        <v>0</v>
      </c>
      <c r="Z101" s="9">
        <f>VLOOKUP($A101,地图配置辅助表!$A$3:$AP$245,地图配置辅助表!L$1,FALSE)</f>
        <v>0</v>
      </c>
      <c r="AA101" s="9">
        <f>VLOOKUP($A101,地图配置辅助表!$A$3:$AP$245,地图配置辅助表!M$1,FALSE)</f>
        <v>2</v>
      </c>
      <c r="AB101">
        <f>VLOOKUP($A101,地图配置辅助表!$A$3:$AP$245,地图配置辅助表!N$1,FALSE)</f>
        <v>1</v>
      </c>
      <c r="AC101" s="9">
        <f>VLOOKUP($A101,地图配置辅助表!$A$3:$AP$245,地图配置辅助表!O$1,FALSE)</f>
        <v>3</v>
      </c>
      <c r="AD101">
        <f>VLOOKUP($A101,地图配置辅助表!$A$3:$AP$245,地图配置辅助表!P$1,FALSE)</f>
        <v>2209</v>
      </c>
      <c r="AE101" s="8">
        <f>VLOOKUP($A101,地图配置辅助表!$A$3:$AP$245,地图配置辅助表!Q$1,FALSE)</f>
        <v>3</v>
      </c>
      <c r="AF101" s="8">
        <f>VLOOKUP($A101,地图配置辅助表!$A$3:$AP$245,地图配置辅助表!R$1,FALSE)</f>
        <v>3001</v>
      </c>
      <c r="AG101" s="11">
        <f>VLOOKUP($A101,地图配置辅助表!$A$3:$AP$245,地图配置辅助表!S$1,FALSE)</f>
        <v>503201</v>
      </c>
      <c r="AH101" s="11">
        <f>VLOOKUP($A101,地图配置辅助表!$A$3:$AP$245,地图配置辅助表!T$1,FALSE)</f>
        <v>231004</v>
      </c>
      <c r="AI101" s="9">
        <f>VLOOKUP($A101,地图配置辅助表!$A$3:$AP$245,地图配置辅助表!U$1,FALSE)</f>
        <v>3</v>
      </c>
      <c r="AJ101" s="9">
        <f>VLOOKUP($A101,地图配置辅助表!$A$3:$AP$245,地图配置辅助表!V$1,FALSE)</f>
        <v>231001</v>
      </c>
      <c r="AK101" s="9">
        <f>VLOOKUP($A101,地图配置辅助表!$A$3:$AP$245,地图配置辅助表!W$1,FALSE)</f>
        <v>231002</v>
      </c>
      <c r="AL101" s="9">
        <f>VLOOKUP($A101,地图配置辅助表!$A$3:$AP$245,地图配置辅助表!X$1,FALSE)</f>
        <v>231003</v>
      </c>
      <c r="AM101" s="9">
        <f>VLOOKUP($A101,地图配置辅助表!$A$3:$AP$245,地图配置辅助表!Y$1,FALSE)</f>
        <v>0</v>
      </c>
      <c r="AN101" s="9">
        <f>VLOOKUP($A101,地图配置辅助表!$A$3:$AP$245,地图配置辅助表!Z$1,FALSE)</f>
        <v>0</v>
      </c>
      <c r="AO101" s="9">
        <f>VLOOKUP($A101,地图配置辅助表!$A$3:$AP$245,地图配置辅助表!AA$1,FALSE)</f>
        <v>0</v>
      </c>
      <c r="AP101" s="9">
        <f>VLOOKUP($A101,地图配置辅助表!$A$3:$AP$245,地图配置辅助表!AB$1,FALSE)</f>
        <v>0</v>
      </c>
      <c r="AQ101" s="9">
        <f>VLOOKUP($A101,地图配置辅助表!$A$3:$AP$245,地图配置辅助表!AC$1,FALSE)</f>
        <v>0</v>
      </c>
      <c r="AR101" s="9">
        <f>VLOOKUP($A101,地图配置辅助表!$A$3:$AP$245,地图配置辅助表!AD$1,FALSE)</f>
        <v>0</v>
      </c>
      <c r="AS101" s="9">
        <f>VLOOKUP($A101,地图配置辅助表!$A$3:$AP$245,地图配置辅助表!AE$1,FALSE)</f>
        <v>0</v>
      </c>
      <c r="AT101" s="9">
        <f>VLOOKUP($A101,地图配置辅助表!$A$3:$AP$245,地图配置辅助表!AF$1,FALSE)</f>
        <v>3</v>
      </c>
      <c r="AU101" s="9">
        <f>VLOOKUP($A101,地图配置辅助表!$A$3:$AP$245,地图配置辅助表!AG$1,FALSE)</f>
        <v>196</v>
      </c>
      <c r="AV101" s="9">
        <f>VLOOKUP($A101,地图配置辅助表!$A$3:$AP$245,地图配置辅助表!AH$1,FALSE)</f>
        <v>197</v>
      </c>
      <c r="AW101" s="9">
        <f>VLOOKUP($A101,地图配置辅助表!$A$3:$AP$245,地图配置辅助表!AI$1,FALSE)</f>
        <v>198</v>
      </c>
      <c r="AX101" s="9">
        <f>VLOOKUP($A101,地图配置辅助表!$A$3:$AP$245,地图配置辅助表!AJ$1,FALSE)</f>
        <v>0</v>
      </c>
      <c r="AY101" s="9">
        <f>VLOOKUP($A101,地图配置辅助表!$A$3:$AP$245,地图配置辅助表!AK$1,FALSE)</f>
        <v>0</v>
      </c>
      <c r="AZ101" s="9">
        <f>VLOOKUP($A101,地图配置辅助表!$A$3:$AP$245,地图配置辅助表!AL$1,FALSE)</f>
        <v>0</v>
      </c>
      <c r="BA101" s="9">
        <f>VLOOKUP($A101,地图配置辅助表!$A$3:$AP$245,地图配置辅助表!AM$1,FALSE)</f>
        <v>0</v>
      </c>
      <c r="BB101" s="9">
        <f>VLOOKUP($A101,地图配置辅助表!$A$3:$AP$245,地图配置辅助表!AN$1,FALSE)</f>
        <v>0</v>
      </c>
      <c r="BC101" s="9">
        <f>VLOOKUP($A101,地图配置辅助表!$A$3:$AP$245,地图配置辅助表!AO$1,FALSE)</f>
        <v>0</v>
      </c>
      <c r="BD101" s="9">
        <f>VLOOKUP($A101,地图配置辅助表!$A$3:$AP$245,地图配置辅助表!AP$1,FALSE)</f>
        <v>0</v>
      </c>
    </row>
    <row r="102" spans="1:56" s="9" customFormat="1" x14ac:dyDescent="0.15">
      <c r="A102">
        <f>地图配置辅助表!A103</f>
        <v>3202</v>
      </c>
      <c r="B102" s="8">
        <f>地图配置辅助表!B103</f>
        <v>2</v>
      </c>
      <c r="C102" s="9">
        <f>地图配置辅助表!C103</f>
        <v>3</v>
      </c>
      <c r="D102" s="9" t="str">
        <f>地图配置辅助表!D103</f>
        <v>精英笑面虎</v>
      </c>
      <c r="E102" s="9" t="str">
        <f t="shared" si="0"/>
        <v>挑战精英笑面虎</v>
      </c>
      <c r="F102" s="9" t="s">
        <v>0</v>
      </c>
      <c r="G102" s="9">
        <v>29</v>
      </c>
      <c r="H102" s="9">
        <v>200</v>
      </c>
      <c r="I102" s="9">
        <v>140</v>
      </c>
      <c r="J102" s="9">
        <v>200</v>
      </c>
      <c r="K102" s="9">
        <v>140</v>
      </c>
      <c r="L102" s="9" t="s">
        <v>182</v>
      </c>
      <c r="M102" s="9">
        <v>0</v>
      </c>
      <c r="R102" s="9" t="s">
        <v>134</v>
      </c>
      <c r="S102" s="11">
        <f>VLOOKUP($A102,地图配置辅助表!$A$3:$AP$245,地图配置辅助表!E$1,FALSE)</f>
        <v>10</v>
      </c>
      <c r="T102" s="9">
        <f>VLOOKUP($A102,地图配置辅助表!$A$3:$AP$245,地图配置辅助表!F$1,FALSE)</f>
        <v>7214</v>
      </c>
      <c r="U102" s="9">
        <f>VLOOKUP($A102,地图配置辅助表!$A$3:$AP$245,地图配置辅助表!G$1,FALSE)</f>
        <v>1</v>
      </c>
      <c r="V102" s="9">
        <f>VLOOKUP($A102,地图配置辅助表!$A$3:$AP$245,地图配置辅助表!H$1,FALSE)</f>
        <v>1</v>
      </c>
      <c r="W102" s="9">
        <f>VLOOKUP($A102,地图配置辅助表!$A$3:$AP$245,地图配置辅助表!I$1,FALSE)</f>
        <v>6</v>
      </c>
      <c r="X102" s="9">
        <f>VLOOKUP($A102,地图配置辅助表!$A$3:$AP$245,地图配置辅助表!J$1,FALSE)</f>
        <v>0</v>
      </c>
      <c r="Y102" s="9">
        <f>VLOOKUP($A102,地图配置辅助表!$A$3:$AP$245,地图配置辅助表!K$1,FALSE)</f>
        <v>0</v>
      </c>
      <c r="Z102" s="9">
        <f>VLOOKUP($A102,地图配置辅助表!$A$3:$AP$245,地图配置辅助表!L$1,FALSE)</f>
        <v>0</v>
      </c>
      <c r="AA102" s="9">
        <f>VLOOKUP($A102,地图配置辅助表!$A$3:$AP$245,地图配置辅助表!M$1,FALSE)</f>
        <v>2</v>
      </c>
      <c r="AB102">
        <f>VLOOKUP($A102,地图配置辅助表!$A$3:$AP$245,地图配置辅助表!N$1,FALSE)</f>
        <v>1</v>
      </c>
      <c r="AC102" s="9">
        <f>VLOOKUP($A102,地图配置辅助表!$A$3:$AP$245,地图配置辅助表!O$1,FALSE)</f>
        <v>3</v>
      </c>
      <c r="AD102">
        <f>VLOOKUP($A102,地图配置辅助表!$A$3:$AP$245,地图配置辅助表!P$1,FALSE)</f>
        <v>3201</v>
      </c>
      <c r="AE102" s="8">
        <f>VLOOKUP($A102,地图配置辅助表!$A$3:$AP$245,地图配置辅助表!Q$1,FALSE)</f>
        <v>3</v>
      </c>
      <c r="AF102" s="8">
        <f>VLOOKUP($A102,地图配置辅助表!$A$3:$AP$245,地图配置辅助表!R$1,FALSE)</f>
        <v>3002</v>
      </c>
      <c r="AG102" s="11">
        <f>VLOOKUP($A102,地图配置辅助表!$A$3:$AP$245,地图配置辅助表!S$1,FALSE)</f>
        <v>503202</v>
      </c>
      <c r="AH102" s="11">
        <f>VLOOKUP($A102,地图配置辅助表!$A$3:$AP$245,地图配置辅助表!T$1,FALSE)</f>
        <v>232004</v>
      </c>
      <c r="AI102" s="9">
        <f>VLOOKUP($A102,地图配置辅助表!$A$3:$AP$245,地图配置辅助表!U$1,FALSE)</f>
        <v>3</v>
      </c>
      <c r="AJ102" s="9">
        <f>VLOOKUP($A102,地图配置辅助表!$A$3:$AP$245,地图配置辅助表!V$1,FALSE)</f>
        <v>232001</v>
      </c>
      <c r="AK102" s="9">
        <f>VLOOKUP($A102,地图配置辅助表!$A$3:$AP$245,地图配置辅助表!W$1,FALSE)</f>
        <v>232002</v>
      </c>
      <c r="AL102" s="9">
        <f>VLOOKUP($A102,地图配置辅助表!$A$3:$AP$245,地图配置辅助表!X$1,FALSE)</f>
        <v>232003</v>
      </c>
      <c r="AM102" s="9">
        <f>VLOOKUP($A102,地图配置辅助表!$A$3:$AP$245,地图配置辅助表!Y$1,FALSE)</f>
        <v>0</v>
      </c>
      <c r="AN102" s="9">
        <f>VLOOKUP($A102,地图配置辅助表!$A$3:$AP$245,地图配置辅助表!Z$1,FALSE)</f>
        <v>0</v>
      </c>
      <c r="AO102" s="9">
        <f>VLOOKUP($A102,地图配置辅助表!$A$3:$AP$245,地图配置辅助表!AA$1,FALSE)</f>
        <v>0</v>
      </c>
      <c r="AP102" s="9">
        <f>VLOOKUP($A102,地图配置辅助表!$A$3:$AP$245,地图配置辅助表!AB$1,FALSE)</f>
        <v>0</v>
      </c>
      <c r="AQ102" s="9">
        <f>VLOOKUP($A102,地图配置辅助表!$A$3:$AP$245,地图配置辅助表!AC$1,FALSE)</f>
        <v>0</v>
      </c>
      <c r="AR102" s="9">
        <f>VLOOKUP($A102,地图配置辅助表!$A$3:$AP$245,地图配置辅助表!AD$1,FALSE)</f>
        <v>0</v>
      </c>
      <c r="AS102" s="9">
        <f>VLOOKUP($A102,地图配置辅助表!$A$3:$AP$245,地图配置辅助表!AE$1,FALSE)</f>
        <v>0</v>
      </c>
      <c r="AT102" s="9">
        <f>VLOOKUP($A102,地图配置辅助表!$A$3:$AP$245,地图配置辅助表!AF$1,FALSE)</f>
        <v>3</v>
      </c>
      <c r="AU102" s="9">
        <f>VLOOKUP($A102,地图配置辅助表!$A$3:$AP$245,地图配置辅助表!AG$1,FALSE)</f>
        <v>159</v>
      </c>
      <c r="AV102" s="9">
        <f>VLOOKUP($A102,地图配置辅助表!$A$3:$AP$245,地图配置辅助表!AH$1,FALSE)</f>
        <v>160</v>
      </c>
      <c r="AW102" s="9">
        <f>VLOOKUP($A102,地图配置辅助表!$A$3:$AP$245,地图配置辅助表!AI$1,FALSE)</f>
        <v>161</v>
      </c>
      <c r="AX102" s="9">
        <f>VLOOKUP($A102,地图配置辅助表!$A$3:$AP$245,地图配置辅助表!AJ$1,FALSE)</f>
        <v>0</v>
      </c>
      <c r="AY102" s="9">
        <f>VLOOKUP($A102,地图配置辅助表!$A$3:$AP$245,地图配置辅助表!AK$1,FALSE)</f>
        <v>0</v>
      </c>
      <c r="AZ102" s="9">
        <f>VLOOKUP($A102,地图配置辅助表!$A$3:$AP$245,地图配置辅助表!AL$1,FALSE)</f>
        <v>0</v>
      </c>
      <c r="BA102" s="9">
        <f>VLOOKUP($A102,地图配置辅助表!$A$3:$AP$245,地图配置辅助表!AM$1,FALSE)</f>
        <v>0</v>
      </c>
      <c r="BB102" s="9">
        <f>VLOOKUP($A102,地图配置辅助表!$A$3:$AP$245,地图配置辅助表!AN$1,FALSE)</f>
        <v>0</v>
      </c>
      <c r="BC102" s="9">
        <f>VLOOKUP($A102,地图配置辅助表!$A$3:$AP$245,地图配置辅助表!AO$1,FALSE)</f>
        <v>0</v>
      </c>
      <c r="BD102" s="9">
        <f>VLOOKUP($A102,地图配置辅助表!$A$3:$AP$245,地图配置辅助表!AP$1,FALSE)</f>
        <v>0</v>
      </c>
    </row>
    <row r="103" spans="1:56" s="9" customFormat="1" x14ac:dyDescent="0.15">
      <c r="A103">
        <f>地图配置辅助表!A104</f>
        <v>3203</v>
      </c>
      <c r="B103" s="8">
        <f>地图配置辅助表!B104</f>
        <v>2</v>
      </c>
      <c r="C103" s="9">
        <f>地图配置辅助表!C104</f>
        <v>3</v>
      </c>
      <c r="D103" s="9" t="str">
        <f>地图配置辅助表!D104</f>
        <v>精英东星杀手</v>
      </c>
      <c r="E103" s="9" t="str">
        <f t="shared" si="0"/>
        <v>挑战精英东星杀手</v>
      </c>
      <c r="F103" s="9" t="s">
        <v>0</v>
      </c>
      <c r="G103" s="9">
        <v>29</v>
      </c>
      <c r="H103" s="9">
        <v>200</v>
      </c>
      <c r="I103" s="9">
        <v>140</v>
      </c>
      <c r="J103" s="9">
        <v>200</v>
      </c>
      <c r="K103" s="9">
        <v>140</v>
      </c>
      <c r="L103" s="9" t="s">
        <v>183</v>
      </c>
      <c r="M103" s="9">
        <v>0</v>
      </c>
      <c r="R103" s="9" t="s">
        <v>135</v>
      </c>
      <c r="S103" s="11">
        <f>VLOOKUP($A103,地图配置辅助表!$A$3:$AP$245,地图配置辅助表!E$1,FALSE)</f>
        <v>10</v>
      </c>
      <c r="T103" s="9">
        <f>VLOOKUP($A103,地图配置辅助表!$A$3:$AP$245,地图配置辅助表!F$1,FALSE)</f>
        <v>8077</v>
      </c>
      <c r="U103" s="9">
        <f>VLOOKUP($A103,地图配置辅助表!$A$3:$AP$245,地图配置辅助表!G$1,FALSE)</f>
        <v>1</v>
      </c>
      <c r="V103" s="9">
        <f>VLOOKUP($A103,地图配置辅助表!$A$3:$AP$245,地图配置辅助表!H$1,FALSE)</f>
        <v>1</v>
      </c>
      <c r="W103" s="9">
        <f>VLOOKUP($A103,地图配置辅助表!$A$3:$AP$245,地图配置辅助表!I$1,FALSE)</f>
        <v>6</v>
      </c>
      <c r="X103" s="9">
        <f>VLOOKUP($A103,地图配置辅助表!$A$3:$AP$245,地图配置辅助表!J$1,FALSE)</f>
        <v>0</v>
      </c>
      <c r="Y103" s="9">
        <f>VLOOKUP($A103,地图配置辅助表!$A$3:$AP$245,地图配置辅助表!K$1,FALSE)</f>
        <v>0</v>
      </c>
      <c r="Z103" s="9">
        <f>VLOOKUP($A103,地图配置辅助表!$A$3:$AP$245,地图配置辅助表!L$1,FALSE)</f>
        <v>0</v>
      </c>
      <c r="AA103" s="9">
        <f>VLOOKUP($A103,地图配置辅助表!$A$3:$AP$245,地图配置辅助表!M$1,FALSE)</f>
        <v>2</v>
      </c>
      <c r="AB103">
        <f>VLOOKUP($A103,地图配置辅助表!$A$3:$AP$245,地图配置辅助表!N$1,FALSE)</f>
        <v>1</v>
      </c>
      <c r="AC103" s="9">
        <f>VLOOKUP($A103,地图配置辅助表!$A$3:$AP$245,地图配置辅助表!O$1,FALSE)</f>
        <v>3</v>
      </c>
      <c r="AD103">
        <f>VLOOKUP($A103,地图配置辅助表!$A$3:$AP$245,地图配置辅助表!P$1,FALSE)</f>
        <v>3202</v>
      </c>
      <c r="AE103" s="8">
        <f>VLOOKUP($A103,地图配置辅助表!$A$3:$AP$245,地图配置辅助表!Q$1,FALSE)</f>
        <v>3</v>
      </c>
      <c r="AF103" s="8">
        <f>VLOOKUP($A103,地图配置辅助表!$A$3:$AP$245,地图配置辅助表!R$1,FALSE)</f>
        <v>3003</v>
      </c>
      <c r="AG103" s="11">
        <f>VLOOKUP($A103,地图配置辅助表!$A$3:$AP$245,地图配置辅助表!S$1,FALSE)</f>
        <v>503203</v>
      </c>
      <c r="AH103" s="11">
        <f>VLOOKUP($A103,地图配置辅助表!$A$3:$AP$245,地图配置辅助表!T$1,FALSE)</f>
        <v>233004</v>
      </c>
      <c r="AI103" s="9">
        <f>VLOOKUP($A103,地图配置辅助表!$A$3:$AP$245,地图配置辅助表!U$1,FALSE)</f>
        <v>3</v>
      </c>
      <c r="AJ103" s="9">
        <f>VLOOKUP($A103,地图配置辅助表!$A$3:$AP$245,地图配置辅助表!V$1,FALSE)</f>
        <v>233001</v>
      </c>
      <c r="AK103" s="9">
        <f>VLOOKUP($A103,地图配置辅助表!$A$3:$AP$245,地图配置辅助表!W$1,FALSE)</f>
        <v>233002</v>
      </c>
      <c r="AL103" s="9">
        <f>VLOOKUP($A103,地图配置辅助表!$A$3:$AP$245,地图配置辅助表!X$1,FALSE)</f>
        <v>233003</v>
      </c>
      <c r="AM103" s="9">
        <f>VLOOKUP($A103,地图配置辅助表!$A$3:$AP$245,地图配置辅助表!Y$1,FALSE)</f>
        <v>0</v>
      </c>
      <c r="AN103" s="9">
        <f>VLOOKUP($A103,地图配置辅助表!$A$3:$AP$245,地图配置辅助表!Z$1,FALSE)</f>
        <v>0</v>
      </c>
      <c r="AO103" s="9">
        <f>VLOOKUP($A103,地图配置辅助表!$A$3:$AP$245,地图配置辅助表!AA$1,FALSE)</f>
        <v>0</v>
      </c>
      <c r="AP103" s="9">
        <f>VLOOKUP($A103,地图配置辅助表!$A$3:$AP$245,地图配置辅助表!AB$1,FALSE)</f>
        <v>0</v>
      </c>
      <c r="AQ103" s="9">
        <f>VLOOKUP($A103,地图配置辅助表!$A$3:$AP$245,地图配置辅助表!AC$1,FALSE)</f>
        <v>0</v>
      </c>
      <c r="AR103" s="9">
        <f>VLOOKUP($A103,地图配置辅助表!$A$3:$AP$245,地图配置辅助表!AD$1,FALSE)</f>
        <v>0</v>
      </c>
      <c r="AS103" s="9">
        <f>VLOOKUP($A103,地图配置辅助表!$A$3:$AP$245,地图配置辅助表!AE$1,FALSE)</f>
        <v>0</v>
      </c>
      <c r="AT103" s="9">
        <f>VLOOKUP($A103,地图配置辅助表!$A$3:$AP$245,地图配置辅助表!AF$1,FALSE)</f>
        <v>3</v>
      </c>
      <c r="AU103" s="9">
        <f>VLOOKUP($A103,地图配置辅助表!$A$3:$AP$245,地图配置辅助表!AG$1,FALSE)</f>
        <v>127</v>
      </c>
      <c r="AV103" s="9">
        <f>VLOOKUP($A103,地图配置辅助表!$A$3:$AP$245,地图配置辅助表!AH$1,FALSE)</f>
        <v>128</v>
      </c>
      <c r="AW103" s="9">
        <f>VLOOKUP($A103,地图配置辅助表!$A$3:$AP$245,地图配置辅助表!AI$1,FALSE)</f>
        <v>129</v>
      </c>
      <c r="AX103" s="9">
        <f>VLOOKUP($A103,地图配置辅助表!$A$3:$AP$245,地图配置辅助表!AJ$1,FALSE)</f>
        <v>0</v>
      </c>
      <c r="AY103" s="9">
        <f>VLOOKUP($A103,地图配置辅助表!$A$3:$AP$245,地图配置辅助表!AK$1,FALSE)</f>
        <v>0</v>
      </c>
      <c r="AZ103" s="9">
        <f>VLOOKUP($A103,地图配置辅助表!$A$3:$AP$245,地图配置辅助表!AL$1,FALSE)</f>
        <v>0</v>
      </c>
      <c r="BA103" s="9">
        <f>VLOOKUP($A103,地图配置辅助表!$A$3:$AP$245,地图配置辅助表!AM$1,FALSE)</f>
        <v>0</v>
      </c>
      <c r="BB103" s="9">
        <f>VLOOKUP($A103,地图配置辅助表!$A$3:$AP$245,地图配置辅助表!AN$1,FALSE)</f>
        <v>0</v>
      </c>
      <c r="BC103" s="9">
        <f>VLOOKUP($A103,地图配置辅助表!$A$3:$AP$245,地图配置辅助表!AO$1,FALSE)</f>
        <v>0</v>
      </c>
      <c r="BD103" s="9">
        <f>VLOOKUP($A103,地图配置辅助表!$A$3:$AP$245,地图配置辅助表!AP$1,FALSE)</f>
        <v>0</v>
      </c>
    </row>
    <row r="104" spans="1:56" s="9" customFormat="1" x14ac:dyDescent="0.15">
      <c r="A104">
        <f>地图配置辅助表!A105</f>
        <v>3204</v>
      </c>
      <c r="B104" s="8">
        <f>地图配置辅助表!B105</f>
        <v>2</v>
      </c>
      <c r="C104" s="9">
        <f>地图配置辅助表!C105</f>
        <v>3</v>
      </c>
      <c r="D104" s="9" t="str">
        <f>地图配置辅助表!D105</f>
        <v>精英赏金猎手</v>
      </c>
      <c r="E104" s="9" t="str">
        <f t="shared" si="0"/>
        <v>挑战精英赏金猎手</v>
      </c>
      <c r="F104" s="9" t="s">
        <v>0</v>
      </c>
      <c r="G104" s="9">
        <v>29</v>
      </c>
      <c r="H104" s="9">
        <v>200</v>
      </c>
      <c r="I104" s="9">
        <v>140</v>
      </c>
      <c r="J104" s="9">
        <v>200</v>
      </c>
      <c r="K104" s="9">
        <v>140</v>
      </c>
      <c r="L104" s="9" t="s">
        <v>184</v>
      </c>
      <c r="M104" s="9">
        <v>0</v>
      </c>
      <c r="R104" s="9" t="s">
        <v>136</v>
      </c>
      <c r="S104" s="11">
        <f>VLOOKUP($A104,地图配置辅助表!$A$3:$AP$245,地图配置辅助表!E$1,FALSE)</f>
        <v>10</v>
      </c>
      <c r="T104" s="9">
        <f>VLOOKUP($A104,地图配置辅助表!$A$3:$AP$245,地图配置辅助表!F$1,FALSE)</f>
        <v>9031</v>
      </c>
      <c r="U104" s="9">
        <f>VLOOKUP($A104,地图配置辅助表!$A$3:$AP$245,地图配置辅助表!G$1,FALSE)</f>
        <v>1</v>
      </c>
      <c r="V104" s="9">
        <f>VLOOKUP($A104,地图配置辅助表!$A$3:$AP$245,地图配置辅助表!H$1,FALSE)</f>
        <v>1</v>
      </c>
      <c r="W104" s="9">
        <f>VLOOKUP($A104,地图配置辅助表!$A$3:$AP$245,地图配置辅助表!I$1,FALSE)</f>
        <v>6</v>
      </c>
      <c r="X104" s="9">
        <f>VLOOKUP($A104,地图配置辅助表!$A$3:$AP$245,地图配置辅助表!J$1,FALSE)</f>
        <v>0</v>
      </c>
      <c r="Y104" s="9">
        <f>VLOOKUP($A104,地图配置辅助表!$A$3:$AP$245,地图配置辅助表!K$1,FALSE)</f>
        <v>0</v>
      </c>
      <c r="Z104" s="9">
        <f>VLOOKUP($A104,地图配置辅助表!$A$3:$AP$245,地图配置辅助表!L$1,FALSE)</f>
        <v>0</v>
      </c>
      <c r="AA104" s="9">
        <f>VLOOKUP($A104,地图配置辅助表!$A$3:$AP$245,地图配置辅助表!M$1,FALSE)</f>
        <v>2</v>
      </c>
      <c r="AB104">
        <f>VLOOKUP($A104,地图配置辅助表!$A$3:$AP$245,地图配置辅助表!N$1,FALSE)</f>
        <v>1</v>
      </c>
      <c r="AC104" s="9">
        <f>VLOOKUP($A104,地图配置辅助表!$A$3:$AP$245,地图配置辅助表!O$1,FALSE)</f>
        <v>3</v>
      </c>
      <c r="AD104">
        <f>VLOOKUP($A104,地图配置辅助表!$A$3:$AP$245,地图配置辅助表!P$1,FALSE)</f>
        <v>3203</v>
      </c>
      <c r="AE104" s="8">
        <f>VLOOKUP($A104,地图配置辅助表!$A$3:$AP$245,地图配置辅助表!Q$1,FALSE)</f>
        <v>3</v>
      </c>
      <c r="AF104" s="8">
        <f>VLOOKUP($A104,地图配置辅助表!$A$3:$AP$245,地图配置辅助表!R$1,FALSE)</f>
        <v>3004</v>
      </c>
      <c r="AG104" s="11">
        <f>VLOOKUP($A104,地图配置辅助表!$A$3:$AP$245,地图配置辅助表!S$1,FALSE)</f>
        <v>503204</v>
      </c>
      <c r="AH104" s="11">
        <f>VLOOKUP($A104,地图配置辅助表!$A$3:$AP$245,地图配置辅助表!T$1,FALSE)</f>
        <v>234004</v>
      </c>
      <c r="AI104" s="9">
        <f>VLOOKUP($A104,地图配置辅助表!$A$3:$AP$245,地图配置辅助表!U$1,FALSE)</f>
        <v>3</v>
      </c>
      <c r="AJ104" s="9">
        <f>VLOOKUP($A104,地图配置辅助表!$A$3:$AP$245,地图配置辅助表!V$1,FALSE)</f>
        <v>234001</v>
      </c>
      <c r="AK104" s="9">
        <f>VLOOKUP($A104,地图配置辅助表!$A$3:$AP$245,地图配置辅助表!W$1,FALSE)</f>
        <v>234002</v>
      </c>
      <c r="AL104" s="9">
        <f>VLOOKUP($A104,地图配置辅助表!$A$3:$AP$245,地图配置辅助表!X$1,FALSE)</f>
        <v>234003</v>
      </c>
      <c r="AM104" s="9">
        <f>VLOOKUP($A104,地图配置辅助表!$A$3:$AP$245,地图配置辅助表!Y$1,FALSE)</f>
        <v>0</v>
      </c>
      <c r="AN104" s="9">
        <f>VLOOKUP($A104,地图配置辅助表!$A$3:$AP$245,地图配置辅助表!Z$1,FALSE)</f>
        <v>0</v>
      </c>
      <c r="AO104" s="9">
        <f>VLOOKUP($A104,地图配置辅助表!$A$3:$AP$245,地图配置辅助表!AA$1,FALSE)</f>
        <v>0</v>
      </c>
      <c r="AP104" s="9">
        <f>VLOOKUP($A104,地图配置辅助表!$A$3:$AP$245,地图配置辅助表!AB$1,FALSE)</f>
        <v>0</v>
      </c>
      <c r="AQ104" s="9">
        <f>VLOOKUP($A104,地图配置辅助表!$A$3:$AP$245,地图配置辅助表!AC$1,FALSE)</f>
        <v>0</v>
      </c>
      <c r="AR104" s="9">
        <f>VLOOKUP($A104,地图配置辅助表!$A$3:$AP$245,地图配置辅助表!AD$1,FALSE)</f>
        <v>0</v>
      </c>
      <c r="AS104" s="9">
        <f>VLOOKUP($A104,地图配置辅助表!$A$3:$AP$245,地图配置辅助表!AE$1,FALSE)</f>
        <v>0</v>
      </c>
      <c r="AT104" s="9">
        <f>VLOOKUP($A104,地图配置辅助表!$A$3:$AP$245,地图配置辅助表!AF$1,FALSE)</f>
        <v>3</v>
      </c>
      <c r="AU104" s="9">
        <f>VLOOKUP($A104,地图配置辅助表!$A$3:$AP$245,地图配置辅助表!AG$1,FALSE)</f>
        <v>181</v>
      </c>
      <c r="AV104" s="9">
        <f>VLOOKUP($A104,地图配置辅助表!$A$3:$AP$245,地图配置辅助表!AH$1,FALSE)</f>
        <v>182</v>
      </c>
      <c r="AW104" s="9">
        <f>VLOOKUP($A104,地图配置辅助表!$A$3:$AP$245,地图配置辅助表!AI$1,FALSE)</f>
        <v>183</v>
      </c>
      <c r="AX104" s="9">
        <f>VLOOKUP($A104,地图配置辅助表!$A$3:$AP$245,地图配置辅助表!AJ$1,FALSE)</f>
        <v>0</v>
      </c>
      <c r="AY104" s="9">
        <f>VLOOKUP($A104,地图配置辅助表!$A$3:$AP$245,地图配置辅助表!AK$1,FALSE)</f>
        <v>0</v>
      </c>
      <c r="AZ104" s="9">
        <f>VLOOKUP($A104,地图配置辅助表!$A$3:$AP$245,地图配置辅助表!AL$1,FALSE)</f>
        <v>0</v>
      </c>
      <c r="BA104" s="9">
        <f>VLOOKUP($A104,地图配置辅助表!$A$3:$AP$245,地图配置辅助表!AM$1,FALSE)</f>
        <v>0</v>
      </c>
      <c r="BB104" s="9">
        <f>VLOOKUP($A104,地图配置辅助表!$A$3:$AP$245,地图配置辅助表!AN$1,FALSE)</f>
        <v>0</v>
      </c>
      <c r="BC104" s="9">
        <f>VLOOKUP($A104,地图配置辅助表!$A$3:$AP$245,地图配置辅助表!AO$1,FALSE)</f>
        <v>0</v>
      </c>
      <c r="BD104" s="9">
        <f>VLOOKUP($A104,地图配置辅助表!$A$3:$AP$245,地图配置辅助表!AP$1,FALSE)</f>
        <v>0</v>
      </c>
    </row>
    <row r="105" spans="1:56" s="9" customFormat="1" x14ac:dyDescent="0.15">
      <c r="A105">
        <f>地图配置辅助表!A106</f>
        <v>3205</v>
      </c>
      <c r="B105" s="8">
        <f>地图配置辅助表!B106</f>
        <v>2</v>
      </c>
      <c r="C105" s="9">
        <f>地图配置辅助表!C106</f>
        <v>3</v>
      </c>
      <c r="D105" s="9" t="str">
        <f>地图配置辅助表!D106</f>
        <v>精英追杀者</v>
      </c>
      <c r="E105" s="9" t="str">
        <f t="shared" si="0"/>
        <v>挑战精英追杀者</v>
      </c>
      <c r="F105" s="9" t="s">
        <v>0</v>
      </c>
      <c r="G105" s="9">
        <v>29</v>
      </c>
      <c r="H105" s="9">
        <v>200</v>
      </c>
      <c r="I105" s="9">
        <v>140</v>
      </c>
      <c r="J105" s="9">
        <v>200</v>
      </c>
      <c r="K105" s="9">
        <v>140</v>
      </c>
      <c r="L105" s="9" t="s">
        <v>185</v>
      </c>
      <c r="M105" s="9">
        <v>0</v>
      </c>
      <c r="R105" s="9" t="s">
        <v>137</v>
      </c>
      <c r="S105" s="11">
        <f>VLOOKUP($A105,地图配置辅助表!$A$3:$AP$245,地图配置辅助表!E$1,FALSE)</f>
        <v>10</v>
      </c>
      <c r="T105" s="9">
        <f>VLOOKUP($A105,地图配置辅助表!$A$3:$AP$245,地图配置辅助表!F$1,FALSE)</f>
        <v>10059</v>
      </c>
      <c r="U105" s="9">
        <f>VLOOKUP($A105,地图配置辅助表!$A$3:$AP$245,地图配置辅助表!G$1,FALSE)</f>
        <v>1</v>
      </c>
      <c r="V105" s="9">
        <f>VLOOKUP($A105,地图配置辅助表!$A$3:$AP$245,地图配置辅助表!H$1,FALSE)</f>
        <v>1</v>
      </c>
      <c r="W105" s="9">
        <f>VLOOKUP($A105,地图配置辅助表!$A$3:$AP$245,地图配置辅助表!I$1,FALSE)</f>
        <v>6</v>
      </c>
      <c r="X105" s="9">
        <f>VLOOKUP($A105,地图配置辅助表!$A$3:$AP$245,地图配置辅助表!J$1,FALSE)</f>
        <v>0</v>
      </c>
      <c r="Y105" s="9">
        <f>VLOOKUP($A105,地图配置辅助表!$A$3:$AP$245,地图配置辅助表!K$1,FALSE)</f>
        <v>0</v>
      </c>
      <c r="Z105" s="9">
        <f>VLOOKUP($A105,地图配置辅助表!$A$3:$AP$245,地图配置辅助表!L$1,FALSE)</f>
        <v>0</v>
      </c>
      <c r="AA105" s="9">
        <f>VLOOKUP($A105,地图配置辅助表!$A$3:$AP$245,地图配置辅助表!M$1,FALSE)</f>
        <v>2</v>
      </c>
      <c r="AB105">
        <f>VLOOKUP($A105,地图配置辅助表!$A$3:$AP$245,地图配置辅助表!N$1,FALSE)</f>
        <v>1</v>
      </c>
      <c r="AC105" s="9">
        <f>VLOOKUP($A105,地图配置辅助表!$A$3:$AP$245,地图配置辅助表!O$1,FALSE)</f>
        <v>3</v>
      </c>
      <c r="AD105">
        <f>VLOOKUP($A105,地图配置辅助表!$A$3:$AP$245,地图配置辅助表!P$1,FALSE)</f>
        <v>3204</v>
      </c>
      <c r="AE105" s="8">
        <f>VLOOKUP($A105,地图配置辅助表!$A$3:$AP$245,地图配置辅助表!Q$1,FALSE)</f>
        <v>3</v>
      </c>
      <c r="AF105" s="8">
        <f>VLOOKUP($A105,地图配置辅助表!$A$3:$AP$245,地图配置辅助表!R$1,FALSE)</f>
        <v>3005</v>
      </c>
      <c r="AG105" s="11">
        <f>VLOOKUP($A105,地图配置辅助表!$A$3:$AP$245,地图配置辅助表!S$1,FALSE)</f>
        <v>503205</v>
      </c>
      <c r="AH105" s="11">
        <f>VLOOKUP($A105,地图配置辅助表!$A$3:$AP$245,地图配置辅助表!T$1,FALSE)</f>
        <v>235004</v>
      </c>
      <c r="AI105" s="9">
        <f>VLOOKUP($A105,地图配置辅助表!$A$3:$AP$245,地图配置辅助表!U$1,FALSE)</f>
        <v>3</v>
      </c>
      <c r="AJ105" s="9">
        <f>VLOOKUP($A105,地图配置辅助表!$A$3:$AP$245,地图配置辅助表!V$1,FALSE)</f>
        <v>235001</v>
      </c>
      <c r="AK105" s="9">
        <f>VLOOKUP($A105,地图配置辅助表!$A$3:$AP$245,地图配置辅助表!W$1,FALSE)</f>
        <v>235002</v>
      </c>
      <c r="AL105" s="9">
        <f>VLOOKUP($A105,地图配置辅助表!$A$3:$AP$245,地图配置辅助表!X$1,FALSE)</f>
        <v>235003</v>
      </c>
      <c r="AM105" s="9">
        <f>VLOOKUP($A105,地图配置辅助表!$A$3:$AP$245,地图配置辅助表!Y$1,FALSE)</f>
        <v>0</v>
      </c>
      <c r="AN105" s="9">
        <f>VLOOKUP($A105,地图配置辅助表!$A$3:$AP$245,地图配置辅助表!Z$1,FALSE)</f>
        <v>0</v>
      </c>
      <c r="AO105" s="9">
        <f>VLOOKUP($A105,地图配置辅助表!$A$3:$AP$245,地图配置辅助表!AA$1,FALSE)</f>
        <v>0</v>
      </c>
      <c r="AP105" s="9">
        <f>VLOOKUP($A105,地图配置辅助表!$A$3:$AP$245,地图配置辅助表!AB$1,FALSE)</f>
        <v>0</v>
      </c>
      <c r="AQ105" s="9">
        <f>VLOOKUP($A105,地图配置辅助表!$A$3:$AP$245,地图配置辅助表!AC$1,FALSE)</f>
        <v>0</v>
      </c>
      <c r="AR105" s="9">
        <f>VLOOKUP($A105,地图配置辅助表!$A$3:$AP$245,地图配置辅助表!AD$1,FALSE)</f>
        <v>0</v>
      </c>
      <c r="AS105" s="9">
        <f>VLOOKUP($A105,地图配置辅助表!$A$3:$AP$245,地图配置辅助表!AE$1,FALSE)</f>
        <v>0</v>
      </c>
      <c r="AT105" s="9">
        <f>VLOOKUP($A105,地图配置辅助表!$A$3:$AP$245,地图配置辅助表!AF$1,FALSE)</f>
        <v>3</v>
      </c>
      <c r="AU105" s="9">
        <f>VLOOKUP($A105,地图配置辅助表!$A$3:$AP$245,地图配置辅助表!AG$1,FALSE)</f>
        <v>181</v>
      </c>
      <c r="AV105" s="9">
        <f>VLOOKUP($A105,地图配置辅助表!$A$3:$AP$245,地图配置辅助表!AH$1,FALSE)</f>
        <v>182</v>
      </c>
      <c r="AW105" s="9">
        <f>VLOOKUP($A105,地图配置辅助表!$A$3:$AP$245,地图配置辅助表!AI$1,FALSE)</f>
        <v>183</v>
      </c>
      <c r="AX105" s="9">
        <f>VLOOKUP($A105,地图配置辅助表!$A$3:$AP$245,地图配置辅助表!AJ$1,FALSE)</f>
        <v>0</v>
      </c>
      <c r="AY105" s="9">
        <f>VLOOKUP($A105,地图配置辅助表!$A$3:$AP$245,地图配置辅助表!AK$1,FALSE)</f>
        <v>0</v>
      </c>
      <c r="AZ105" s="9">
        <f>VLOOKUP($A105,地图配置辅助表!$A$3:$AP$245,地图配置辅助表!AL$1,FALSE)</f>
        <v>0</v>
      </c>
      <c r="BA105" s="9">
        <f>VLOOKUP($A105,地图配置辅助表!$A$3:$AP$245,地图配置辅助表!AM$1,FALSE)</f>
        <v>0</v>
      </c>
      <c r="BB105" s="9">
        <f>VLOOKUP($A105,地图配置辅助表!$A$3:$AP$245,地图配置辅助表!AN$1,FALSE)</f>
        <v>0</v>
      </c>
      <c r="BC105" s="9">
        <f>VLOOKUP($A105,地图配置辅助表!$A$3:$AP$245,地图配置辅助表!AO$1,FALSE)</f>
        <v>0</v>
      </c>
      <c r="BD105" s="9">
        <f>VLOOKUP($A105,地图配置辅助表!$A$3:$AP$245,地图配置辅助表!AP$1,FALSE)</f>
        <v>0</v>
      </c>
    </row>
    <row r="106" spans="1:56" s="9" customFormat="1" x14ac:dyDescent="0.15">
      <c r="A106">
        <f>地图配置辅助表!A107</f>
        <v>3206</v>
      </c>
      <c r="B106" s="8">
        <f>地图配置辅助表!B107</f>
        <v>2</v>
      </c>
      <c r="C106" s="9">
        <f>地图配置辅助表!C107</f>
        <v>3</v>
      </c>
      <c r="D106" s="9" t="str">
        <f>地图配置辅助表!D107</f>
        <v>精英弹药守卫</v>
      </c>
      <c r="E106" s="9" t="str">
        <f t="shared" si="0"/>
        <v>挑战精英弹药守卫</v>
      </c>
      <c r="F106" s="9" t="s">
        <v>0</v>
      </c>
      <c r="G106" s="9">
        <v>29</v>
      </c>
      <c r="H106" s="9">
        <v>200</v>
      </c>
      <c r="I106" s="9">
        <v>140</v>
      </c>
      <c r="J106" s="9">
        <v>200</v>
      </c>
      <c r="K106" s="9">
        <v>140</v>
      </c>
      <c r="L106" s="9" t="s">
        <v>186</v>
      </c>
      <c r="M106" s="9">
        <v>0</v>
      </c>
      <c r="R106" s="9" t="s">
        <v>138</v>
      </c>
      <c r="S106" s="11">
        <f>VLOOKUP($A106,地图配置辅助表!$A$3:$AP$245,地图配置辅助表!E$1,FALSE)</f>
        <v>10</v>
      </c>
      <c r="T106" s="9">
        <f>VLOOKUP($A106,地图配置辅助表!$A$3:$AP$245,地图配置辅助表!F$1,FALSE)</f>
        <v>11165</v>
      </c>
      <c r="U106" s="9">
        <f>VLOOKUP($A106,地图配置辅助表!$A$3:$AP$245,地图配置辅助表!G$1,FALSE)</f>
        <v>1</v>
      </c>
      <c r="V106" s="9">
        <f>VLOOKUP($A106,地图配置辅助表!$A$3:$AP$245,地图配置辅助表!H$1,FALSE)</f>
        <v>1</v>
      </c>
      <c r="W106" s="9">
        <f>VLOOKUP($A106,地图配置辅助表!$A$3:$AP$245,地图配置辅助表!I$1,FALSE)</f>
        <v>6</v>
      </c>
      <c r="X106" s="9">
        <f>VLOOKUP($A106,地图配置辅助表!$A$3:$AP$245,地图配置辅助表!J$1,FALSE)</f>
        <v>0</v>
      </c>
      <c r="Y106" s="9">
        <f>VLOOKUP($A106,地图配置辅助表!$A$3:$AP$245,地图配置辅助表!K$1,FALSE)</f>
        <v>0</v>
      </c>
      <c r="Z106" s="9">
        <f>VLOOKUP($A106,地图配置辅助表!$A$3:$AP$245,地图配置辅助表!L$1,FALSE)</f>
        <v>0</v>
      </c>
      <c r="AA106" s="9">
        <f>VLOOKUP($A106,地图配置辅助表!$A$3:$AP$245,地图配置辅助表!M$1,FALSE)</f>
        <v>2</v>
      </c>
      <c r="AB106">
        <f>VLOOKUP($A106,地图配置辅助表!$A$3:$AP$245,地图配置辅助表!N$1,FALSE)</f>
        <v>1</v>
      </c>
      <c r="AC106" s="9">
        <f>VLOOKUP($A106,地图配置辅助表!$A$3:$AP$245,地图配置辅助表!O$1,FALSE)</f>
        <v>3</v>
      </c>
      <c r="AD106">
        <f>VLOOKUP($A106,地图配置辅助表!$A$3:$AP$245,地图配置辅助表!P$1,FALSE)</f>
        <v>3205</v>
      </c>
      <c r="AE106" s="8">
        <f>VLOOKUP($A106,地图配置辅助表!$A$3:$AP$245,地图配置辅助表!Q$1,FALSE)</f>
        <v>3</v>
      </c>
      <c r="AF106" s="8">
        <f>VLOOKUP($A106,地图配置辅助表!$A$3:$AP$245,地图配置辅助表!R$1,FALSE)</f>
        <v>3006</v>
      </c>
      <c r="AG106" s="11">
        <f>VLOOKUP($A106,地图配置辅助表!$A$3:$AP$245,地图配置辅助表!S$1,FALSE)</f>
        <v>503206</v>
      </c>
      <c r="AH106" s="11">
        <f>VLOOKUP($A106,地图配置辅助表!$A$3:$AP$245,地图配置辅助表!T$1,FALSE)</f>
        <v>236004</v>
      </c>
      <c r="AI106" s="9">
        <f>VLOOKUP($A106,地图配置辅助表!$A$3:$AP$245,地图配置辅助表!U$1,FALSE)</f>
        <v>3</v>
      </c>
      <c r="AJ106" s="9">
        <f>VLOOKUP($A106,地图配置辅助表!$A$3:$AP$245,地图配置辅助表!V$1,FALSE)</f>
        <v>236001</v>
      </c>
      <c r="AK106" s="9">
        <f>VLOOKUP($A106,地图配置辅助表!$A$3:$AP$245,地图配置辅助表!W$1,FALSE)</f>
        <v>236002</v>
      </c>
      <c r="AL106" s="9">
        <f>VLOOKUP($A106,地图配置辅助表!$A$3:$AP$245,地图配置辅助表!X$1,FALSE)</f>
        <v>236003</v>
      </c>
      <c r="AM106" s="9">
        <f>VLOOKUP($A106,地图配置辅助表!$A$3:$AP$245,地图配置辅助表!Y$1,FALSE)</f>
        <v>0</v>
      </c>
      <c r="AN106" s="9">
        <f>VLOOKUP($A106,地图配置辅助表!$A$3:$AP$245,地图配置辅助表!Z$1,FALSE)</f>
        <v>0</v>
      </c>
      <c r="AO106" s="9">
        <f>VLOOKUP($A106,地图配置辅助表!$A$3:$AP$245,地图配置辅助表!AA$1,FALSE)</f>
        <v>0</v>
      </c>
      <c r="AP106" s="9">
        <f>VLOOKUP($A106,地图配置辅助表!$A$3:$AP$245,地图配置辅助表!AB$1,FALSE)</f>
        <v>0</v>
      </c>
      <c r="AQ106" s="9">
        <f>VLOOKUP($A106,地图配置辅助表!$A$3:$AP$245,地图配置辅助表!AC$1,FALSE)</f>
        <v>0</v>
      </c>
      <c r="AR106" s="9">
        <f>VLOOKUP($A106,地图配置辅助表!$A$3:$AP$245,地图配置辅助表!AD$1,FALSE)</f>
        <v>0</v>
      </c>
      <c r="AS106" s="9">
        <f>VLOOKUP($A106,地图配置辅助表!$A$3:$AP$245,地图配置辅助表!AE$1,FALSE)</f>
        <v>0</v>
      </c>
      <c r="AT106" s="9">
        <f>VLOOKUP($A106,地图配置辅助表!$A$3:$AP$245,地图配置辅助表!AF$1,FALSE)</f>
        <v>3</v>
      </c>
      <c r="AU106" s="9">
        <f>VLOOKUP($A106,地图配置辅助表!$A$3:$AP$245,地图配置辅助表!AG$1,FALSE)</f>
        <v>169</v>
      </c>
      <c r="AV106" s="9">
        <f>VLOOKUP($A106,地图配置辅助表!$A$3:$AP$245,地图配置辅助表!AH$1,FALSE)</f>
        <v>170</v>
      </c>
      <c r="AW106" s="9">
        <f>VLOOKUP($A106,地图配置辅助表!$A$3:$AP$245,地图配置辅助表!AI$1,FALSE)</f>
        <v>171</v>
      </c>
      <c r="AX106" s="9">
        <f>VLOOKUP($A106,地图配置辅助表!$A$3:$AP$245,地图配置辅助表!AJ$1,FALSE)</f>
        <v>0</v>
      </c>
      <c r="AY106" s="9">
        <f>VLOOKUP($A106,地图配置辅助表!$A$3:$AP$245,地图配置辅助表!AK$1,FALSE)</f>
        <v>0</v>
      </c>
      <c r="AZ106" s="9">
        <f>VLOOKUP($A106,地图配置辅助表!$A$3:$AP$245,地图配置辅助表!AL$1,FALSE)</f>
        <v>0</v>
      </c>
      <c r="BA106" s="9">
        <f>VLOOKUP($A106,地图配置辅助表!$A$3:$AP$245,地图配置辅助表!AM$1,FALSE)</f>
        <v>0</v>
      </c>
      <c r="BB106" s="9">
        <f>VLOOKUP($A106,地图配置辅助表!$A$3:$AP$245,地图配置辅助表!AN$1,FALSE)</f>
        <v>0</v>
      </c>
      <c r="BC106" s="9">
        <f>VLOOKUP($A106,地图配置辅助表!$A$3:$AP$245,地图配置辅助表!AO$1,FALSE)</f>
        <v>0</v>
      </c>
      <c r="BD106" s="9">
        <f>VLOOKUP($A106,地图配置辅助表!$A$3:$AP$245,地图配置辅助表!AP$1,FALSE)</f>
        <v>0</v>
      </c>
    </row>
    <row r="107" spans="1:56" s="9" customFormat="1" x14ac:dyDescent="0.15">
      <c r="A107">
        <f>地图配置辅助表!A108</f>
        <v>3207</v>
      </c>
      <c r="B107" s="8">
        <f>地图配置辅助表!B108</f>
        <v>2</v>
      </c>
      <c r="C107" s="9">
        <f>地图配置辅助表!C108</f>
        <v>3</v>
      </c>
      <c r="D107" s="9" t="str">
        <f>地图配置辅助表!D108</f>
        <v>精英人质看守</v>
      </c>
      <c r="E107" s="9" t="str">
        <f t="shared" si="0"/>
        <v>挑战精英人质看守</v>
      </c>
      <c r="F107" s="9" t="s">
        <v>0</v>
      </c>
      <c r="G107" s="9">
        <v>29</v>
      </c>
      <c r="H107" s="9">
        <v>200</v>
      </c>
      <c r="I107" s="9">
        <v>140</v>
      </c>
      <c r="J107" s="9">
        <v>200</v>
      </c>
      <c r="K107" s="9">
        <v>140</v>
      </c>
      <c r="L107" s="9" t="s">
        <v>638</v>
      </c>
      <c r="M107" s="9">
        <v>0</v>
      </c>
      <c r="R107" s="9" t="s">
        <v>623</v>
      </c>
      <c r="S107" s="11">
        <f>VLOOKUP($A107,地图配置辅助表!$A$3:$AP$245,地图配置辅助表!E$1,FALSE)</f>
        <v>10</v>
      </c>
      <c r="T107" s="9">
        <f>VLOOKUP($A107,地图配置辅助表!$A$3:$AP$245,地图配置辅助表!F$1,FALSE)</f>
        <v>12371</v>
      </c>
      <c r="U107" s="9">
        <f>VLOOKUP($A107,地图配置辅助表!$A$3:$AP$245,地图配置辅助表!G$1,FALSE)</f>
        <v>1</v>
      </c>
      <c r="V107" s="9">
        <f>VLOOKUP($A107,地图配置辅助表!$A$3:$AP$245,地图配置辅助表!H$1,FALSE)</f>
        <v>1</v>
      </c>
      <c r="W107" s="9">
        <f>VLOOKUP($A107,地图配置辅助表!$A$3:$AP$245,地图配置辅助表!I$1,FALSE)</f>
        <v>6</v>
      </c>
      <c r="X107" s="9">
        <f>VLOOKUP($A107,地图配置辅助表!$A$3:$AP$245,地图配置辅助表!J$1,FALSE)</f>
        <v>0</v>
      </c>
      <c r="Y107" s="9">
        <f>VLOOKUP($A107,地图配置辅助表!$A$3:$AP$245,地图配置辅助表!K$1,FALSE)</f>
        <v>0</v>
      </c>
      <c r="Z107" s="9">
        <f>VLOOKUP($A107,地图配置辅助表!$A$3:$AP$245,地图配置辅助表!L$1,FALSE)</f>
        <v>0</v>
      </c>
      <c r="AA107" s="9">
        <f>VLOOKUP($A107,地图配置辅助表!$A$3:$AP$245,地图配置辅助表!M$1,FALSE)</f>
        <v>2</v>
      </c>
      <c r="AB107">
        <f>VLOOKUP($A107,地图配置辅助表!$A$3:$AP$245,地图配置辅助表!N$1,FALSE)</f>
        <v>1</v>
      </c>
      <c r="AC107" s="9">
        <f>VLOOKUP($A107,地图配置辅助表!$A$3:$AP$245,地图配置辅助表!O$1,FALSE)</f>
        <v>3</v>
      </c>
      <c r="AD107">
        <f>VLOOKUP($A107,地图配置辅助表!$A$3:$AP$245,地图配置辅助表!P$1,FALSE)</f>
        <v>3206</v>
      </c>
      <c r="AE107" s="8">
        <f>VLOOKUP($A107,地图配置辅助表!$A$3:$AP$245,地图配置辅助表!Q$1,FALSE)</f>
        <v>3</v>
      </c>
      <c r="AF107" s="8">
        <f>VLOOKUP($A107,地图配置辅助表!$A$3:$AP$245,地图配置辅助表!R$1,FALSE)</f>
        <v>3007</v>
      </c>
      <c r="AG107" s="11">
        <f>VLOOKUP($A107,地图配置辅助表!$A$3:$AP$245,地图配置辅助表!S$1,FALSE)</f>
        <v>503207</v>
      </c>
      <c r="AH107" s="11">
        <f>VLOOKUP($A107,地图配置辅助表!$A$3:$AP$245,地图配置辅助表!T$1,FALSE)</f>
        <v>237004</v>
      </c>
      <c r="AI107" s="9">
        <f>VLOOKUP($A107,地图配置辅助表!$A$3:$AP$245,地图配置辅助表!U$1,FALSE)</f>
        <v>3</v>
      </c>
      <c r="AJ107" s="9">
        <f>VLOOKUP($A107,地图配置辅助表!$A$3:$AP$245,地图配置辅助表!V$1,FALSE)</f>
        <v>237001</v>
      </c>
      <c r="AK107" s="9">
        <f>VLOOKUP($A107,地图配置辅助表!$A$3:$AP$245,地图配置辅助表!W$1,FALSE)</f>
        <v>237002</v>
      </c>
      <c r="AL107" s="9">
        <f>VLOOKUP($A107,地图配置辅助表!$A$3:$AP$245,地图配置辅助表!X$1,FALSE)</f>
        <v>237003</v>
      </c>
      <c r="AM107" s="9">
        <f>VLOOKUP($A107,地图配置辅助表!$A$3:$AP$245,地图配置辅助表!Y$1,FALSE)</f>
        <v>0</v>
      </c>
      <c r="AN107" s="9">
        <f>VLOOKUP($A107,地图配置辅助表!$A$3:$AP$245,地图配置辅助表!Z$1,FALSE)</f>
        <v>0</v>
      </c>
      <c r="AO107" s="9">
        <f>VLOOKUP($A107,地图配置辅助表!$A$3:$AP$245,地图配置辅助表!AA$1,FALSE)</f>
        <v>0</v>
      </c>
      <c r="AP107" s="9">
        <f>VLOOKUP($A107,地图配置辅助表!$A$3:$AP$245,地图配置辅助表!AB$1,FALSE)</f>
        <v>0</v>
      </c>
      <c r="AQ107" s="9">
        <f>VLOOKUP($A107,地图配置辅助表!$A$3:$AP$245,地图配置辅助表!AC$1,FALSE)</f>
        <v>0</v>
      </c>
      <c r="AR107" s="9">
        <f>VLOOKUP($A107,地图配置辅助表!$A$3:$AP$245,地图配置辅助表!AD$1,FALSE)</f>
        <v>0</v>
      </c>
      <c r="AS107" s="9">
        <f>VLOOKUP($A107,地图配置辅助表!$A$3:$AP$245,地图配置辅助表!AE$1,FALSE)</f>
        <v>0</v>
      </c>
      <c r="AT107" s="9">
        <f>VLOOKUP($A107,地图配置辅助表!$A$3:$AP$245,地图配置辅助表!AF$1,FALSE)</f>
        <v>3</v>
      </c>
      <c r="AU107" s="9">
        <f>VLOOKUP($A107,地图配置辅助表!$A$3:$AP$245,地图配置辅助表!AG$1,FALSE)</f>
        <v>181</v>
      </c>
      <c r="AV107" s="9">
        <f>VLOOKUP($A107,地图配置辅助表!$A$3:$AP$245,地图配置辅助表!AH$1,FALSE)</f>
        <v>182</v>
      </c>
      <c r="AW107" s="9">
        <f>VLOOKUP($A107,地图配置辅助表!$A$3:$AP$245,地图配置辅助表!AI$1,FALSE)</f>
        <v>183</v>
      </c>
      <c r="AX107" s="9">
        <f>VLOOKUP($A107,地图配置辅助表!$A$3:$AP$245,地图配置辅助表!AJ$1,FALSE)</f>
        <v>0</v>
      </c>
      <c r="AY107" s="9">
        <f>VLOOKUP($A107,地图配置辅助表!$A$3:$AP$245,地图配置辅助表!AK$1,FALSE)</f>
        <v>0</v>
      </c>
      <c r="AZ107" s="9">
        <f>VLOOKUP($A107,地图配置辅助表!$A$3:$AP$245,地图配置辅助表!AL$1,FALSE)</f>
        <v>0</v>
      </c>
      <c r="BA107" s="9">
        <f>VLOOKUP($A107,地图配置辅助表!$A$3:$AP$245,地图配置辅助表!AM$1,FALSE)</f>
        <v>0</v>
      </c>
      <c r="BB107" s="9">
        <f>VLOOKUP($A107,地图配置辅助表!$A$3:$AP$245,地图配置辅助表!AN$1,FALSE)</f>
        <v>0</v>
      </c>
      <c r="BC107" s="9">
        <f>VLOOKUP($A107,地图配置辅助表!$A$3:$AP$245,地图配置辅助表!AO$1,FALSE)</f>
        <v>0</v>
      </c>
      <c r="BD107" s="9">
        <f>VLOOKUP($A107,地图配置辅助表!$A$3:$AP$245,地图配置辅助表!AP$1,FALSE)</f>
        <v>0</v>
      </c>
    </row>
    <row r="108" spans="1:56" s="9" customFormat="1" x14ac:dyDescent="0.15">
      <c r="A108">
        <f>地图配置辅助表!A109</f>
        <v>3208</v>
      </c>
      <c r="B108" s="8">
        <f>地图配置辅助表!B109</f>
        <v>2</v>
      </c>
      <c r="C108" s="9">
        <f>地图配置辅助表!C109</f>
        <v>3</v>
      </c>
      <c r="D108" s="9" t="str">
        <f>地图配置辅助表!D109</f>
        <v>精英乌鸦心腹</v>
      </c>
      <c r="E108" s="9" t="str">
        <f t="shared" si="0"/>
        <v>挑战精英乌鸦心腹</v>
      </c>
      <c r="F108" s="9" t="s">
        <v>0</v>
      </c>
      <c r="G108" s="9">
        <v>29</v>
      </c>
      <c r="H108" s="9">
        <v>200</v>
      </c>
      <c r="I108" s="9">
        <v>140</v>
      </c>
      <c r="J108" s="9">
        <v>200</v>
      </c>
      <c r="K108" s="9">
        <v>140</v>
      </c>
      <c r="L108" s="9" t="s">
        <v>639</v>
      </c>
      <c r="M108" s="9">
        <v>0</v>
      </c>
      <c r="R108" s="9" t="s">
        <v>624</v>
      </c>
      <c r="S108" s="11">
        <f>VLOOKUP($A108,地图配置辅助表!$A$3:$AP$245,地图配置辅助表!E$1,FALSE)</f>
        <v>10</v>
      </c>
      <c r="T108" s="9">
        <f>VLOOKUP($A108,地图配置辅助表!$A$3:$AP$245,地图配置辅助表!F$1,FALSE)</f>
        <v>13895</v>
      </c>
      <c r="U108" s="9">
        <f>VLOOKUP($A108,地图配置辅助表!$A$3:$AP$245,地图配置辅助表!G$1,FALSE)</f>
        <v>1</v>
      </c>
      <c r="V108" s="9">
        <f>VLOOKUP($A108,地图配置辅助表!$A$3:$AP$245,地图配置辅助表!H$1,FALSE)</f>
        <v>1</v>
      </c>
      <c r="W108" s="9">
        <f>VLOOKUP($A108,地图配置辅助表!$A$3:$AP$245,地图配置辅助表!I$1,FALSE)</f>
        <v>6</v>
      </c>
      <c r="X108" s="9">
        <f>VLOOKUP($A108,地图配置辅助表!$A$3:$AP$245,地图配置辅助表!J$1,FALSE)</f>
        <v>0</v>
      </c>
      <c r="Y108" s="9">
        <f>VLOOKUP($A108,地图配置辅助表!$A$3:$AP$245,地图配置辅助表!K$1,FALSE)</f>
        <v>0</v>
      </c>
      <c r="Z108" s="9">
        <f>VLOOKUP($A108,地图配置辅助表!$A$3:$AP$245,地图配置辅助表!L$1,FALSE)</f>
        <v>0</v>
      </c>
      <c r="AA108" s="9">
        <f>VLOOKUP($A108,地图配置辅助表!$A$3:$AP$245,地图配置辅助表!M$1,FALSE)</f>
        <v>2</v>
      </c>
      <c r="AB108">
        <f>VLOOKUP($A108,地图配置辅助表!$A$3:$AP$245,地图配置辅助表!N$1,FALSE)</f>
        <v>1</v>
      </c>
      <c r="AC108" s="9">
        <f>VLOOKUP($A108,地图配置辅助表!$A$3:$AP$245,地图配置辅助表!O$1,FALSE)</f>
        <v>3</v>
      </c>
      <c r="AD108">
        <f>VLOOKUP($A108,地图配置辅助表!$A$3:$AP$245,地图配置辅助表!P$1,FALSE)</f>
        <v>3207</v>
      </c>
      <c r="AE108" s="8">
        <f>VLOOKUP($A108,地图配置辅助表!$A$3:$AP$245,地图配置辅助表!Q$1,FALSE)</f>
        <v>3</v>
      </c>
      <c r="AF108" s="8">
        <f>VLOOKUP($A108,地图配置辅助表!$A$3:$AP$245,地图配置辅助表!R$1,FALSE)</f>
        <v>3008</v>
      </c>
      <c r="AG108" s="11">
        <f>VLOOKUP($A108,地图配置辅助表!$A$3:$AP$245,地图配置辅助表!S$1,FALSE)</f>
        <v>503208</v>
      </c>
      <c r="AH108" s="11">
        <f>VLOOKUP($A108,地图配置辅助表!$A$3:$AP$245,地图配置辅助表!T$1,FALSE)</f>
        <v>238004</v>
      </c>
      <c r="AI108" s="9">
        <f>VLOOKUP($A108,地图配置辅助表!$A$3:$AP$245,地图配置辅助表!U$1,FALSE)</f>
        <v>3</v>
      </c>
      <c r="AJ108" s="9">
        <f>VLOOKUP($A108,地图配置辅助表!$A$3:$AP$245,地图配置辅助表!V$1,FALSE)</f>
        <v>238001</v>
      </c>
      <c r="AK108" s="9">
        <f>VLOOKUP($A108,地图配置辅助表!$A$3:$AP$245,地图配置辅助表!W$1,FALSE)</f>
        <v>238002</v>
      </c>
      <c r="AL108" s="9">
        <f>VLOOKUP($A108,地图配置辅助表!$A$3:$AP$245,地图配置辅助表!X$1,FALSE)</f>
        <v>238003</v>
      </c>
      <c r="AM108" s="9">
        <f>VLOOKUP($A108,地图配置辅助表!$A$3:$AP$245,地图配置辅助表!Y$1,FALSE)</f>
        <v>0</v>
      </c>
      <c r="AN108" s="9">
        <f>VLOOKUP($A108,地图配置辅助表!$A$3:$AP$245,地图配置辅助表!Z$1,FALSE)</f>
        <v>0</v>
      </c>
      <c r="AO108" s="9">
        <f>VLOOKUP($A108,地图配置辅助表!$A$3:$AP$245,地图配置辅助表!AA$1,FALSE)</f>
        <v>0</v>
      </c>
      <c r="AP108" s="9">
        <f>VLOOKUP($A108,地图配置辅助表!$A$3:$AP$245,地图配置辅助表!AB$1,FALSE)</f>
        <v>0</v>
      </c>
      <c r="AQ108" s="9">
        <f>VLOOKUP($A108,地图配置辅助表!$A$3:$AP$245,地图配置辅助表!AC$1,FALSE)</f>
        <v>0</v>
      </c>
      <c r="AR108" s="9">
        <f>VLOOKUP($A108,地图配置辅助表!$A$3:$AP$245,地图配置辅助表!AD$1,FALSE)</f>
        <v>0</v>
      </c>
      <c r="AS108" s="9">
        <f>VLOOKUP($A108,地图配置辅助表!$A$3:$AP$245,地图配置辅助表!AE$1,FALSE)</f>
        <v>0</v>
      </c>
      <c r="AT108" s="9">
        <f>VLOOKUP($A108,地图配置辅助表!$A$3:$AP$245,地图配置辅助表!AF$1,FALSE)</f>
        <v>3</v>
      </c>
      <c r="AU108" s="9">
        <f>VLOOKUP($A108,地图配置辅助表!$A$3:$AP$245,地图配置辅助表!AG$1,FALSE)</f>
        <v>252</v>
      </c>
      <c r="AV108" s="9">
        <f>VLOOKUP($A108,地图配置辅助表!$A$3:$AP$245,地图配置辅助表!AH$1,FALSE)</f>
        <v>253</v>
      </c>
      <c r="AW108" s="9">
        <f>VLOOKUP($A108,地图配置辅助表!$A$3:$AP$245,地图配置辅助表!AI$1,FALSE)</f>
        <v>254</v>
      </c>
      <c r="AX108" s="9">
        <f>VLOOKUP($A108,地图配置辅助表!$A$3:$AP$245,地图配置辅助表!AJ$1,FALSE)</f>
        <v>0</v>
      </c>
      <c r="AY108" s="9">
        <f>VLOOKUP($A108,地图配置辅助表!$A$3:$AP$245,地图配置辅助表!AK$1,FALSE)</f>
        <v>0</v>
      </c>
      <c r="AZ108" s="9">
        <f>VLOOKUP($A108,地图配置辅助表!$A$3:$AP$245,地图配置辅助表!AL$1,FALSE)</f>
        <v>0</v>
      </c>
      <c r="BA108" s="9">
        <f>VLOOKUP($A108,地图配置辅助表!$A$3:$AP$245,地图配置辅助表!AM$1,FALSE)</f>
        <v>0</v>
      </c>
      <c r="BB108" s="9">
        <f>VLOOKUP($A108,地图配置辅助表!$A$3:$AP$245,地图配置辅助表!AN$1,FALSE)</f>
        <v>0</v>
      </c>
      <c r="BC108" s="9">
        <f>VLOOKUP($A108,地图配置辅助表!$A$3:$AP$245,地图配置辅助表!AO$1,FALSE)</f>
        <v>0</v>
      </c>
      <c r="BD108" s="9">
        <f>VLOOKUP($A108,地图配置辅助表!$A$3:$AP$245,地图配置辅助表!AP$1,FALSE)</f>
        <v>0</v>
      </c>
    </row>
    <row r="109" spans="1:56" s="9" customFormat="1" x14ac:dyDescent="0.15">
      <c r="A109">
        <f>地图配置辅助表!A110</f>
        <v>3209</v>
      </c>
      <c r="B109" s="8">
        <f>地图配置辅助表!B110</f>
        <v>2</v>
      </c>
      <c r="C109" s="9">
        <f>地图配置辅助表!C110</f>
        <v>3</v>
      </c>
      <c r="D109" s="9" t="str">
        <f>地图配置辅助表!D110</f>
        <v>精英乌鸦</v>
      </c>
      <c r="E109" s="9" t="str">
        <f t="shared" si="0"/>
        <v>挑战精英乌鸦</v>
      </c>
      <c r="F109" s="9" t="s">
        <v>0</v>
      </c>
      <c r="G109" s="9">
        <v>29</v>
      </c>
      <c r="H109" s="9">
        <v>200</v>
      </c>
      <c r="I109" s="9">
        <v>140</v>
      </c>
      <c r="J109" s="9">
        <v>200</v>
      </c>
      <c r="K109" s="9">
        <v>140</v>
      </c>
      <c r="L109" s="9" t="s">
        <v>640</v>
      </c>
      <c r="M109" s="9">
        <v>0</v>
      </c>
      <c r="R109" s="9" t="s">
        <v>625</v>
      </c>
      <c r="S109" s="11">
        <f>VLOOKUP($A109,地图配置辅助表!$A$3:$AP$245,地图配置辅助表!E$1,FALSE)</f>
        <v>10</v>
      </c>
      <c r="T109" s="9">
        <f>VLOOKUP($A109,地图配置辅助表!$A$3:$AP$245,地图配置辅助表!F$1,FALSE)</f>
        <v>15315</v>
      </c>
      <c r="U109" s="9">
        <f>VLOOKUP($A109,地图配置辅助表!$A$3:$AP$245,地图配置辅助表!G$1,FALSE)</f>
        <v>1</v>
      </c>
      <c r="V109" s="9">
        <f>VLOOKUP($A109,地图配置辅助表!$A$3:$AP$245,地图配置辅助表!H$1,FALSE)</f>
        <v>1</v>
      </c>
      <c r="W109" s="9">
        <f>VLOOKUP($A109,地图配置辅助表!$A$3:$AP$245,地图配置辅助表!I$1,FALSE)</f>
        <v>6</v>
      </c>
      <c r="X109" s="9">
        <f>VLOOKUP($A109,地图配置辅助表!$A$3:$AP$245,地图配置辅助表!J$1,FALSE)</f>
        <v>0</v>
      </c>
      <c r="Y109" s="9">
        <f>VLOOKUP($A109,地图配置辅助表!$A$3:$AP$245,地图配置辅助表!K$1,FALSE)</f>
        <v>0</v>
      </c>
      <c r="Z109" s="9">
        <f>VLOOKUP($A109,地图配置辅助表!$A$3:$AP$245,地图配置辅助表!L$1,FALSE)</f>
        <v>0</v>
      </c>
      <c r="AA109" s="9">
        <f>VLOOKUP($A109,地图配置辅助表!$A$3:$AP$245,地图配置辅助表!M$1,FALSE)</f>
        <v>2</v>
      </c>
      <c r="AB109">
        <f>VLOOKUP($A109,地图配置辅助表!$A$3:$AP$245,地图配置辅助表!N$1,FALSE)</f>
        <v>1</v>
      </c>
      <c r="AC109" s="9">
        <f>VLOOKUP($A109,地图配置辅助表!$A$3:$AP$245,地图配置辅助表!O$1,FALSE)</f>
        <v>3</v>
      </c>
      <c r="AD109">
        <f>VLOOKUP($A109,地图配置辅助表!$A$3:$AP$245,地图配置辅助表!P$1,FALSE)</f>
        <v>3208</v>
      </c>
      <c r="AE109" s="8">
        <f>VLOOKUP($A109,地图配置辅助表!$A$3:$AP$245,地图配置辅助表!Q$1,FALSE)</f>
        <v>3</v>
      </c>
      <c r="AF109" s="8">
        <f>VLOOKUP($A109,地图配置辅助表!$A$3:$AP$245,地图配置辅助表!R$1,FALSE)</f>
        <v>3009</v>
      </c>
      <c r="AG109" s="11">
        <f>VLOOKUP($A109,地图配置辅助表!$A$3:$AP$245,地图配置辅助表!S$1,FALSE)</f>
        <v>503209</v>
      </c>
      <c r="AH109" s="11">
        <f>VLOOKUP($A109,地图配置辅助表!$A$3:$AP$245,地图配置辅助表!T$1,FALSE)</f>
        <v>239004</v>
      </c>
      <c r="AI109" s="9">
        <f>VLOOKUP($A109,地图配置辅助表!$A$3:$AP$245,地图配置辅助表!U$1,FALSE)</f>
        <v>3</v>
      </c>
      <c r="AJ109" s="9">
        <f>VLOOKUP($A109,地图配置辅助表!$A$3:$AP$245,地图配置辅助表!V$1,FALSE)</f>
        <v>239001</v>
      </c>
      <c r="AK109" s="9">
        <f>VLOOKUP($A109,地图配置辅助表!$A$3:$AP$245,地图配置辅助表!W$1,FALSE)</f>
        <v>239002</v>
      </c>
      <c r="AL109" s="9">
        <f>VLOOKUP($A109,地图配置辅助表!$A$3:$AP$245,地图配置辅助表!X$1,FALSE)</f>
        <v>239003</v>
      </c>
      <c r="AM109" s="9">
        <f>VLOOKUP($A109,地图配置辅助表!$A$3:$AP$245,地图配置辅助表!Y$1,FALSE)</f>
        <v>0</v>
      </c>
      <c r="AN109" s="9">
        <f>VLOOKUP($A109,地图配置辅助表!$A$3:$AP$245,地图配置辅助表!Z$1,FALSE)</f>
        <v>0</v>
      </c>
      <c r="AO109" s="9">
        <f>VLOOKUP($A109,地图配置辅助表!$A$3:$AP$245,地图配置辅助表!AA$1,FALSE)</f>
        <v>0</v>
      </c>
      <c r="AP109" s="9">
        <f>VLOOKUP($A109,地图配置辅助表!$A$3:$AP$245,地图配置辅助表!AB$1,FALSE)</f>
        <v>0</v>
      </c>
      <c r="AQ109" s="9">
        <f>VLOOKUP($A109,地图配置辅助表!$A$3:$AP$245,地图配置辅助表!AC$1,FALSE)</f>
        <v>0</v>
      </c>
      <c r="AR109" s="9">
        <f>VLOOKUP($A109,地图配置辅助表!$A$3:$AP$245,地图配置辅助表!AD$1,FALSE)</f>
        <v>0</v>
      </c>
      <c r="AS109" s="9">
        <f>VLOOKUP($A109,地图配置辅助表!$A$3:$AP$245,地图配置辅助表!AE$1,FALSE)</f>
        <v>0</v>
      </c>
      <c r="AT109" s="9">
        <f>VLOOKUP($A109,地图配置辅助表!$A$3:$AP$245,地图配置辅助表!AF$1,FALSE)</f>
        <v>3</v>
      </c>
      <c r="AU109" s="9">
        <f>VLOOKUP($A109,地图配置辅助表!$A$3:$AP$245,地图配置辅助表!AG$1,FALSE)</f>
        <v>169</v>
      </c>
      <c r="AV109" s="9">
        <f>VLOOKUP($A109,地图配置辅助表!$A$3:$AP$245,地图配置辅助表!AH$1,FALSE)</f>
        <v>170</v>
      </c>
      <c r="AW109" s="9">
        <f>VLOOKUP($A109,地图配置辅助表!$A$3:$AP$245,地图配置辅助表!AI$1,FALSE)</f>
        <v>171</v>
      </c>
      <c r="AX109" s="9">
        <f>VLOOKUP($A109,地图配置辅助表!$A$3:$AP$245,地图配置辅助表!AJ$1,FALSE)</f>
        <v>0</v>
      </c>
      <c r="AY109" s="9">
        <f>VLOOKUP($A109,地图配置辅助表!$A$3:$AP$245,地图配置辅助表!AK$1,FALSE)</f>
        <v>0</v>
      </c>
      <c r="AZ109" s="9">
        <f>VLOOKUP($A109,地图配置辅助表!$A$3:$AP$245,地图配置辅助表!AL$1,FALSE)</f>
        <v>0</v>
      </c>
      <c r="BA109" s="9">
        <f>VLOOKUP($A109,地图配置辅助表!$A$3:$AP$245,地图配置辅助表!AM$1,FALSE)</f>
        <v>0</v>
      </c>
      <c r="BB109" s="9">
        <f>VLOOKUP($A109,地图配置辅助表!$A$3:$AP$245,地图配置辅助表!AN$1,FALSE)</f>
        <v>0</v>
      </c>
      <c r="BC109" s="9">
        <f>VLOOKUP($A109,地图配置辅助表!$A$3:$AP$245,地图配置辅助表!AO$1,FALSE)</f>
        <v>0</v>
      </c>
      <c r="BD109" s="9">
        <f>VLOOKUP($A109,地图配置辅助表!$A$3:$AP$245,地图配置辅助表!AP$1,FALSE)</f>
        <v>0</v>
      </c>
    </row>
    <row r="110" spans="1:56" s="9" customFormat="1" x14ac:dyDescent="0.15">
      <c r="A110">
        <f>地图配置辅助表!A111</f>
        <v>4201</v>
      </c>
      <c r="B110" s="8">
        <f>地图配置辅助表!B111</f>
        <v>2</v>
      </c>
      <c r="C110" s="9">
        <f>地图配置辅助表!C111</f>
        <v>4</v>
      </c>
      <c r="D110" s="9" t="str">
        <f>地图配置辅助表!D111</f>
        <v>精英袭击者</v>
      </c>
      <c r="E110" s="9" t="str">
        <f t="shared" si="0"/>
        <v>挑战精英袭击者</v>
      </c>
      <c r="F110" s="9" t="s">
        <v>0</v>
      </c>
      <c r="G110" s="9">
        <v>29</v>
      </c>
      <c r="H110" s="9">
        <v>200</v>
      </c>
      <c r="I110" s="9">
        <v>140</v>
      </c>
      <c r="J110" s="9">
        <v>200</v>
      </c>
      <c r="K110" s="9">
        <v>140</v>
      </c>
      <c r="L110" s="9" t="s">
        <v>187</v>
      </c>
      <c r="M110" s="9">
        <v>0</v>
      </c>
      <c r="R110" s="9" t="s">
        <v>139</v>
      </c>
      <c r="S110" s="11">
        <f>VLOOKUP($A110,地图配置辅助表!$A$3:$AP$245,地图配置辅助表!E$1,FALSE)</f>
        <v>12</v>
      </c>
      <c r="T110" s="9">
        <f>VLOOKUP($A110,地图配置辅助表!$A$3:$AP$245,地图配置辅助表!F$1,FALSE)</f>
        <v>14949</v>
      </c>
      <c r="U110" s="9">
        <f>VLOOKUP($A110,地图配置辅助表!$A$3:$AP$245,地图配置辅助表!G$1,FALSE)</f>
        <v>1</v>
      </c>
      <c r="V110" s="9">
        <f>VLOOKUP($A110,地图配置辅助表!$A$3:$AP$245,地图配置辅助表!H$1,FALSE)</f>
        <v>1</v>
      </c>
      <c r="W110" s="9">
        <f>VLOOKUP($A110,地图配置辅助表!$A$3:$AP$245,地图配置辅助表!I$1,FALSE)</f>
        <v>6</v>
      </c>
      <c r="X110" s="9">
        <f>VLOOKUP($A110,地图配置辅助表!$A$3:$AP$245,地图配置辅助表!J$1,FALSE)</f>
        <v>0</v>
      </c>
      <c r="Y110" s="9">
        <f>VLOOKUP($A110,地图配置辅助表!$A$3:$AP$245,地图配置辅助表!K$1,FALSE)</f>
        <v>0</v>
      </c>
      <c r="Z110" s="9">
        <f>VLOOKUP($A110,地图配置辅助表!$A$3:$AP$245,地图配置辅助表!L$1,FALSE)</f>
        <v>0</v>
      </c>
      <c r="AA110" s="9">
        <f>VLOOKUP($A110,地图配置辅助表!$A$3:$AP$245,地图配置辅助表!M$1,FALSE)</f>
        <v>2</v>
      </c>
      <c r="AB110">
        <f>VLOOKUP($A110,地图配置辅助表!$A$3:$AP$245,地图配置辅助表!N$1,FALSE)</f>
        <v>1</v>
      </c>
      <c r="AC110" s="9">
        <f>VLOOKUP($A110,地图配置辅助表!$A$3:$AP$245,地图配置辅助表!O$1,FALSE)</f>
        <v>3</v>
      </c>
      <c r="AD110">
        <f>VLOOKUP($A110,地图配置辅助表!$A$3:$AP$245,地图配置辅助表!P$1,FALSE)</f>
        <v>3209</v>
      </c>
      <c r="AE110" s="8">
        <f>VLOOKUP($A110,地图配置辅助表!$A$3:$AP$245,地图配置辅助表!Q$1,FALSE)</f>
        <v>3</v>
      </c>
      <c r="AF110" s="8">
        <f>VLOOKUP($A110,地图配置辅助表!$A$3:$AP$245,地图配置辅助表!R$1,FALSE)</f>
        <v>4001</v>
      </c>
      <c r="AG110" s="11">
        <f>VLOOKUP($A110,地图配置辅助表!$A$3:$AP$245,地图配置辅助表!S$1,FALSE)</f>
        <v>504201</v>
      </c>
      <c r="AH110" s="11">
        <f>VLOOKUP($A110,地图配置辅助表!$A$3:$AP$245,地图配置辅助表!T$1,FALSE)</f>
        <v>241004</v>
      </c>
      <c r="AI110" s="9">
        <f>VLOOKUP($A110,地图配置辅助表!$A$3:$AP$245,地图配置辅助表!U$1,FALSE)</f>
        <v>3</v>
      </c>
      <c r="AJ110" s="9">
        <f>VLOOKUP($A110,地图配置辅助表!$A$3:$AP$245,地图配置辅助表!V$1,FALSE)</f>
        <v>241001</v>
      </c>
      <c r="AK110" s="9">
        <f>VLOOKUP($A110,地图配置辅助表!$A$3:$AP$245,地图配置辅助表!W$1,FALSE)</f>
        <v>241002</v>
      </c>
      <c r="AL110" s="9">
        <f>VLOOKUP($A110,地图配置辅助表!$A$3:$AP$245,地图配置辅助表!X$1,FALSE)</f>
        <v>241003</v>
      </c>
      <c r="AM110" s="9">
        <f>VLOOKUP($A110,地图配置辅助表!$A$3:$AP$245,地图配置辅助表!Y$1,FALSE)</f>
        <v>0</v>
      </c>
      <c r="AN110" s="9">
        <f>VLOOKUP($A110,地图配置辅助表!$A$3:$AP$245,地图配置辅助表!Z$1,FALSE)</f>
        <v>0</v>
      </c>
      <c r="AO110" s="9">
        <f>VLOOKUP($A110,地图配置辅助表!$A$3:$AP$245,地图配置辅助表!AA$1,FALSE)</f>
        <v>0</v>
      </c>
      <c r="AP110" s="9">
        <f>VLOOKUP($A110,地图配置辅助表!$A$3:$AP$245,地图配置辅助表!AB$1,FALSE)</f>
        <v>0</v>
      </c>
      <c r="AQ110" s="9">
        <f>VLOOKUP($A110,地图配置辅助表!$A$3:$AP$245,地图配置辅助表!AC$1,FALSE)</f>
        <v>0</v>
      </c>
      <c r="AR110" s="9">
        <f>VLOOKUP($A110,地图配置辅助表!$A$3:$AP$245,地图配置辅助表!AD$1,FALSE)</f>
        <v>0</v>
      </c>
      <c r="AS110" s="9">
        <f>VLOOKUP($A110,地图配置辅助表!$A$3:$AP$245,地图配置辅助表!AE$1,FALSE)</f>
        <v>0</v>
      </c>
      <c r="AT110" s="9">
        <f>VLOOKUP($A110,地图配置辅助表!$A$3:$AP$245,地图配置辅助表!AF$1,FALSE)</f>
        <v>3</v>
      </c>
      <c r="AU110" s="9">
        <f>VLOOKUP($A110,地图配置辅助表!$A$3:$AP$245,地图配置辅助表!AG$1,FALSE)</f>
        <v>132</v>
      </c>
      <c r="AV110" s="9">
        <f>VLOOKUP($A110,地图配置辅助表!$A$3:$AP$245,地图配置辅助表!AH$1,FALSE)</f>
        <v>133</v>
      </c>
      <c r="AW110" s="9">
        <f>VLOOKUP($A110,地图配置辅助表!$A$3:$AP$245,地图配置辅助表!AI$1,FALSE)</f>
        <v>134</v>
      </c>
      <c r="AX110" s="9">
        <f>VLOOKUP($A110,地图配置辅助表!$A$3:$AP$245,地图配置辅助表!AJ$1,FALSE)</f>
        <v>0</v>
      </c>
      <c r="AY110" s="9">
        <f>VLOOKUP($A110,地图配置辅助表!$A$3:$AP$245,地图配置辅助表!AK$1,FALSE)</f>
        <v>0</v>
      </c>
      <c r="AZ110" s="9">
        <f>VLOOKUP($A110,地图配置辅助表!$A$3:$AP$245,地图配置辅助表!AL$1,FALSE)</f>
        <v>0</v>
      </c>
      <c r="BA110" s="9">
        <f>VLOOKUP($A110,地图配置辅助表!$A$3:$AP$245,地图配置辅助表!AM$1,FALSE)</f>
        <v>0</v>
      </c>
      <c r="BB110" s="9">
        <f>VLOOKUP($A110,地图配置辅助表!$A$3:$AP$245,地图配置辅助表!AN$1,FALSE)</f>
        <v>0</v>
      </c>
      <c r="BC110" s="9">
        <f>VLOOKUP($A110,地图配置辅助表!$A$3:$AP$245,地图配置辅助表!AO$1,FALSE)</f>
        <v>0</v>
      </c>
      <c r="BD110" s="9">
        <f>VLOOKUP($A110,地图配置辅助表!$A$3:$AP$245,地图配置辅助表!AP$1,FALSE)</f>
        <v>0</v>
      </c>
    </row>
    <row r="111" spans="1:56" s="9" customFormat="1" x14ac:dyDescent="0.15">
      <c r="A111">
        <f>地图配置辅助表!A112</f>
        <v>4202</v>
      </c>
      <c r="B111" s="8">
        <f>地图配置辅助表!B112</f>
        <v>2</v>
      </c>
      <c r="C111" s="9">
        <f>地图配置辅助表!C112</f>
        <v>4</v>
      </c>
      <c r="D111" s="9" t="str">
        <f>地图配置辅助表!D112</f>
        <v>精英生番手下</v>
      </c>
      <c r="E111" s="9" t="str">
        <f t="shared" si="0"/>
        <v>挑战精英生番手下</v>
      </c>
      <c r="F111" s="9" t="s">
        <v>0</v>
      </c>
      <c r="G111" s="9">
        <v>29</v>
      </c>
      <c r="H111" s="9">
        <v>200</v>
      </c>
      <c r="I111" s="9">
        <v>140</v>
      </c>
      <c r="J111" s="9">
        <v>200</v>
      </c>
      <c r="K111" s="9">
        <v>140</v>
      </c>
      <c r="L111" s="9" t="s">
        <v>188</v>
      </c>
      <c r="M111" s="9">
        <v>0</v>
      </c>
      <c r="R111" s="9" t="s">
        <v>140</v>
      </c>
      <c r="S111" s="11">
        <f>VLOOKUP($A111,地图配置辅助表!$A$3:$AP$245,地图配置辅助表!E$1,FALSE)</f>
        <v>12</v>
      </c>
      <c r="T111" s="9">
        <f>VLOOKUP($A111,地图配置辅助表!$A$3:$AP$245,地图配置辅助表!F$1,FALSE)</f>
        <v>16603</v>
      </c>
      <c r="U111" s="9">
        <f>VLOOKUP($A111,地图配置辅助表!$A$3:$AP$245,地图配置辅助表!G$1,FALSE)</f>
        <v>1</v>
      </c>
      <c r="V111" s="9">
        <f>VLOOKUP($A111,地图配置辅助表!$A$3:$AP$245,地图配置辅助表!H$1,FALSE)</f>
        <v>1</v>
      </c>
      <c r="W111" s="9">
        <f>VLOOKUP($A111,地图配置辅助表!$A$3:$AP$245,地图配置辅助表!I$1,FALSE)</f>
        <v>6</v>
      </c>
      <c r="X111" s="9">
        <f>VLOOKUP($A111,地图配置辅助表!$A$3:$AP$245,地图配置辅助表!J$1,FALSE)</f>
        <v>0</v>
      </c>
      <c r="Y111" s="9">
        <f>VLOOKUP($A111,地图配置辅助表!$A$3:$AP$245,地图配置辅助表!K$1,FALSE)</f>
        <v>0</v>
      </c>
      <c r="Z111" s="9">
        <f>VLOOKUP($A111,地图配置辅助表!$A$3:$AP$245,地图配置辅助表!L$1,FALSE)</f>
        <v>0</v>
      </c>
      <c r="AA111" s="9">
        <f>VLOOKUP($A111,地图配置辅助表!$A$3:$AP$245,地图配置辅助表!M$1,FALSE)</f>
        <v>2</v>
      </c>
      <c r="AB111">
        <f>VLOOKUP($A111,地图配置辅助表!$A$3:$AP$245,地图配置辅助表!N$1,FALSE)</f>
        <v>1</v>
      </c>
      <c r="AC111" s="9">
        <f>VLOOKUP($A111,地图配置辅助表!$A$3:$AP$245,地图配置辅助表!O$1,FALSE)</f>
        <v>3</v>
      </c>
      <c r="AD111">
        <f>VLOOKUP($A111,地图配置辅助表!$A$3:$AP$245,地图配置辅助表!P$1,FALSE)</f>
        <v>4201</v>
      </c>
      <c r="AE111" s="8">
        <f>VLOOKUP($A111,地图配置辅助表!$A$3:$AP$245,地图配置辅助表!Q$1,FALSE)</f>
        <v>3</v>
      </c>
      <c r="AF111" s="8">
        <f>VLOOKUP($A111,地图配置辅助表!$A$3:$AP$245,地图配置辅助表!R$1,FALSE)</f>
        <v>4002</v>
      </c>
      <c r="AG111" s="11">
        <f>VLOOKUP($A111,地图配置辅助表!$A$3:$AP$245,地图配置辅助表!S$1,FALSE)</f>
        <v>504202</v>
      </c>
      <c r="AH111" s="11">
        <f>VLOOKUP($A111,地图配置辅助表!$A$3:$AP$245,地图配置辅助表!T$1,FALSE)</f>
        <v>242004</v>
      </c>
      <c r="AI111" s="9">
        <f>VLOOKUP($A111,地图配置辅助表!$A$3:$AP$245,地图配置辅助表!U$1,FALSE)</f>
        <v>3</v>
      </c>
      <c r="AJ111" s="9">
        <f>VLOOKUP($A111,地图配置辅助表!$A$3:$AP$245,地图配置辅助表!V$1,FALSE)</f>
        <v>242001</v>
      </c>
      <c r="AK111" s="9">
        <f>VLOOKUP($A111,地图配置辅助表!$A$3:$AP$245,地图配置辅助表!W$1,FALSE)</f>
        <v>242002</v>
      </c>
      <c r="AL111" s="9">
        <f>VLOOKUP($A111,地图配置辅助表!$A$3:$AP$245,地图配置辅助表!X$1,FALSE)</f>
        <v>242003</v>
      </c>
      <c r="AM111" s="9">
        <f>VLOOKUP($A111,地图配置辅助表!$A$3:$AP$245,地图配置辅助表!Y$1,FALSE)</f>
        <v>0</v>
      </c>
      <c r="AN111" s="9">
        <f>VLOOKUP($A111,地图配置辅助表!$A$3:$AP$245,地图配置辅助表!Z$1,FALSE)</f>
        <v>0</v>
      </c>
      <c r="AO111" s="9">
        <f>VLOOKUP($A111,地图配置辅助表!$A$3:$AP$245,地图配置辅助表!AA$1,FALSE)</f>
        <v>0</v>
      </c>
      <c r="AP111" s="9">
        <f>VLOOKUP($A111,地图配置辅助表!$A$3:$AP$245,地图配置辅助表!AB$1,FALSE)</f>
        <v>0</v>
      </c>
      <c r="AQ111" s="9">
        <f>VLOOKUP($A111,地图配置辅助表!$A$3:$AP$245,地图配置辅助表!AC$1,FALSE)</f>
        <v>0</v>
      </c>
      <c r="AR111" s="9">
        <f>VLOOKUP($A111,地图配置辅助表!$A$3:$AP$245,地图配置辅助表!AD$1,FALSE)</f>
        <v>0</v>
      </c>
      <c r="AS111" s="9">
        <f>VLOOKUP($A111,地图配置辅助表!$A$3:$AP$245,地图配置辅助表!AE$1,FALSE)</f>
        <v>0</v>
      </c>
      <c r="AT111" s="9">
        <f>VLOOKUP($A111,地图配置辅助表!$A$3:$AP$245,地图配置辅助表!AF$1,FALSE)</f>
        <v>3</v>
      </c>
      <c r="AU111" s="9">
        <f>VLOOKUP($A111,地图配置辅助表!$A$3:$AP$245,地图配置辅助表!AG$1,FALSE)</f>
        <v>119</v>
      </c>
      <c r="AV111" s="9">
        <f>VLOOKUP($A111,地图配置辅助表!$A$3:$AP$245,地图配置辅助表!AH$1,FALSE)</f>
        <v>120</v>
      </c>
      <c r="AW111" s="9">
        <f>VLOOKUP($A111,地图配置辅助表!$A$3:$AP$245,地图配置辅助表!AI$1,FALSE)</f>
        <v>121</v>
      </c>
      <c r="AX111" s="9">
        <f>VLOOKUP($A111,地图配置辅助表!$A$3:$AP$245,地图配置辅助表!AJ$1,FALSE)</f>
        <v>0</v>
      </c>
      <c r="AY111" s="9">
        <f>VLOOKUP($A111,地图配置辅助表!$A$3:$AP$245,地图配置辅助表!AK$1,FALSE)</f>
        <v>0</v>
      </c>
      <c r="AZ111" s="9">
        <f>VLOOKUP($A111,地图配置辅助表!$A$3:$AP$245,地图配置辅助表!AL$1,FALSE)</f>
        <v>0</v>
      </c>
      <c r="BA111" s="9">
        <f>VLOOKUP($A111,地图配置辅助表!$A$3:$AP$245,地图配置辅助表!AM$1,FALSE)</f>
        <v>0</v>
      </c>
      <c r="BB111" s="9">
        <f>VLOOKUP($A111,地图配置辅助表!$A$3:$AP$245,地图配置辅助表!AN$1,FALSE)</f>
        <v>0</v>
      </c>
      <c r="BC111" s="9">
        <f>VLOOKUP($A111,地图配置辅助表!$A$3:$AP$245,地图配置辅助表!AO$1,FALSE)</f>
        <v>0</v>
      </c>
      <c r="BD111" s="9">
        <f>VLOOKUP($A111,地图配置辅助表!$A$3:$AP$245,地图配置辅助表!AP$1,FALSE)</f>
        <v>0</v>
      </c>
    </row>
    <row r="112" spans="1:56" s="9" customFormat="1" x14ac:dyDescent="0.15">
      <c r="A112">
        <f>地图配置辅助表!A113</f>
        <v>4203</v>
      </c>
      <c r="B112" s="8">
        <f>地图配置辅助表!B113</f>
        <v>2</v>
      </c>
      <c r="C112" s="9">
        <f>地图配置辅助表!C113</f>
        <v>4</v>
      </c>
      <c r="D112" s="9" t="str">
        <f>地图配置辅助表!D113</f>
        <v>精英混混头目</v>
      </c>
      <c r="E112" s="9" t="str">
        <f t="shared" si="0"/>
        <v>挑战精英混混头目</v>
      </c>
      <c r="F112" s="9" t="s">
        <v>0</v>
      </c>
      <c r="G112" s="9">
        <v>29</v>
      </c>
      <c r="H112" s="9">
        <v>200</v>
      </c>
      <c r="I112" s="9">
        <v>140</v>
      </c>
      <c r="J112" s="9">
        <v>200</v>
      </c>
      <c r="K112" s="9">
        <v>140</v>
      </c>
      <c r="L112" s="9" t="s">
        <v>189</v>
      </c>
      <c r="M112" s="9">
        <v>0</v>
      </c>
      <c r="R112" s="9" t="s">
        <v>141</v>
      </c>
      <c r="S112" s="11">
        <f>VLOOKUP($A112,地图配置辅助表!$A$3:$AP$245,地图配置辅助表!E$1,FALSE)</f>
        <v>12</v>
      </c>
      <c r="T112" s="9">
        <f>VLOOKUP($A112,地图配置辅助表!$A$3:$AP$245,地图配置辅助表!F$1,FALSE)</f>
        <v>18420</v>
      </c>
      <c r="U112" s="9">
        <f>VLOOKUP($A112,地图配置辅助表!$A$3:$AP$245,地图配置辅助表!G$1,FALSE)</f>
        <v>1</v>
      </c>
      <c r="V112" s="9">
        <f>VLOOKUP($A112,地图配置辅助表!$A$3:$AP$245,地图配置辅助表!H$1,FALSE)</f>
        <v>1</v>
      </c>
      <c r="W112" s="9">
        <f>VLOOKUP($A112,地图配置辅助表!$A$3:$AP$245,地图配置辅助表!I$1,FALSE)</f>
        <v>6</v>
      </c>
      <c r="X112" s="9">
        <f>VLOOKUP($A112,地图配置辅助表!$A$3:$AP$245,地图配置辅助表!J$1,FALSE)</f>
        <v>0</v>
      </c>
      <c r="Y112" s="9">
        <f>VLOOKUP($A112,地图配置辅助表!$A$3:$AP$245,地图配置辅助表!K$1,FALSE)</f>
        <v>0</v>
      </c>
      <c r="Z112" s="9">
        <f>VLOOKUP($A112,地图配置辅助表!$A$3:$AP$245,地图配置辅助表!L$1,FALSE)</f>
        <v>0</v>
      </c>
      <c r="AA112" s="9">
        <f>VLOOKUP($A112,地图配置辅助表!$A$3:$AP$245,地图配置辅助表!M$1,FALSE)</f>
        <v>2</v>
      </c>
      <c r="AB112">
        <f>VLOOKUP($A112,地图配置辅助表!$A$3:$AP$245,地图配置辅助表!N$1,FALSE)</f>
        <v>1</v>
      </c>
      <c r="AC112" s="9">
        <f>VLOOKUP($A112,地图配置辅助表!$A$3:$AP$245,地图配置辅助表!O$1,FALSE)</f>
        <v>3</v>
      </c>
      <c r="AD112">
        <f>VLOOKUP($A112,地图配置辅助表!$A$3:$AP$245,地图配置辅助表!P$1,FALSE)</f>
        <v>4202</v>
      </c>
      <c r="AE112" s="8">
        <f>VLOOKUP($A112,地图配置辅助表!$A$3:$AP$245,地图配置辅助表!Q$1,FALSE)</f>
        <v>3</v>
      </c>
      <c r="AF112" s="8">
        <f>VLOOKUP($A112,地图配置辅助表!$A$3:$AP$245,地图配置辅助表!R$1,FALSE)</f>
        <v>4003</v>
      </c>
      <c r="AG112" s="11">
        <f>VLOOKUP($A112,地图配置辅助表!$A$3:$AP$245,地图配置辅助表!S$1,FALSE)</f>
        <v>504203</v>
      </c>
      <c r="AH112" s="11">
        <f>VLOOKUP($A112,地图配置辅助表!$A$3:$AP$245,地图配置辅助表!T$1,FALSE)</f>
        <v>243004</v>
      </c>
      <c r="AI112" s="9">
        <f>VLOOKUP($A112,地图配置辅助表!$A$3:$AP$245,地图配置辅助表!U$1,FALSE)</f>
        <v>3</v>
      </c>
      <c r="AJ112" s="9">
        <f>VLOOKUP($A112,地图配置辅助表!$A$3:$AP$245,地图配置辅助表!V$1,FALSE)</f>
        <v>243001</v>
      </c>
      <c r="AK112" s="9">
        <f>VLOOKUP($A112,地图配置辅助表!$A$3:$AP$245,地图配置辅助表!W$1,FALSE)</f>
        <v>243002</v>
      </c>
      <c r="AL112" s="9">
        <f>VLOOKUP($A112,地图配置辅助表!$A$3:$AP$245,地图配置辅助表!X$1,FALSE)</f>
        <v>243003</v>
      </c>
      <c r="AM112" s="9">
        <f>VLOOKUP($A112,地图配置辅助表!$A$3:$AP$245,地图配置辅助表!Y$1,FALSE)</f>
        <v>0</v>
      </c>
      <c r="AN112" s="9">
        <f>VLOOKUP($A112,地图配置辅助表!$A$3:$AP$245,地图配置辅助表!Z$1,FALSE)</f>
        <v>0</v>
      </c>
      <c r="AO112" s="9">
        <f>VLOOKUP($A112,地图配置辅助表!$A$3:$AP$245,地图配置辅助表!AA$1,FALSE)</f>
        <v>0</v>
      </c>
      <c r="AP112" s="9">
        <f>VLOOKUP($A112,地图配置辅助表!$A$3:$AP$245,地图配置辅助表!AB$1,FALSE)</f>
        <v>0</v>
      </c>
      <c r="AQ112" s="9">
        <f>VLOOKUP($A112,地图配置辅助表!$A$3:$AP$245,地图配置辅助表!AC$1,FALSE)</f>
        <v>0</v>
      </c>
      <c r="AR112" s="9">
        <f>VLOOKUP($A112,地图配置辅助表!$A$3:$AP$245,地图配置辅助表!AD$1,FALSE)</f>
        <v>0</v>
      </c>
      <c r="AS112" s="9">
        <f>VLOOKUP($A112,地图配置辅助表!$A$3:$AP$245,地图配置辅助表!AE$1,FALSE)</f>
        <v>0</v>
      </c>
      <c r="AT112" s="9">
        <f>VLOOKUP($A112,地图配置辅助表!$A$3:$AP$245,地图配置辅助表!AF$1,FALSE)</f>
        <v>3</v>
      </c>
      <c r="AU112" s="9">
        <f>VLOOKUP($A112,地图配置辅助表!$A$3:$AP$245,地图配置辅助表!AG$1,FALSE)</f>
        <v>124</v>
      </c>
      <c r="AV112" s="9">
        <f>VLOOKUP($A112,地图配置辅助表!$A$3:$AP$245,地图配置辅助表!AH$1,FALSE)</f>
        <v>125</v>
      </c>
      <c r="AW112" s="9">
        <f>VLOOKUP($A112,地图配置辅助表!$A$3:$AP$245,地图配置辅助表!AI$1,FALSE)</f>
        <v>126</v>
      </c>
      <c r="AX112" s="9">
        <f>VLOOKUP($A112,地图配置辅助表!$A$3:$AP$245,地图配置辅助表!AJ$1,FALSE)</f>
        <v>0</v>
      </c>
      <c r="AY112" s="9">
        <f>VLOOKUP($A112,地图配置辅助表!$A$3:$AP$245,地图配置辅助表!AK$1,FALSE)</f>
        <v>0</v>
      </c>
      <c r="AZ112" s="9">
        <f>VLOOKUP($A112,地图配置辅助表!$A$3:$AP$245,地图配置辅助表!AL$1,FALSE)</f>
        <v>0</v>
      </c>
      <c r="BA112" s="9">
        <f>VLOOKUP($A112,地图配置辅助表!$A$3:$AP$245,地图配置辅助表!AM$1,FALSE)</f>
        <v>0</v>
      </c>
      <c r="BB112" s="9">
        <f>VLOOKUP($A112,地图配置辅助表!$A$3:$AP$245,地图配置辅助表!AN$1,FALSE)</f>
        <v>0</v>
      </c>
      <c r="BC112" s="9">
        <f>VLOOKUP($A112,地图配置辅助表!$A$3:$AP$245,地图配置辅助表!AO$1,FALSE)</f>
        <v>0</v>
      </c>
      <c r="BD112" s="9">
        <f>VLOOKUP($A112,地图配置辅助表!$A$3:$AP$245,地图配置辅助表!AP$1,FALSE)</f>
        <v>0</v>
      </c>
    </row>
    <row r="113" spans="1:56" s="9" customFormat="1" x14ac:dyDescent="0.15">
      <c r="A113">
        <f>地图配置辅助表!A114</f>
        <v>4204</v>
      </c>
      <c r="B113" s="8">
        <f>地图配置辅助表!B114</f>
        <v>2</v>
      </c>
      <c r="C113" s="9">
        <f>地图配置辅助表!C114</f>
        <v>4</v>
      </c>
      <c r="D113" s="9" t="str">
        <f>地图配置辅助表!D114</f>
        <v>精英黑星</v>
      </c>
      <c r="E113" s="9" t="str">
        <f t="shared" si="0"/>
        <v>挑战精英黑星</v>
      </c>
      <c r="F113" s="9" t="s">
        <v>0</v>
      </c>
      <c r="G113" s="9">
        <v>29</v>
      </c>
      <c r="H113" s="9">
        <v>200</v>
      </c>
      <c r="I113" s="9">
        <v>140</v>
      </c>
      <c r="J113" s="9">
        <v>200</v>
      </c>
      <c r="K113" s="9">
        <v>140</v>
      </c>
      <c r="L113" s="9" t="s">
        <v>190</v>
      </c>
      <c r="M113" s="9">
        <v>0</v>
      </c>
      <c r="R113" s="9" t="s">
        <v>142</v>
      </c>
      <c r="S113" s="11">
        <f>VLOOKUP($A113,地图配置辅助表!$A$3:$AP$245,地图配置辅助表!E$1,FALSE)</f>
        <v>12</v>
      </c>
      <c r="T113" s="9">
        <f>VLOOKUP($A113,地图配置辅助表!$A$3:$AP$245,地图配置辅助表!F$1,FALSE)</f>
        <v>20401</v>
      </c>
      <c r="U113" s="9">
        <f>VLOOKUP($A113,地图配置辅助表!$A$3:$AP$245,地图配置辅助表!G$1,FALSE)</f>
        <v>1</v>
      </c>
      <c r="V113" s="9">
        <f>VLOOKUP($A113,地图配置辅助表!$A$3:$AP$245,地图配置辅助表!H$1,FALSE)</f>
        <v>1</v>
      </c>
      <c r="W113" s="9">
        <f>VLOOKUP($A113,地图配置辅助表!$A$3:$AP$245,地图配置辅助表!I$1,FALSE)</f>
        <v>6</v>
      </c>
      <c r="X113" s="9">
        <f>VLOOKUP($A113,地图配置辅助表!$A$3:$AP$245,地图配置辅助表!J$1,FALSE)</f>
        <v>0</v>
      </c>
      <c r="Y113" s="9">
        <f>VLOOKUP($A113,地图配置辅助表!$A$3:$AP$245,地图配置辅助表!K$1,FALSE)</f>
        <v>0</v>
      </c>
      <c r="Z113" s="9">
        <f>VLOOKUP($A113,地图配置辅助表!$A$3:$AP$245,地图配置辅助表!L$1,FALSE)</f>
        <v>0</v>
      </c>
      <c r="AA113" s="9">
        <f>VLOOKUP($A113,地图配置辅助表!$A$3:$AP$245,地图配置辅助表!M$1,FALSE)</f>
        <v>2</v>
      </c>
      <c r="AB113">
        <f>VLOOKUP($A113,地图配置辅助表!$A$3:$AP$245,地图配置辅助表!N$1,FALSE)</f>
        <v>1</v>
      </c>
      <c r="AC113" s="9">
        <f>VLOOKUP($A113,地图配置辅助表!$A$3:$AP$245,地图配置辅助表!O$1,FALSE)</f>
        <v>3</v>
      </c>
      <c r="AD113">
        <f>VLOOKUP($A113,地图配置辅助表!$A$3:$AP$245,地图配置辅助表!P$1,FALSE)</f>
        <v>4203</v>
      </c>
      <c r="AE113" s="8">
        <f>VLOOKUP($A113,地图配置辅助表!$A$3:$AP$245,地图配置辅助表!Q$1,FALSE)</f>
        <v>3</v>
      </c>
      <c r="AF113" s="8">
        <f>VLOOKUP($A113,地图配置辅助表!$A$3:$AP$245,地图配置辅助表!R$1,FALSE)</f>
        <v>4004</v>
      </c>
      <c r="AG113" s="11">
        <f>VLOOKUP($A113,地图配置辅助表!$A$3:$AP$245,地图配置辅助表!S$1,FALSE)</f>
        <v>504204</v>
      </c>
      <c r="AH113" s="11">
        <f>VLOOKUP($A113,地图配置辅助表!$A$3:$AP$245,地图配置辅助表!T$1,FALSE)</f>
        <v>244004</v>
      </c>
      <c r="AI113" s="9">
        <f>VLOOKUP($A113,地图配置辅助表!$A$3:$AP$245,地图配置辅助表!U$1,FALSE)</f>
        <v>3</v>
      </c>
      <c r="AJ113" s="9">
        <f>VLOOKUP($A113,地图配置辅助表!$A$3:$AP$245,地图配置辅助表!V$1,FALSE)</f>
        <v>244001</v>
      </c>
      <c r="AK113" s="9">
        <f>VLOOKUP($A113,地图配置辅助表!$A$3:$AP$245,地图配置辅助表!W$1,FALSE)</f>
        <v>244002</v>
      </c>
      <c r="AL113" s="9">
        <f>VLOOKUP($A113,地图配置辅助表!$A$3:$AP$245,地图配置辅助表!X$1,FALSE)</f>
        <v>244003</v>
      </c>
      <c r="AM113" s="9">
        <f>VLOOKUP($A113,地图配置辅助表!$A$3:$AP$245,地图配置辅助表!Y$1,FALSE)</f>
        <v>0</v>
      </c>
      <c r="AN113" s="9">
        <f>VLOOKUP($A113,地图配置辅助表!$A$3:$AP$245,地图配置辅助表!Z$1,FALSE)</f>
        <v>0</v>
      </c>
      <c r="AO113" s="9">
        <f>VLOOKUP($A113,地图配置辅助表!$A$3:$AP$245,地图配置辅助表!AA$1,FALSE)</f>
        <v>0</v>
      </c>
      <c r="AP113" s="9">
        <f>VLOOKUP($A113,地图配置辅助表!$A$3:$AP$245,地图配置辅助表!AB$1,FALSE)</f>
        <v>0</v>
      </c>
      <c r="AQ113" s="9">
        <f>VLOOKUP($A113,地图配置辅助表!$A$3:$AP$245,地图配置辅助表!AC$1,FALSE)</f>
        <v>0</v>
      </c>
      <c r="AR113" s="9">
        <f>VLOOKUP($A113,地图配置辅助表!$A$3:$AP$245,地图配置辅助表!AD$1,FALSE)</f>
        <v>0</v>
      </c>
      <c r="AS113" s="9">
        <f>VLOOKUP($A113,地图配置辅助表!$A$3:$AP$245,地图配置辅助表!AE$1,FALSE)</f>
        <v>0</v>
      </c>
      <c r="AT113" s="9">
        <f>VLOOKUP($A113,地图配置辅助表!$A$3:$AP$245,地图配置辅助表!AF$1,FALSE)</f>
        <v>3</v>
      </c>
      <c r="AU113" s="9">
        <f>VLOOKUP($A113,地图配置辅助表!$A$3:$AP$245,地图配置辅助表!AG$1,FALSE)</f>
        <v>159</v>
      </c>
      <c r="AV113" s="9">
        <f>VLOOKUP($A113,地图配置辅助表!$A$3:$AP$245,地图配置辅助表!AH$1,FALSE)</f>
        <v>160</v>
      </c>
      <c r="AW113" s="9">
        <f>VLOOKUP($A113,地图配置辅助表!$A$3:$AP$245,地图配置辅助表!AI$1,FALSE)</f>
        <v>161</v>
      </c>
      <c r="AX113" s="9">
        <f>VLOOKUP($A113,地图配置辅助表!$A$3:$AP$245,地图配置辅助表!AJ$1,FALSE)</f>
        <v>0</v>
      </c>
      <c r="AY113" s="9">
        <f>VLOOKUP($A113,地图配置辅助表!$A$3:$AP$245,地图配置辅助表!AK$1,FALSE)</f>
        <v>0</v>
      </c>
      <c r="AZ113" s="9">
        <f>VLOOKUP($A113,地图配置辅助表!$A$3:$AP$245,地图配置辅助表!AL$1,FALSE)</f>
        <v>0</v>
      </c>
      <c r="BA113" s="9">
        <f>VLOOKUP($A113,地图配置辅助表!$A$3:$AP$245,地图配置辅助表!AM$1,FALSE)</f>
        <v>0</v>
      </c>
      <c r="BB113" s="9">
        <f>VLOOKUP($A113,地图配置辅助表!$A$3:$AP$245,地图配置辅助表!AN$1,FALSE)</f>
        <v>0</v>
      </c>
      <c r="BC113" s="9">
        <f>VLOOKUP($A113,地图配置辅助表!$A$3:$AP$245,地图配置辅助表!AO$1,FALSE)</f>
        <v>0</v>
      </c>
      <c r="BD113" s="9">
        <f>VLOOKUP($A113,地图配置辅助表!$A$3:$AP$245,地图配置辅助表!AP$1,FALSE)</f>
        <v>0</v>
      </c>
    </row>
    <row r="114" spans="1:56" s="9" customFormat="1" x14ac:dyDescent="0.15">
      <c r="A114">
        <f>地图配置辅助表!A115</f>
        <v>4205</v>
      </c>
      <c r="B114" s="8">
        <f>地图配置辅助表!B115</f>
        <v>2</v>
      </c>
      <c r="C114" s="9">
        <f>地图配置辅助表!C115</f>
        <v>4</v>
      </c>
      <c r="D114" s="9" t="str">
        <f>地图配置辅助表!D115</f>
        <v>精英生番</v>
      </c>
      <c r="E114" s="9" t="str">
        <f t="shared" si="0"/>
        <v>挑战精英生番</v>
      </c>
      <c r="F114" s="9" t="s">
        <v>0</v>
      </c>
      <c r="G114" s="9">
        <v>29</v>
      </c>
      <c r="H114" s="9">
        <v>200</v>
      </c>
      <c r="I114" s="9">
        <v>140</v>
      </c>
      <c r="J114" s="9">
        <v>200</v>
      </c>
      <c r="K114" s="9">
        <v>140</v>
      </c>
      <c r="L114" s="9" t="s">
        <v>191</v>
      </c>
      <c r="M114" s="9">
        <v>0</v>
      </c>
      <c r="R114" s="9" t="s">
        <v>143</v>
      </c>
      <c r="S114" s="11">
        <f>VLOOKUP($A114,地图配置辅助表!$A$3:$AP$245,地图配置辅助表!E$1,FALSE)</f>
        <v>12</v>
      </c>
      <c r="T114" s="9">
        <f>VLOOKUP($A114,地图配置辅助表!$A$3:$AP$245,地图配置辅助表!F$1,FALSE)</f>
        <v>22512</v>
      </c>
      <c r="U114" s="9">
        <f>VLOOKUP($A114,地图配置辅助表!$A$3:$AP$245,地图配置辅助表!G$1,FALSE)</f>
        <v>1</v>
      </c>
      <c r="V114" s="9">
        <f>VLOOKUP($A114,地图配置辅助表!$A$3:$AP$245,地图配置辅助表!H$1,FALSE)</f>
        <v>1</v>
      </c>
      <c r="W114" s="9">
        <f>VLOOKUP($A114,地图配置辅助表!$A$3:$AP$245,地图配置辅助表!I$1,FALSE)</f>
        <v>6</v>
      </c>
      <c r="X114" s="9">
        <f>VLOOKUP($A114,地图配置辅助表!$A$3:$AP$245,地图配置辅助表!J$1,FALSE)</f>
        <v>0</v>
      </c>
      <c r="Y114" s="9">
        <f>VLOOKUP($A114,地图配置辅助表!$A$3:$AP$245,地图配置辅助表!K$1,FALSE)</f>
        <v>0</v>
      </c>
      <c r="Z114" s="9">
        <f>VLOOKUP($A114,地图配置辅助表!$A$3:$AP$245,地图配置辅助表!L$1,FALSE)</f>
        <v>0</v>
      </c>
      <c r="AA114" s="9">
        <f>VLOOKUP($A114,地图配置辅助表!$A$3:$AP$245,地图配置辅助表!M$1,FALSE)</f>
        <v>2</v>
      </c>
      <c r="AB114">
        <f>VLOOKUP($A114,地图配置辅助表!$A$3:$AP$245,地图配置辅助表!N$1,FALSE)</f>
        <v>1</v>
      </c>
      <c r="AC114" s="9">
        <f>VLOOKUP($A114,地图配置辅助表!$A$3:$AP$245,地图配置辅助表!O$1,FALSE)</f>
        <v>3</v>
      </c>
      <c r="AD114">
        <f>VLOOKUP($A114,地图配置辅助表!$A$3:$AP$245,地图配置辅助表!P$1,FALSE)</f>
        <v>4204</v>
      </c>
      <c r="AE114" s="8">
        <f>VLOOKUP($A114,地图配置辅助表!$A$3:$AP$245,地图配置辅助表!Q$1,FALSE)</f>
        <v>3</v>
      </c>
      <c r="AF114" s="8">
        <f>VLOOKUP($A114,地图配置辅助表!$A$3:$AP$245,地图配置辅助表!R$1,FALSE)</f>
        <v>4005</v>
      </c>
      <c r="AG114" s="11">
        <f>VLOOKUP($A114,地图配置辅助表!$A$3:$AP$245,地图配置辅助表!S$1,FALSE)</f>
        <v>504205</v>
      </c>
      <c r="AH114" s="11">
        <f>VLOOKUP($A114,地图配置辅助表!$A$3:$AP$245,地图配置辅助表!T$1,FALSE)</f>
        <v>245004</v>
      </c>
      <c r="AI114" s="9">
        <f>VLOOKUP($A114,地图配置辅助表!$A$3:$AP$245,地图配置辅助表!U$1,FALSE)</f>
        <v>3</v>
      </c>
      <c r="AJ114" s="9">
        <f>VLOOKUP($A114,地图配置辅助表!$A$3:$AP$245,地图配置辅助表!V$1,FALSE)</f>
        <v>245001</v>
      </c>
      <c r="AK114" s="9">
        <f>VLOOKUP($A114,地图配置辅助表!$A$3:$AP$245,地图配置辅助表!W$1,FALSE)</f>
        <v>245002</v>
      </c>
      <c r="AL114" s="9">
        <f>VLOOKUP($A114,地图配置辅助表!$A$3:$AP$245,地图配置辅助表!X$1,FALSE)</f>
        <v>245003</v>
      </c>
      <c r="AM114" s="9">
        <f>VLOOKUP($A114,地图配置辅助表!$A$3:$AP$245,地图配置辅助表!Y$1,FALSE)</f>
        <v>0</v>
      </c>
      <c r="AN114" s="9">
        <f>VLOOKUP($A114,地图配置辅助表!$A$3:$AP$245,地图配置辅助表!Z$1,FALSE)</f>
        <v>0</v>
      </c>
      <c r="AO114" s="9">
        <f>VLOOKUP($A114,地图配置辅助表!$A$3:$AP$245,地图配置辅助表!AA$1,FALSE)</f>
        <v>0</v>
      </c>
      <c r="AP114" s="9">
        <f>VLOOKUP($A114,地图配置辅助表!$A$3:$AP$245,地图配置辅助表!AB$1,FALSE)</f>
        <v>0</v>
      </c>
      <c r="AQ114" s="9">
        <f>VLOOKUP($A114,地图配置辅助表!$A$3:$AP$245,地图配置辅助表!AC$1,FALSE)</f>
        <v>0</v>
      </c>
      <c r="AR114" s="9">
        <f>VLOOKUP($A114,地图配置辅助表!$A$3:$AP$245,地图配置辅助表!AD$1,FALSE)</f>
        <v>0</v>
      </c>
      <c r="AS114" s="9">
        <f>VLOOKUP($A114,地图配置辅助表!$A$3:$AP$245,地图配置辅助表!AE$1,FALSE)</f>
        <v>0</v>
      </c>
      <c r="AT114" s="9">
        <f>VLOOKUP($A114,地图配置辅助表!$A$3:$AP$245,地图配置辅助表!AF$1,FALSE)</f>
        <v>3</v>
      </c>
      <c r="AU114" s="9">
        <f>VLOOKUP($A114,地图配置辅助表!$A$3:$AP$245,地图配置辅助表!AG$1,FALSE)</f>
        <v>110</v>
      </c>
      <c r="AV114" s="9">
        <f>VLOOKUP($A114,地图配置辅助表!$A$3:$AP$245,地图配置辅助表!AH$1,FALSE)</f>
        <v>111</v>
      </c>
      <c r="AW114" s="9">
        <f>VLOOKUP($A114,地图配置辅助表!$A$3:$AP$245,地图配置辅助表!AI$1,FALSE)</f>
        <v>112</v>
      </c>
      <c r="AX114" s="9">
        <f>VLOOKUP($A114,地图配置辅助表!$A$3:$AP$245,地图配置辅助表!AJ$1,FALSE)</f>
        <v>0</v>
      </c>
      <c r="AY114" s="9">
        <f>VLOOKUP($A114,地图配置辅助表!$A$3:$AP$245,地图配置辅助表!AK$1,FALSE)</f>
        <v>0</v>
      </c>
      <c r="AZ114" s="9">
        <f>VLOOKUP($A114,地图配置辅助表!$A$3:$AP$245,地图配置辅助表!AL$1,FALSE)</f>
        <v>0</v>
      </c>
      <c r="BA114" s="9">
        <f>VLOOKUP($A114,地图配置辅助表!$A$3:$AP$245,地图配置辅助表!AM$1,FALSE)</f>
        <v>0</v>
      </c>
      <c r="BB114" s="9">
        <f>VLOOKUP($A114,地图配置辅助表!$A$3:$AP$245,地图配置辅助表!AN$1,FALSE)</f>
        <v>0</v>
      </c>
      <c r="BC114" s="9">
        <f>VLOOKUP($A114,地图配置辅助表!$A$3:$AP$245,地图配置辅助表!AO$1,FALSE)</f>
        <v>0</v>
      </c>
      <c r="BD114" s="9">
        <f>VLOOKUP($A114,地图配置辅助表!$A$3:$AP$245,地图配置辅助表!AP$1,FALSE)</f>
        <v>0</v>
      </c>
    </row>
    <row r="115" spans="1:56" s="9" customFormat="1" x14ac:dyDescent="0.15">
      <c r="A115">
        <f>地图配置辅助表!A116</f>
        <v>4206</v>
      </c>
      <c r="B115" s="8">
        <f>地图配置辅助表!B116</f>
        <v>2</v>
      </c>
      <c r="C115" s="9">
        <f>地图配置辅助表!C116</f>
        <v>4</v>
      </c>
      <c r="D115" s="9" t="str">
        <f>地图配置辅助表!D116</f>
        <v>精英毒贩头目</v>
      </c>
      <c r="E115" s="9" t="str">
        <f t="shared" si="0"/>
        <v>挑战精英毒贩头目</v>
      </c>
      <c r="F115" s="9" t="s">
        <v>0</v>
      </c>
      <c r="G115" s="9">
        <v>29</v>
      </c>
      <c r="H115" s="9">
        <v>200</v>
      </c>
      <c r="I115" s="9">
        <v>140</v>
      </c>
      <c r="J115" s="9">
        <v>200</v>
      </c>
      <c r="K115" s="9">
        <v>140</v>
      </c>
      <c r="L115" s="9" t="s">
        <v>192</v>
      </c>
      <c r="M115" s="9">
        <v>0</v>
      </c>
      <c r="R115" s="9" t="s">
        <v>144</v>
      </c>
      <c r="S115" s="11">
        <f>VLOOKUP($A115,地图配置辅助表!$A$3:$AP$245,地图配置辅助表!E$1,FALSE)</f>
        <v>12</v>
      </c>
      <c r="T115" s="9">
        <f>VLOOKUP($A115,地图配置辅助表!$A$3:$AP$245,地图配置辅助表!F$1,FALSE)</f>
        <v>24830</v>
      </c>
      <c r="U115" s="9">
        <f>VLOOKUP($A115,地图配置辅助表!$A$3:$AP$245,地图配置辅助表!G$1,FALSE)</f>
        <v>1</v>
      </c>
      <c r="V115" s="9">
        <f>VLOOKUP($A115,地图配置辅助表!$A$3:$AP$245,地图配置辅助表!H$1,FALSE)</f>
        <v>1</v>
      </c>
      <c r="W115" s="9">
        <f>VLOOKUP($A115,地图配置辅助表!$A$3:$AP$245,地图配置辅助表!I$1,FALSE)</f>
        <v>6</v>
      </c>
      <c r="X115" s="9">
        <f>VLOOKUP($A115,地图配置辅助表!$A$3:$AP$245,地图配置辅助表!J$1,FALSE)</f>
        <v>0</v>
      </c>
      <c r="Y115" s="9">
        <f>VLOOKUP($A115,地图配置辅助表!$A$3:$AP$245,地图配置辅助表!K$1,FALSE)</f>
        <v>0</v>
      </c>
      <c r="Z115" s="9">
        <f>VLOOKUP($A115,地图配置辅助表!$A$3:$AP$245,地图配置辅助表!L$1,FALSE)</f>
        <v>0</v>
      </c>
      <c r="AA115" s="9">
        <f>VLOOKUP($A115,地图配置辅助表!$A$3:$AP$245,地图配置辅助表!M$1,FALSE)</f>
        <v>2</v>
      </c>
      <c r="AB115">
        <f>VLOOKUP($A115,地图配置辅助表!$A$3:$AP$245,地图配置辅助表!N$1,FALSE)</f>
        <v>1</v>
      </c>
      <c r="AC115" s="9">
        <f>VLOOKUP($A115,地图配置辅助表!$A$3:$AP$245,地图配置辅助表!O$1,FALSE)</f>
        <v>3</v>
      </c>
      <c r="AD115">
        <f>VLOOKUP($A115,地图配置辅助表!$A$3:$AP$245,地图配置辅助表!P$1,FALSE)</f>
        <v>4205</v>
      </c>
      <c r="AE115" s="8">
        <f>VLOOKUP($A115,地图配置辅助表!$A$3:$AP$245,地图配置辅助表!Q$1,FALSE)</f>
        <v>3</v>
      </c>
      <c r="AF115" s="8">
        <f>VLOOKUP($A115,地图配置辅助表!$A$3:$AP$245,地图配置辅助表!R$1,FALSE)</f>
        <v>4006</v>
      </c>
      <c r="AG115" s="11">
        <f>VLOOKUP($A115,地图配置辅助表!$A$3:$AP$245,地图配置辅助表!S$1,FALSE)</f>
        <v>504206</v>
      </c>
      <c r="AH115" s="11">
        <f>VLOOKUP($A115,地图配置辅助表!$A$3:$AP$245,地图配置辅助表!T$1,FALSE)</f>
        <v>246004</v>
      </c>
      <c r="AI115" s="9">
        <f>VLOOKUP($A115,地图配置辅助表!$A$3:$AP$245,地图配置辅助表!U$1,FALSE)</f>
        <v>3</v>
      </c>
      <c r="AJ115" s="9">
        <f>VLOOKUP($A115,地图配置辅助表!$A$3:$AP$245,地图配置辅助表!V$1,FALSE)</f>
        <v>246001</v>
      </c>
      <c r="AK115" s="9">
        <f>VLOOKUP($A115,地图配置辅助表!$A$3:$AP$245,地图配置辅助表!W$1,FALSE)</f>
        <v>246002</v>
      </c>
      <c r="AL115" s="9">
        <f>VLOOKUP($A115,地图配置辅助表!$A$3:$AP$245,地图配置辅助表!X$1,FALSE)</f>
        <v>246003</v>
      </c>
      <c r="AM115" s="9">
        <f>VLOOKUP($A115,地图配置辅助表!$A$3:$AP$245,地图配置辅助表!Y$1,FALSE)</f>
        <v>0</v>
      </c>
      <c r="AN115" s="9">
        <f>VLOOKUP($A115,地图配置辅助表!$A$3:$AP$245,地图配置辅助表!Z$1,FALSE)</f>
        <v>0</v>
      </c>
      <c r="AO115" s="9">
        <f>VLOOKUP($A115,地图配置辅助表!$A$3:$AP$245,地图配置辅助表!AA$1,FALSE)</f>
        <v>0</v>
      </c>
      <c r="AP115" s="9">
        <f>VLOOKUP($A115,地图配置辅助表!$A$3:$AP$245,地图配置辅助表!AB$1,FALSE)</f>
        <v>0</v>
      </c>
      <c r="AQ115" s="9">
        <f>VLOOKUP($A115,地图配置辅助表!$A$3:$AP$245,地图配置辅助表!AC$1,FALSE)</f>
        <v>0</v>
      </c>
      <c r="AR115" s="9">
        <f>VLOOKUP($A115,地图配置辅助表!$A$3:$AP$245,地图配置辅助表!AD$1,FALSE)</f>
        <v>0</v>
      </c>
      <c r="AS115" s="9">
        <f>VLOOKUP($A115,地图配置辅助表!$A$3:$AP$245,地图配置辅助表!AE$1,FALSE)</f>
        <v>0</v>
      </c>
      <c r="AT115" s="9">
        <f>VLOOKUP($A115,地图配置辅助表!$A$3:$AP$245,地图配置辅助表!AF$1,FALSE)</f>
        <v>3</v>
      </c>
      <c r="AU115" s="9">
        <f>VLOOKUP($A115,地图配置辅助表!$A$3:$AP$245,地图配置辅助表!AG$1,FALSE)</f>
        <v>125</v>
      </c>
      <c r="AV115" s="9">
        <f>VLOOKUP($A115,地图配置辅助表!$A$3:$AP$245,地图配置辅助表!AH$1,FALSE)</f>
        <v>126</v>
      </c>
      <c r="AW115" s="9">
        <f>VLOOKUP($A115,地图配置辅助表!$A$3:$AP$245,地图配置辅助表!AI$1,FALSE)</f>
        <v>127</v>
      </c>
      <c r="AX115" s="9">
        <f>VLOOKUP($A115,地图配置辅助表!$A$3:$AP$245,地图配置辅助表!AJ$1,FALSE)</f>
        <v>0</v>
      </c>
      <c r="AY115" s="9">
        <f>VLOOKUP($A115,地图配置辅助表!$A$3:$AP$245,地图配置辅助表!AK$1,FALSE)</f>
        <v>0</v>
      </c>
      <c r="AZ115" s="9">
        <f>VLOOKUP($A115,地图配置辅助表!$A$3:$AP$245,地图配置辅助表!AL$1,FALSE)</f>
        <v>0</v>
      </c>
      <c r="BA115" s="9">
        <f>VLOOKUP($A115,地图配置辅助表!$A$3:$AP$245,地图配置辅助表!AM$1,FALSE)</f>
        <v>0</v>
      </c>
      <c r="BB115" s="9">
        <f>VLOOKUP($A115,地图配置辅助表!$A$3:$AP$245,地图配置辅助表!AN$1,FALSE)</f>
        <v>0</v>
      </c>
      <c r="BC115" s="9">
        <f>VLOOKUP($A115,地图配置辅助表!$A$3:$AP$245,地图配置辅助表!AO$1,FALSE)</f>
        <v>0</v>
      </c>
      <c r="BD115" s="9">
        <f>VLOOKUP($A115,地图配置辅助表!$A$3:$AP$245,地图配置辅助表!AP$1,FALSE)</f>
        <v>0</v>
      </c>
    </row>
    <row r="116" spans="1:56" s="9" customFormat="1" x14ac:dyDescent="0.15">
      <c r="A116">
        <f>地图配置辅助表!A117</f>
        <v>4207</v>
      </c>
      <c r="B116" s="8">
        <f>地图配置辅助表!B117</f>
        <v>2</v>
      </c>
      <c r="C116" s="9">
        <f>地图配置辅助表!C117</f>
        <v>4</v>
      </c>
      <c r="D116" s="9" t="str">
        <f>地图配置辅助表!D117</f>
        <v>精英耀阳手下</v>
      </c>
      <c r="E116" s="9" t="str">
        <f t="shared" si="0"/>
        <v>挑战精英耀阳手下</v>
      </c>
      <c r="F116" s="9" t="s">
        <v>0</v>
      </c>
      <c r="G116" s="9">
        <v>29</v>
      </c>
      <c r="H116" s="9">
        <v>200</v>
      </c>
      <c r="I116" s="9">
        <v>140</v>
      </c>
      <c r="J116" s="9">
        <v>200</v>
      </c>
      <c r="K116" s="9">
        <v>140</v>
      </c>
      <c r="L116" s="9" t="s">
        <v>641</v>
      </c>
      <c r="M116" s="9">
        <v>0</v>
      </c>
      <c r="R116" s="9" t="s">
        <v>626</v>
      </c>
      <c r="S116" s="11">
        <f>VLOOKUP($A116,地图配置辅助表!$A$3:$AP$245,地图配置辅助表!E$1,FALSE)</f>
        <v>12</v>
      </c>
      <c r="T116" s="9">
        <f>VLOOKUP($A116,地图配置辅助表!$A$3:$AP$245,地图配置辅助表!F$1,FALSE)</f>
        <v>27251</v>
      </c>
      <c r="U116" s="9">
        <f>VLOOKUP($A116,地图配置辅助表!$A$3:$AP$245,地图配置辅助表!G$1,FALSE)</f>
        <v>1</v>
      </c>
      <c r="V116" s="9">
        <f>VLOOKUP($A116,地图配置辅助表!$A$3:$AP$245,地图配置辅助表!H$1,FALSE)</f>
        <v>1</v>
      </c>
      <c r="W116" s="9">
        <f>VLOOKUP($A116,地图配置辅助表!$A$3:$AP$245,地图配置辅助表!I$1,FALSE)</f>
        <v>6</v>
      </c>
      <c r="X116" s="9">
        <f>VLOOKUP($A116,地图配置辅助表!$A$3:$AP$245,地图配置辅助表!J$1,FALSE)</f>
        <v>0</v>
      </c>
      <c r="Y116" s="9">
        <f>VLOOKUP($A116,地图配置辅助表!$A$3:$AP$245,地图配置辅助表!K$1,FALSE)</f>
        <v>0</v>
      </c>
      <c r="Z116" s="9">
        <f>VLOOKUP($A116,地图配置辅助表!$A$3:$AP$245,地图配置辅助表!L$1,FALSE)</f>
        <v>0</v>
      </c>
      <c r="AA116" s="9">
        <f>VLOOKUP($A116,地图配置辅助表!$A$3:$AP$245,地图配置辅助表!M$1,FALSE)</f>
        <v>2</v>
      </c>
      <c r="AB116">
        <f>VLOOKUP($A116,地图配置辅助表!$A$3:$AP$245,地图配置辅助表!N$1,FALSE)</f>
        <v>1</v>
      </c>
      <c r="AC116" s="9">
        <f>VLOOKUP($A116,地图配置辅助表!$A$3:$AP$245,地图配置辅助表!O$1,FALSE)</f>
        <v>3</v>
      </c>
      <c r="AD116">
        <f>VLOOKUP($A116,地图配置辅助表!$A$3:$AP$245,地图配置辅助表!P$1,FALSE)</f>
        <v>4206</v>
      </c>
      <c r="AE116" s="8">
        <f>VLOOKUP($A116,地图配置辅助表!$A$3:$AP$245,地图配置辅助表!Q$1,FALSE)</f>
        <v>3</v>
      </c>
      <c r="AF116" s="8">
        <f>VLOOKUP($A116,地图配置辅助表!$A$3:$AP$245,地图配置辅助表!R$1,FALSE)</f>
        <v>4007</v>
      </c>
      <c r="AG116" s="11">
        <f>VLOOKUP($A116,地图配置辅助表!$A$3:$AP$245,地图配置辅助表!S$1,FALSE)</f>
        <v>504207</v>
      </c>
      <c r="AH116" s="11">
        <f>VLOOKUP($A116,地图配置辅助表!$A$3:$AP$245,地图配置辅助表!T$1,FALSE)</f>
        <v>247004</v>
      </c>
      <c r="AI116" s="9">
        <f>VLOOKUP($A116,地图配置辅助表!$A$3:$AP$245,地图配置辅助表!U$1,FALSE)</f>
        <v>3</v>
      </c>
      <c r="AJ116" s="9">
        <f>VLOOKUP($A116,地图配置辅助表!$A$3:$AP$245,地图配置辅助表!V$1,FALSE)</f>
        <v>247001</v>
      </c>
      <c r="AK116" s="9">
        <f>VLOOKUP($A116,地图配置辅助表!$A$3:$AP$245,地图配置辅助表!W$1,FALSE)</f>
        <v>247002</v>
      </c>
      <c r="AL116" s="9">
        <f>VLOOKUP($A116,地图配置辅助表!$A$3:$AP$245,地图配置辅助表!X$1,FALSE)</f>
        <v>247003</v>
      </c>
      <c r="AM116" s="9">
        <f>VLOOKUP($A116,地图配置辅助表!$A$3:$AP$245,地图配置辅助表!Y$1,FALSE)</f>
        <v>0</v>
      </c>
      <c r="AN116" s="9">
        <f>VLOOKUP($A116,地图配置辅助表!$A$3:$AP$245,地图配置辅助表!Z$1,FALSE)</f>
        <v>0</v>
      </c>
      <c r="AO116" s="9">
        <f>VLOOKUP($A116,地图配置辅助表!$A$3:$AP$245,地图配置辅助表!AA$1,FALSE)</f>
        <v>0</v>
      </c>
      <c r="AP116" s="9">
        <f>VLOOKUP($A116,地图配置辅助表!$A$3:$AP$245,地图配置辅助表!AB$1,FALSE)</f>
        <v>0</v>
      </c>
      <c r="AQ116" s="9">
        <f>VLOOKUP($A116,地图配置辅助表!$A$3:$AP$245,地图配置辅助表!AC$1,FALSE)</f>
        <v>0</v>
      </c>
      <c r="AR116" s="9">
        <f>VLOOKUP($A116,地图配置辅助表!$A$3:$AP$245,地图配置辅助表!AD$1,FALSE)</f>
        <v>0</v>
      </c>
      <c r="AS116" s="9">
        <f>VLOOKUP($A116,地图配置辅助表!$A$3:$AP$245,地图配置辅助表!AE$1,FALSE)</f>
        <v>0</v>
      </c>
      <c r="AT116" s="9">
        <f>VLOOKUP($A116,地图配置辅助表!$A$3:$AP$245,地图配置辅助表!AF$1,FALSE)</f>
        <v>3</v>
      </c>
      <c r="AU116" s="9">
        <f>VLOOKUP($A116,地图配置辅助表!$A$3:$AP$245,地图配置辅助表!AG$1,FALSE)</f>
        <v>159</v>
      </c>
      <c r="AV116" s="9">
        <f>VLOOKUP($A116,地图配置辅助表!$A$3:$AP$245,地图配置辅助表!AH$1,FALSE)</f>
        <v>160</v>
      </c>
      <c r="AW116" s="9">
        <f>VLOOKUP($A116,地图配置辅助表!$A$3:$AP$245,地图配置辅助表!AI$1,FALSE)</f>
        <v>161</v>
      </c>
      <c r="AX116" s="9">
        <f>VLOOKUP($A116,地图配置辅助表!$A$3:$AP$245,地图配置辅助表!AJ$1,FALSE)</f>
        <v>0</v>
      </c>
      <c r="AY116" s="9">
        <f>VLOOKUP($A116,地图配置辅助表!$A$3:$AP$245,地图配置辅助表!AK$1,FALSE)</f>
        <v>0</v>
      </c>
      <c r="AZ116" s="9">
        <f>VLOOKUP($A116,地图配置辅助表!$A$3:$AP$245,地图配置辅助表!AL$1,FALSE)</f>
        <v>0</v>
      </c>
      <c r="BA116" s="9">
        <f>VLOOKUP($A116,地图配置辅助表!$A$3:$AP$245,地图配置辅助表!AM$1,FALSE)</f>
        <v>0</v>
      </c>
      <c r="BB116" s="9">
        <f>VLOOKUP($A116,地图配置辅助表!$A$3:$AP$245,地图配置辅助表!AN$1,FALSE)</f>
        <v>0</v>
      </c>
      <c r="BC116" s="9">
        <f>VLOOKUP($A116,地图配置辅助表!$A$3:$AP$245,地图配置辅助表!AO$1,FALSE)</f>
        <v>0</v>
      </c>
      <c r="BD116" s="9">
        <f>VLOOKUP($A116,地图配置辅助表!$A$3:$AP$245,地图配置辅助表!AP$1,FALSE)</f>
        <v>0</v>
      </c>
    </row>
    <row r="117" spans="1:56" s="9" customFormat="1" x14ac:dyDescent="0.15">
      <c r="A117">
        <f>地图配置辅助表!A118</f>
        <v>4208</v>
      </c>
      <c r="B117" s="8">
        <f>地图配置辅助表!B118</f>
        <v>2</v>
      </c>
      <c r="C117" s="9">
        <f>地图配置辅助表!C118</f>
        <v>4</v>
      </c>
      <c r="D117" s="9" t="str">
        <f>地图配置辅助表!D118</f>
        <v>精英东星拳师</v>
      </c>
      <c r="E117" s="9" t="str">
        <f t="shared" si="0"/>
        <v>挑战精英东星拳师</v>
      </c>
      <c r="F117" s="9" t="s">
        <v>0</v>
      </c>
      <c r="G117" s="9">
        <v>29</v>
      </c>
      <c r="H117" s="9">
        <v>200</v>
      </c>
      <c r="I117" s="9">
        <v>140</v>
      </c>
      <c r="J117" s="9">
        <v>200</v>
      </c>
      <c r="K117" s="9">
        <v>140</v>
      </c>
      <c r="L117" s="9" t="s">
        <v>642</v>
      </c>
      <c r="M117" s="9">
        <v>0</v>
      </c>
      <c r="R117" s="9" t="s">
        <v>627</v>
      </c>
      <c r="S117" s="11">
        <f>VLOOKUP($A117,地图配置辅助表!$A$3:$AP$245,地图配置辅助表!E$1,FALSE)</f>
        <v>12</v>
      </c>
      <c r="T117" s="9">
        <f>VLOOKUP($A117,地图配置辅助表!$A$3:$AP$245,地图配置辅助表!F$1,FALSE)</f>
        <v>30297</v>
      </c>
      <c r="U117" s="9">
        <f>VLOOKUP($A117,地图配置辅助表!$A$3:$AP$245,地图配置辅助表!G$1,FALSE)</f>
        <v>1</v>
      </c>
      <c r="V117" s="9">
        <f>VLOOKUP($A117,地图配置辅助表!$A$3:$AP$245,地图配置辅助表!H$1,FALSE)</f>
        <v>1</v>
      </c>
      <c r="W117" s="9">
        <f>VLOOKUP($A117,地图配置辅助表!$A$3:$AP$245,地图配置辅助表!I$1,FALSE)</f>
        <v>6</v>
      </c>
      <c r="X117" s="9">
        <f>VLOOKUP($A117,地图配置辅助表!$A$3:$AP$245,地图配置辅助表!J$1,FALSE)</f>
        <v>0</v>
      </c>
      <c r="Y117" s="9">
        <f>VLOOKUP($A117,地图配置辅助表!$A$3:$AP$245,地图配置辅助表!K$1,FALSE)</f>
        <v>0</v>
      </c>
      <c r="Z117" s="9">
        <f>VLOOKUP($A117,地图配置辅助表!$A$3:$AP$245,地图配置辅助表!L$1,FALSE)</f>
        <v>0</v>
      </c>
      <c r="AA117" s="9">
        <f>VLOOKUP($A117,地图配置辅助表!$A$3:$AP$245,地图配置辅助表!M$1,FALSE)</f>
        <v>2</v>
      </c>
      <c r="AB117">
        <f>VLOOKUP($A117,地图配置辅助表!$A$3:$AP$245,地图配置辅助表!N$1,FALSE)</f>
        <v>1</v>
      </c>
      <c r="AC117" s="9">
        <f>VLOOKUP($A117,地图配置辅助表!$A$3:$AP$245,地图配置辅助表!O$1,FALSE)</f>
        <v>3</v>
      </c>
      <c r="AD117">
        <f>VLOOKUP($A117,地图配置辅助表!$A$3:$AP$245,地图配置辅助表!P$1,FALSE)</f>
        <v>4207</v>
      </c>
      <c r="AE117" s="8">
        <f>VLOOKUP($A117,地图配置辅助表!$A$3:$AP$245,地图配置辅助表!Q$1,FALSE)</f>
        <v>3</v>
      </c>
      <c r="AF117" s="8">
        <f>VLOOKUP($A117,地图配置辅助表!$A$3:$AP$245,地图配置辅助表!R$1,FALSE)</f>
        <v>4008</v>
      </c>
      <c r="AG117" s="11">
        <f>VLOOKUP($A117,地图配置辅助表!$A$3:$AP$245,地图配置辅助表!S$1,FALSE)</f>
        <v>504208</v>
      </c>
      <c r="AH117" s="11">
        <f>VLOOKUP($A117,地图配置辅助表!$A$3:$AP$245,地图配置辅助表!T$1,FALSE)</f>
        <v>248004</v>
      </c>
      <c r="AI117" s="9">
        <f>VLOOKUP($A117,地图配置辅助表!$A$3:$AP$245,地图配置辅助表!U$1,FALSE)</f>
        <v>3</v>
      </c>
      <c r="AJ117" s="9">
        <f>VLOOKUP($A117,地图配置辅助表!$A$3:$AP$245,地图配置辅助表!V$1,FALSE)</f>
        <v>248001</v>
      </c>
      <c r="AK117" s="9">
        <f>VLOOKUP($A117,地图配置辅助表!$A$3:$AP$245,地图配置辅助表!W$1,FALSE)</f>
        <v>248002</v>
      </c>
      <c r="AL117" s="9">
        <f>VLOOKUP($A117,地图配置辅助表!$A$3:$AP$245,地图配置辅助表!X$1,FALSE)</f>
        <v>248003</v>
      </c>
      <c r="AM117" s="9">
        <f>VLOOKUP($A117,地图配置辅助表!$A$3:$AP$245,地图配置辅助表!Y$1,FALSE)</f>
        <v>0</v>
      </c>
      <c r="AN117" s="9">
        <f>VLOOKUP($A117,地图配置辅助表!$A$3:$AP$245,地图配置辅助表!Z$1,FALSE)</f>
        <v>0</v>
      </c>
      <c r="AO117" s="9">
        <f>VLOOKUP($A117,地图配置辅助表!$A$3:$AP$245,地图配置辅助表!AA$1,FALSE)</f>
        <v>0</v>
      </c>
      <c r="AP117" s="9">
        <f>VLOOKUP($A117,地图配置辅助表!$A$3:$AP$245,地图配置辅助表!AB$1,FALSE)</f>
        <v>0</v>
      </c>
      <c r="AQ117" s="9">
        <f>VLOOKUP($A117,地图配置辅助表!$A$3:$AP$245,地图配置辅助表!AC$1,FALSE)</f>
        <v>0</v>
      </c>
      <c r="AR117" s="9">
        <f>VLOOKUP($A117,地图配置辅助表!$A$3:$AP$245,地图配置辅助表!AD$1,FALSE)</f>
        <v>0</v>
      </c>
      <c r="AS117" s="9">
        <f>VLOOKUP($A117,地图配置辅助表!$A$3:$AP$245,地图配置辅助表!AE$1,FALSE)</f>
        <v>0</v>
      </c>
      <c r="AT117" s="9">
        <f>VLOOKUP($A117,地图配置辅助表!$A$3:$AP$245,地图配置辅助表!AF$1,FALSE)</f>
        <v>3</v>
      </c>
      <c r="AU117" s="9">
        <f>VLOOKUP($A117,地图配置辅助表!$A$3:$AP$245,地图配置辅助表!AG$1,FALSE)</f>
        <v>110</v>
      </c>
      <c r="AV117" s="9">
        <f>VLOOKUP($A117,地图配置辅助表!$A$3:$AP$245,地图配置辅助表!AH$1,FALSE)</f>
        <v>111</v>
      </c>
      <c r="AW117" s="9">
        <f>VLOOKUP($A117,地图配置辅助表!$A$3:$AP$245,地图配置辅助表!AI$1,FALSE)</f>
        <v>112</v>
      </c>
      <c r="AX117" s="9">
        <f>VLOOKUP($A117,地图配置辅助表!$A$3:$AP$245,地图配置辅助表!AJ$1,FALSE)</f>
        <v>0</v>
      </c>
      <c r="AY117" s="9">
        <f>VLOOKUP($A117,地图配置辅助表!$A$3:$AP$245,地图配置辅助表!AK$1,FALSE)</f>
        <v>0</v>
      </c>
      <c r="AZ117" s="9">
        <f>VLOOKUP($A117,地图配置辅助表!$A$3:$AP$245,地图配置辅助表!AL$1,FALSE)</f>
        <v>0</v>
      </c>
      <c r="BA117" s="9">
        <f>VLOOKUP($A117,地图配置辅助表!$A$3:$AP$245,地图配置辅助表!AM$1,FALSE)</f>
        <v>0</v>
      </c>
      <c r="BB117" s="9">
        <f>VLOOKUP($A117,地图配置辅助表!$A$3:$AP$245,地图配置辅助表!AN$1,FALSE)</f>
        <v>0</v>
      </c>
      <c r="BC117" s="9">
        <f>VLOOKUP($A117,地图配置辅助表!$A$3:$AP$245,地图配置辅助表!AO$1,FALSE)</f>
        <v>0</v>
      </c>
      <c r="BD117" s="9">
        <f>VLOOKUP($A117,地图配置辅助表!$A$3:$AP$245,地图配置辅助表!AP$1,FALSE)</f>
        <v>0</v>
      </c>
    </row>
    <row r="118" spans="1:56" s="9" customFormat="1" x14ac:dyDescent="0.15">
      <c r="A118">
        <f>地图配置辅助表!A119</f>
        <v>4209</v>
      </c>
      <c r="B118" s="8">
        <f>地图配置辅助表!B119</f>
        <v>2</v>
      </c>
      <c r="C118" s="9">
        <f>地图配置辅助表!C119</f>
        <v>4</v>
      </c>
      <c r="D118" s="9" t="str">
        <f>地图配置辅助表!D119</f>
        <v>精英耀阳</v>
      </c>
      <c r="E118" s="9" t="str">
        <f t="shared" si="0"/>
        <v>挑战精英耀阳</v>
      </c>
      <c r="F118" s="9" t="s">
        <v>0</v>
      </c>
      <c r="G118" s="9">
        <v>29</v>
      </c>
      <c r="H118" s="9">
        <v>200</v>
      </c>
      <c r="I118" s="9">
        <v>140</v>
      </c>
      <c r="J118" s="9">
        <v>200</v>
      </c>
      <c r="K118" s="9">
        <v>140</v>
      </c>
      <c r="L118" s="9" t="s">
        <v>643</v>
      </c>
      <c r="M118" s="9">
        <v>0</v>
      </c>
      <c r="R118" s="9" t="s">
        <v>628</v>
      </c>
      <c r="S118" s="11">
        <f>VLOOKUP($A118,地图配置辅助表!$A$3:$AP$245,地图配置辅助表!E$1,FALSE)</f>
        <v>12</v>
      </c>
      <c r="T118" s="9">
        <f>VLOOKUP($A118,地图配置辅助表!$A$3:$AP$245,地图配置辅助表!F$1,FALSE)</f>
        <v>33117</v>
      </c>
      <c r="U118" s="9">
        <f>VLOOKUP($A118,地图配置辅助表!$A$3:$AP$245,地图配置辅助表!G$1,FALSE)</f>
        <v>1</v>
      </c>
      <c r="V118" s="9">
        <f>VLOOKUP($A118,地图配置辅助表!$A$3:$AP$245,地图配置辅助表!H$1,FALSE)</f>
        <v>1</v>
      </c>
      <c r="W118" s="9">
        <f>VLOOKUP($A118,地图配置辅助表!$A$3:$AP$245,地图配置辅助表!I$1,FALSE)</f>
        <v>6</v>
      </c>
      <c r="X118" s="9">
        <f>VLOOKUP($A118,地图配置辅助表!$A$3:$AP$245,地图配置辅助表!J$1,FALSE)</f>
        <v>0</v>
      </c>
      <c r="Y118" s="9">
        <f>VLOOKUP($A118,地图配置辅助表!$A$3:$AP$245,地图配置辅助表!K$1,FALSE)</f>
        <v>0</v>
      </c>
      <c r="Z118" s="9">
        <f>VLOOKUP($A118,地图配置辅助表!$A$3:$AP$245,地图配置辅助表!L$1,FALSE)</f>
        <v>0</v>
      </c>
      <c r="AA118" s="9">
        <f>VLOOKUP($A118,地图配置辅助表!$A$3:$AP$245,地图配置辅助表!M$1,FALSE)</f>
        <v>2</v>
      </c>
      <c r="AB118">
        <f>VLOOKUP($A118,地图配置辅助表!$A$3:$AP$245,地图配置辅助表!N$1,FALSE)</f>
        <v>1</v>
      </c>
      <c r="AC118" s="9">
        <f>VLOOKUP($A118,地图配置辅助表!$A$3:$AP$245,地图配置辅助表!O$1,FALSE)</f>
        <v>3</v>
      </c>
      <c r="AD118">
        <f>VLOOKUP($A118,地图配置辅助表!$A$3:$AP$245,地图配置辅助表!P$1,FALSE)</f>
        <v>4208</v>
      </c>
      <c r="AE118" s="8">
        <f>VLOOKUP($A118,地图配置辅助表!$A$3:$AP$245,地图配置辅助表!Q$1,FALSE)</f>
        <v>3</v>
      </c>
      <c r="AF118" s="8">
        <f>VLOOKUP($A118,地图配置辅助表!$A$3:$AP$245,地图配置辅助表!R$1,FALSE)</f>
        <v>4009</v>
      </c>
      <c r="AG118" s="11">
        <f>VLOOKUP($A118,地图配置辅助表!$A$3:$AP$245,地图配置辅助表!S$1,FALSE)</f>
        <v>504209</v>
      </c>
      <c r="AH118" s="11">
        <f>VLOOKUP($A118,地图配置辅助表!$A$3:$AP$245,地图配置辅助表!T$1,FALSE)</f>
        <v>249004</v>
      </c>
      <c r="AI118" s="9">
        <f>VLOOKUP($A118,地图配置辅助表!$A$3:$AP$245,地图配置辅助表!U$1,FALSE)</f>
        <v>3</v>
      </c>
      <c r="AJ118" s="9">
        <f>VLOOKUP($A118,地图配置辅助表!$A$3:$AP$245,地图配置辅助表!V$1,FALSE)</f>
        <v>249001</v>
      </c>
      <c r="AK118" s="9">
        <f>VLOOKUP($A118,地图配置辅助表!$A$3:$AP$245,地图配置辅助表!W$1,FALSE)</f>
        <v>249002</v>
      </c>
      <c r="AL118" s="9">
        <f>VLOOKUP($A118,地图配置辅助表!$A$3:$AP$245,地图配置辅助表!X$1,FALSE)</f>
        <v>249003</v>
      </c>
      <c r="AM118" s="9">
        <f>VLOOKUP($A118,地图配置辅助表!$A$3:$AP$245,地图配置辅助表!Y$1,FALSE)</f>
        <v>0</v>
      </c>
      <c r="AN118" s="9">
        <f>VLOOKUP($A118,地图配置辅助表!$A$3:$AP$245,地图配置辅助表!Z$1,FALSE)</f>
        <v>0</v>
      </c>
      <c r="AO118" s="9">
        <f>VLOOKUP($A118,地图配置辅助表!$A$3:$AP$245,地图配置辅助表!AA$1,FALSE)</f>
        <v>0</v>
      </c>
      <c r="AP118" s="9">
        <f>VLOOKUP($A118,地图配置辅助表!$A$3:$AP$245,地图配置辅助表!AB$1,FALSE)</f>
        <v>0</v>
      </c>
      <c r="AQ118" s="9">
        <f>VLOOKUP($A118,地图配置辅助表!$A$3:$AP$245,地图配置辅助表!AC$1,FALSE)</f>
        <v>0</v>
      </c>
      <c r="AR118" s="9">
        <f>VLOOKUP($A118,地图配置辅助表!$A$3:$AP$245,地图配置辅助表!AD$1,FALSE)</f>
        <v>0</v>
      </c>
      <c r="AS118" s="9">
        <f>VLOOKUP($A118,地图配置辅助表!$A$3:$AP$245,地图配置辅助表!AE$1,FALSE)</f>
        <v>0</v>
      </c>
      <c r="AT118" s="9">
        <f>VLOOKUP($A118,地图配置辅助表!$A$3:$AP$245,地图配置辅助表!AF$1,FALSE)</f>
        <v>3</v>
      </c>
      <c r="AU118" s="9">
        <f>VLOOKUP($A118,地图配置辅助表!$A$3:$AP$245,地图配置辅助表!AG$1,FALSE)</f>
        <v>125</v>
      </c>
      <c r="AV118" s="9">
        <f>VLOOKUP($A118,地图配置辅助表!$A$3:$AP$245,地图配置辅助表!AH$1,FALSE)</f>
        <v>126</v>
      </c>
      <c r="AW118" s="9">
        <f>VLOOKUP($A118,地图配置辅助表!$A$3:$AP$245,地图配置辅助表!AI$1,FALSE)</f>
        <v>127</v>
      </c>
      <c r="AX118" s="9">
        <f>VLOOKUP($A118,地图配置辅助表!$A$3:$AP$245,地图配置辅助表!AJ$1,FALSE)</f>
        <v>0</v>
      </c>
      <c r="AY118" s="9">
        <f>VLOOKUP($A118,地图配置辅助表!$A$3:$AP$245,地图配置辅助表!AK$1,FALSE)</f>
        <v>0</v>
      </c>
      <c r="AZ118" s="9">
        <f>VLOOKUP($A118,地图配置辅助表!$A$3:$AP$245,地图配置辅助表!AL$1,FALSE)</f>
        <v>0</v>
      </c>
      <c r="BA118" s="9">
        <f>VLOOKUP($A118,地图配置辅助表!$A$3:$AP$245,地图配置辅助表!AM$1,FALSE)</f>
        <v>0</v>
      </c>
      <c r="BB118" s="9">
        <f>VLOOKUP($A118,地图配置辅助表!$A$3:$AP$245,地图配置辅助表!AN$1,FALSE)</f>
        <v>0</v>
      </c>
      <c r="BC118" s="9">
        <f>VLOOKUP($A118,地图配置辅助表!$A$3:$AP$245,地图配置辅助表!AO$1,FALSE)</f>
        <v>0</v>
      </c>
      <c r="BD118" s="9">
        <f>VLOOKUP($A118,地图配置辅助表!$A$3:$AP$245,地图配置辅助表!AP$1,FALSE)</f>
        <v>0</v>
      </c>
    </row>
    <row r="119" spans="1:56" s="9" customFormat="1" x14ac:dyDescent="0.15">
      <c r="A119">
        <f>地图配置辅助表!A120</f>
        <v>5201</v>
      </c>
      <c r="B119" s="8">
        <f>地图配置辅助表!B120</f>
        <v>2</v>
      </c>
      <c r="C119" s="9">
        <f>地图配置辅助表!C120</f>
        <v>5</v>
      </c>
      <c r="D119" s="9" t="str">
        <f>地图配置辅助表!D120</f>
        <v>精英司徒手下</v>
      </c>
      <c r="E119" s="9" t="str">
        <f t="shared" si="0"/>
        <v>挑战精英司徒手下</v>
      </c>
      <c r="F119" s="9" t="s">
        <v>0</v>
      </c>
      <c r="G119" s="9">
        <v>29</v>
      </c>
      <c r="H119" s="9">
        <v>200</v>
      </c>
      <c r="I119" s="9">
        <v>140</v>
      </c>
      <c r="J119" s="9">
        <v>200</v>
      </c>
      <c r="K119" s="9">
        <v>140</v>
      </c>
      <c r="L119" s="9" t="s">
        <v>193</v>
      </c>
      <c r="M119" s="9">
        <v>0</v>
      </c>
      <c r="R119" s="9" t="s">
        <v>145</v>
      </c>
      <c r="S119" s="11">
        <f>VLOOKUP($A119,地图配置辅助表!$A$3:$AP$245,地图配置辅助表!E$1,FALSE)</f>
        <v>12</v>
      </c>
      <c r="T119" s="9">
        <f>VLOOKUP($A119,地图配置辅助表!$A$3:$AP$245,地图配置辅助表!F$1,FALSE)</f>
        <v>31628</v>
      </c>
      <c r="U119" s="9">
        <f>VLOOKUP($A119,地图配置辅助表!$A$3:$AP$245,地图配置辅助表!G$1,FALSE)</f>
        <v>1</v>
      </c>
      <c r="V119" s="9">
        <f>VLOOKUP($A119,地图配置辅助表!$A$3:$AP$245,地图配置辅助表!H$1,FALSE)</f>
        <v>1</v>
      </c>
      <c r="W119" s="9">
        <f>VLOOKUP($A119,地图配置辅助表!$A$3:$AP$245,地图配置辅助表!I$1,FALSE)</f>
        <v>6</v>
      </c>
      <c r="X119" s="9">
        <f>VLOOKUP($A119,地图配置辅助表!$A$3:$AP$245,地图配置辅助表!J$1,FALSE)</f>
        <v>0</v>
      </c>
      <c r="Y119" s="9">
        <f>VLOOKUP($A119,地图配置辅助表!$A$3:$AP$245,地图配置辅助表!K$1,FALSE)</f>
        <v>0</v>
      </c>
      <c r="Z119" s="9">
        <f>VLOOKUP($A119,地图配置辅助表!$A$3:$AP$245,地图配置辅助表!L$1,FALSE)</f>
        <v>0</v>
      </c>
      <c r="AA119" s="9">
        <f>VLOOKUP($A119,地图配置辅助表!$A$3:$AP$245,地图配置辅助表!M$1,FALSE)</f>
        <v>2</v>
      </c>
      <c r="AB119">
        <f>VLOOKUP($A119,地图配置辅助表!$A$3:$AP$245,地图配置辅助表!N$1,FALSE)</f>
        <v>1</v>
      </c>
      <c r="AC119" s="9">
        <f>VLOOKUP($A119,地图配置辅助表!$A$3:$AP$245,地图配置辅助表!O$1,FALSE)</f>
        <v>3</v>
      </c>
      <c r="AD119">
        <f>VLOOKUP($A119,地图配置辅助表!$A$3:$AP$245,地图配置辅助表!P$1,FALSE)</f>
        <v>4209</v>
      </c>
      <c r="AE119" s="8">
        <f>VLOOKUP($A119,地图配置辅助表!$A$3:$AP$245,地图配置辅助表!Q$1,FALSE)</f>
        <v>3</v>
      </c>
      <c r="AF119" s="8">
        <f>VLOOKUP($A119,地图配置辅助表!$A$3:$AP$245,地图配置辅助表!R$1,FALSE)</f>
        <v>5001</v>
      </c>
      <c r="AG119" s="11">
        <f>VLOOKUP($A119,地图配置辅助表!$A$3:$AP$245,地图配置辅助表!S$1,FALSE)</f>
        <v>505201</v>
      </c>
      <c r="AH119" s="11">
        <f>VLOOKUP($A119,地图配置辅助表!$A$3:$AP$245,地图配置辅助表!T$1,FALSE)</f>
        <v>251004</v>
      </c>
      <c r="AI119" s="9">
        <f>VLOOKUP($A119,地图配置辅助表!$A$3:$AP$245,地图配置辅助表!U$1,FALSE)</f>
        <v>3</v>
      </c>
      <c r="AJ119" s="9">
        <f>VLOOKUP($A119,地图配置辅助表!$A$3:$AP$245,地图配置辅助表!V$1,FALSE)</f>
        <v>251001</v>
      </c>
      <c r="AK119" s="9">
        <f>VLOOKUP($A119,地图配置辅助表!$A$3:$AP$245,地图配置辅助表!W$1,FALSE)</f>
        <v>251002</v>
      </c>
      <c r="AL119" s="9">
        <f>VLOOKUP($A119,地图配置辅助表!$A$3:$AP$245,地图配置辅助表!X$1,FALSE)</f>
        <v>251003</v>
      </c>
      <c r="AM119" s="9">
        <f>VLOOKUP($A119,地图配置辅助表!$A$3:$AP$245,地图配置辅助表!Y$1,FALSE)</f>
        <v>0</v>
      </c>
      <c r="AN119" s="9">
        <f>VLOOKUP($A119,地图配置辅助表!$A$3:$AP$245,地图配置辅助表!Z$1,FALSE)</f>
        <v>0</v>
      </c>
      <c r="AO119" s="9">
        <f>VLOOKUP($A119,地图配置辅助表!$A$3:$AP$245,地图配置辅助表!AA$1,FALSE)</f>
        <v>0</v>
      </c>
      <c r="AP119" s="9">
        <f>VLOOKUP($A119,地图配置辅助表!$A$3:$AP$245,地图配置辅助表!AB$1,FALSE)</f>
        <v>0</v>
      </c>
      <c r="AQ119" s="9">
        <f>VLOOKUP($A119,地图配置辅助表!$A$3:$AP$245,地图配置辅助表!AC$1,FALSE)</f>
        <v>0</v>
      </c>
      <c r="AR119" s="9">
        <f>VLOOKUP($A119,地图配置辅助表!$A$3:$AP$245,地图配置辅助表!AD$1,FALSE)</f>
        <v>0</v>
      </c>
      <c r="AS119" s="9">
        <f>VLOOKUP($A119,地图配置辅助表!$A$3:$AP$245,地图配置辅助表!AE$1,FALSE)</f>
        <v>0</v>
      </c>
      <c r="AT119" s="9">
        <f>VLOOKUP($A119,地图配置辅助表!$A$3:$AP$245,地图配置辅助表!AF$1,FALSE)</f>
        <v>3</v>
      </c>
      <c r="AU119" s="9">
        <f>VLOOKUP($A119,地图配置辅助表!$A$3:$AP$245,地图配置辅助表!AG$1,FALSE)</f>
        <v>158</v>
      </c>
      <c r="AV119" s="9">
        <f>VLOOKUP($A119,地图配置辅助表!$A$3:$AP$245,地图配置辅助表!AH$1,FALSE)</f>
        <v>159</v>
      </c>
      <c r="AW119" s="9">
        <f>VLOOKUP($A119,地图配置辅助表!$A$3:$AP$245,地图配置辅助表!AI$1,FALSE)</f>
        <v>160</v>
      </c>
      <c r="AX119" s="9">
        <f>VLOOKUP($A119,地图配置辅助表!$A$3:$AP$245,地图配置辅助表!AJ$1,FALSE)</f>
        <v>0</v>
      </c>
      <c r="AY119" s="9">
        <f>VLOOKUP($A119,地图配置辅助表!$A$3:$AP$245,地图配置辅助表!AK$1,FALSE)</f>
        <v>0</v>
      </c>
      <c r="AZ119" s="9">
        <f>VLOOKUP($A119,地图配置辅助表!$A$3:$AP$245,地图配置辅助表!AL$1,FALSE)</f>
        <v>0</v>
      </c>
      <c r="BA119" s="9">
        <f>VLOOKUP($A119,地图配置辅助表!$A$3:$AP$245,地图配置辅助表!AM$1,FALSE)</f>
        <v>0</v>
      </c>
      <c r="BB119" s="9">
        <f>VLOOKUP($A119,地图配置辅助表!$A$3:$AP$245,地图配置辅助表!AN$1,FALSE)</f>
        <v>0</v>
      </c>
      <c r="BC119" s="9">
        <f>VLOOKUP($A119,地图配置辅助表!$A$3:$AP$245,地图配置辅助表!AO$1,FALSE)</f>
        <v>0</v>
      </c>
      <c r="BD119" s="9">
        <f>VLOOKUP($A119,地图配置辅助表!$A$3:$AP$245,地图配置辅助表!AP$1,FALSE)</f>
        <v>0</v>
      </c>
    </row>
    <row r="120" spans="1:56" s="9" customFormat="1" x14ac:dyDescent="0.15">
      <c r="A120">
        <f>地图配置辅助表!A121</f>
        <v>5202</v>
      </c>
      <c r="B120" s="8">
        <f>地图配置辅助表!B121</f>
        <v>2</v>
      </c>
      <c r="C120" s="9">
        <f>地图配置辅助表!C121</f>
        <v>5</v>
      </c>
      <c r="D120" s="9" t="str">
        <f>地图配置辅助表!D121</f>
        <v>精英破坏分子</v>
      </c>
      <c r="E120" s="9" t="str">
        <f t="shared" si="0"/>
        <v>挑战精英破坏分子</v>
      </c>
      <c r="F120" s="9" t="s">
        <v>0</v>
      </c>
      <c r="G120" s="9">
        <v>29</v>
      </c>
      <c r="H120" s="9">
        <v>200</v>
      </c>
      <c r="I120" s="9">
        <v>140</v>
      </c>
      <c r="J120" s="9">
        <v>200</v>
      </c>
      <c r="K120" s="9">
        <v>140</v>
      </c>
      <c r="L120" s="9" t="s">
        <v>194</v>
      </c>
      <c r="M120" s="9">
        <v>0</v>
      </c>
      <c r="R120" s="9" t="s">
        <v>146</v>
      </c>
      <c r="S120" s="11">
        <f>VLOOKUP($A120,地图配置辅助表!$A$3:$AP$245,地图配置辅助表!E$1,FALSE)</f>
        <v>12</v>
      </c>
      <c r="T120" s="9">
        <f>VLOOKUP($A120,地图配置辅助表!$A$3:$AP$245,地图配置辅助表!F$1,FALSE)</f>
        <v>34770</v>
      </c>
      <c r="U120" s="9">
        <f>VLOOKUP($A120,地图配置辅助表!$A$3:$AP$245,地图配置辅助表!G$1,FALSE)</f>
        <v>1</v>
      </c>
      <c r="V120" s="9">
        <f>VLOOKUP($A120,地图配置辅助表!$A$3:$AP$245,地图配置辅助表!H$1,FALSE)</f>
        <v>1</v>
      </c>
      <c r="W120" s="9">
        <f>VLOOKUP($A120,地图配置辅助表!$A$3:$AP$245,地图配置辅助表!I$1,FALSE)</f>
        <v>6</v>
      </c>
      <c r="X120" s="9">
        <f>VLOOKUP($A120,地图配置辅助表!$A$3:$AP$245,地图配置辅助表!J$1,FALSE)</f>
        <v>0</v>
      </c>
      <c r="Y120" s="9">
        <f>VLOOKUP($A120,地图配置辅助表!$A$3:$AP$245,地图配置辅助表!K$1,FALSE)</f>
        <v>0</v>
      </c>
      <c r="Z120" s="9">
        <f>VLOOKUP($A120,地图配置辅助表!$A$3:$AP$245,地图配置辅助表!L$1,FALSE)</f>
        <v>0</v>
      </c>
      <c r="AA120" s="9">
        <f>VLOOKUP($A120,地图配置辅助表!$A$3:$AP$245,地图配置辅助表!M$1,FALSE)</f>
        <v>2</v>
      </c>
      <c r="AB120">
        <f>VLOOKUP($A120,地图配置辅助表!$A$3:$AP$245,地图配置辅助表!N$1,FALSE)</f>
        <v>1</v>
      </c>
      <c r="AC120" s="9">
        <f>VLOOKUP($A120,地图配置辅助表!$A$3:$AP$245,地图配置辅助表!O$1,FALSE)</f>
        <v>3</v>
      </c>
      <c r="AD120">
        <f>VLOOKUP($A120,地图配置辅助表!$A$3:$AP$245,地图配置辅助表!P$1,FALSE)</f>
        <v>5201</v>
      </c>
      <c r="AE120" s="8">
        <f>VLOOKUP($A120,地图配置辅助表!$A$3:$AP$245,地图配置辅助表!Q$1,FALSE)</f>
        <v>3</v>
      </c>
      <c r="AF120" s="8">
        <f>VLOOKUP($A120,地图配置辅助表!$A$3:$AP$245,地图配置辅助表!R$1,FALSE)</f>
        <v>5002</v>
      </c>
      <c r="AG120" s="11">
        <f>VLOOKUP($A120,地图配置辅助表!$A$3:$AP$245,地图配置辅助表!S$1,FALSE)</f>
        <v>505202</v>
      </c>
      <c r="AH120" s="11">
        <f>VLOOKUP($A120,地图配置辅助表!$A$3:$AP$245,地图配置辅助表!T$1,FALSE)</f>
        <v>252004</v>
      </c>
      <c r="AI120" s="9">
        <f>VLOOKUP($A120,地图配置辅助表!$A$3:$AP$245,地图配置辅助表!U$1,FALSE)</f>
        <v>3</v>
      </c>
      <c r="AJ120" s="9">
        <f>VLOOKUP($A120,地图配置辅助表!$A$3:$AP$245,地图配置辅助表!V$1,FALSE)</f>
        <v>252001</v>
      </c>
      <c r="AK120" s="9">
        <f>VLOOKUP($A120,地图配置辅助表!$A$3:$AP$245,地图配置辅助表!W$1,FALSE)</f>
        <v>252002</v>
      </c>
      <c r="AL120" s="9">
        <f>VLOOKUP($A120,地图配置辅助表!$A$3:$AP$245,地图配置辅助表!X$1,FALSE)</f>
        <v>252003</v>
      </c>
      <c r="AM120" s="9">
        <f>VLOOKUP($A120,地图配置辅助表!$A$3:$AP$245,地图配置辅助表!Y$1,FALSE)</f>
        <v>0</v>
      </c>
      <c r="AN120" s="9">
        <f>VLOOKUP($A120,地图配置辅助表!$A$3:$AP$245,地图配置辅助表!Z$1,FALSE)</f>
        <v>0</v>
      </c>
      <c r="AO120" s="9">
        <f>VLOOKUP($A120,地图配置辅助表!$A$3:$AP$245,地图配置辅助表!AA$1,FALSE)</f>
        <v>0</v>
      </c>
      <c r="AP120" s="9">
        <f>VLOOKUP($A120,地图配置辅助表!$A$3:$AP$245,地图配置辅助表!AB$1,FALSE)</f>
        <v>0</v>
      </c>
      <c r="AQ120" s="9">
        <f>VLOOKUP($A120,地图配置辅助表!$A$3:$AP$245,地图配置辅助表!AC$1,FALSE)</f>
        <v>0</v>
      </c>
      <c r="AR120" s="9">
        <f>VLOOKUP($A120,地图配置辅助表!$A$3:$AP$245,地图配置辅助表!AD$1,FALSE)</f>
        <v>0</v>
      </c>
      <c r="AS120" s="9">
        <f>VLOOKUP($A120,地图配置辅助表!$A$3:$AP$245,地图配置辅助表!AE$1,FALSE)</f>
        <v>0</v>
      </c>
      <c r="AT120" s="9">
        <f>VLOOKUP($A120,地图配置辅助表!$A$3:$AP$245,地图配置辅助表!AF$1,FALSE)</f>
        <v>3</v>
      </c>
      <c r="AU120" s="9">
        <f>VLOOKUP($A120,地图配置辅助表!$A$3:$AP$245,地图配置辅助表!AG$1,FALSE)</f>
        <v>185</v>
      </c>
      <c r="AV120" s="9">
        <f>VLOOKUP($A120,地图配置辅助表!$A$3:$AP$245,地图配置辅助表!AH$1,FALSE)</f>
        <v>186</v>
      </c>
      <c r="AW120" s="9">
        <f>VLOOKUP($A120,地图配置辅助表!$A$3:$AP$245,地图配置辅助表!AI$1,FALSE)</f>
        <v>187</v>
      </c>
      <c r="AX120" s="9">
        <f>VLOOKUP($A120,地图配置辅助表!$A$3:$AP$245,地图配置辅助表!AJ$1,FALSE)</f>
        <v>0</v>
      </c>
      <c r="AY120" s="9">
        <f>VLOOKUP($A120,地图配置辅助表!$A$3:$AP$245,地图配置辅助表!AK$1,FALSE)</f>
        <v>0</v>
      </c>
      <c r="AZ120" s="9">
        <f>VLOOKUP($A120,地图配置辅助表!$A$3:$AP$245,地图配置辅助表!AL$1,FALSE)</f>
        <v>0</v>
      </c>
      <c r="BA120" s="9">
        <f>VLOOKUP($A120,地图配置辅助表!$A$3:$AP$245,地图配置辅助表!AM$1,FALSE)</f>
        <v>0</v>
      </c>
      <c r="BB120" s="9">
        <f>VLOOKUP($A120,地图配置辅助表!$A$3:$AP$245,地图配置辅助表!AN$1,FALSE)</f>
        <v>0</v>
      </c>
      <c r="BC120" s="9">
        <f>VLOOKUP($A120,地图配置辅助表!$A$3:$AP$245,地图配置辅助表!AO$1,FALSE)</f>
        <v>0</v>
      </c>
      <c r="BD120" s="9">
        <f>VLOOKUP($A120,地图配置辅助表!$A$3:$AP$245,地图配置辅助表!AP$1,FALSE)</f>
        <v>0</v>
      </c>
    </row>
    <row r="121" spans="1:56" s="9" customFormat="1" x14ac:dyDescent="0.15">
      <c r="A121">
        <f>地图配置辅助表!A122</f>
        <v>5203</v>
      </c>
      <c r="B121" s="8">
        <f>地图配置辅助表!B122</f>
        <v>2</v>
      </c>
      <c r="C121" s="9">
        <f>地图配置辅助表!C122</f>
        <v>5</v>
      </c>
      <c r="D121" s="9" t="str">
        <f>地图配置辅助表!D122</f>
        <v>精英地痞头目</v>
      </c>
      <c r="E121" s="9" t="str">
        <f t="shared" si="0"/>
        <v>挑战精英地痞头目</v>
      </c>
      <c r="F121" s="9" t="s">
        <v>0</v>
      </c>
      <c r="G121" s="9">
        <v>29</v>
      </c>
      <c r="H121" s="9">
        <v>200</v>
      </c>
      <c r="I121" s="9">
        <v>140</v>
      </c>
      <c r="J121" s="9">
        <v>200</v>
      </c>
      <c r="K121" s="9">
        <v>140</v>
      </c>
      <c r="L121" s="9" t="s">
        <v>195</v>
      </c>
      <c r="M121" s="9">
        <v>0</v>
      </c>
      <c r="R121" s="9" t="s">
        <v>147</v>
      </c>
      <c r="S121" s="11">
        <f>VLOOKUP($A121,地图配置辅助表!$A$3:$AP$245,地图配置辅助表!E$1,FALSE)</f>
        <v>12</v>
      </c>
      <c r="T121" s="9">
        <f>VLOOKUP($A121,地图配置辅助表!$A$3:$AP$245,地图配置辅助表!F$1,FALSE)</f>
        <v>37869</v>
      </c>
      <c r="U121" s="9">
        <f>VLOOKUP($A121,地图配置辅助表!$A$3:$AP$245,地图配置辅助表!G$1,FALSE)</f>
        <v>1</v>
      </c>
      <c r="V121" s="9">
        <f>VLOOKUP($A121,地图配置辅助表!$A$3:$AP$245,地图配置辅助表!H$1,FALSE)</f>
        <v>1</v>
      </c>
      <c r="W121" s="9">
        <f>VLOOKUP($A121,地图配置辅助表!$A$3:$AP$245,地图配置辅助表!I$1,FALSE)</f>
        <v>6</v>
      </c>
      <c r="X121" s="9">
        <f>VLOOKUP($A121,地图配置辅助表!$A$3:$AP$245,地图配置辅助表!J$1,FALSE)</f>
        <v>0</v>
      </c>
      <c r="Y121" s="9">
        <f>VLOOKUP($A121,地图配置辅助表!$A$3:$AP$245,地图配置辅助表!K$1,FALSE)</f>
        <v>0</v>
      </c>
      <c r="Z121" s="9">
        <f>VLOOKUP($A121,地图配置辅助表!$A$3:$AP$245,地图配置辅助表!L$1,FALSE)</f>
        <v>0</v>
      </c>
      <c r="AA121" s="9">
        <f>VLOOKUP($A121,地图配置辅助表!$A$3:$AP$245,地图配置辅助表!M$1,FALSE)</f>
        <v>2</v>
      </c>
      <c r="AB121">
        <f>VLOOKUP($A121,地图配置辅助表!$A$3:$AP$245,地图配置辅助表!N$1,FALSE)</f>
        <v>1</v>
      </c>
      <c r="AC121" s="9">
        <f>VLOOKUP($A121,地图配置辅助表!$A$3:$AP$245,地图配置辅助表!O$1,FALSE)</f>
        <v>3</v>
      </c>
      <c r="AD121">
        <f>VLOOKUP($A121,地图配置辅助表!$A$3:$AP$245,地图配置辅助表!P$1,FALSE)</f>
        <v>5202</v>
      </c>
      <c r="AE121" s="8">
        <f>VLOOKUP($A121,地图配置辅助表!$A$3:$AP$245,地图配置辅助表!Q$1,FALSE)</f>
        <v>3</v>
      </c>
      <c r="AF121" s="8">
        <f>VLOOKUP($A121,地图配置辅助表!$A$3:$AP$245,地图配置辅助表!R$1,FALSE)</f>
        <v>5003</v>
      </c>
      <c r="AG121" s="11">
        <f>VLOOKUP($A121,地图配置辅助表!$A$3:$AP$245,地图配置辅助表!S$1,FALSE)</f>
        <v>505203</v>
      </c>
      <c r="AH121" s="11">
        <f>VLOOKUP($A121,地图配置辅助表!$A$3:$AP$245,地图配置辅助表!T$1,FALSE)</f>
        <v>253004</v>
      </c>
      <c r="AI121" s="9">
        <f>VLOOKUP($A121,地图配置辅助表!$A$3:$AP$245,地图配置辅助表!U$1,FALSE)</f>
        <v>3</v>
      </c>
      <c r="AJ121" s="9">
        <f>VLOOKUP($A121,地图配置辅助表!$A$3:$AP$245,地图配置辅助表!V$1,FALSE)</f>
        <v>253001</v>
      </c>
      <c r="AK121" s="9">
        <f>VLOOKUP($A121,地图配置辅助表!$A$3:$AP$245,地图配置辅助表!W$1,FALSE)</f>
        <v>253002</v>
      </c>
      <c r="AL121" s="9">
        <f>VLOOKUP($A121,地图配置辅助表!$A$3:$AP$245,地图配置辅助表!X$1,FALSE)</f>
        <v>253003</v>
      </c>
      <c r="AM121" s="9">
        <f>VLOOKUP($A121,地图配置辅助表!$A$3:$AP$245,地图配置辅助表!Y$1,FALSE)</f>
        <v>0</v>
      </c>
      <c r="AN121" s="9">
        <f>VLOOKUP($A121,地图配置辅助表!$A$3:$AP$245,地图配置辅助表!Z$1,FALSE)</f>
        <v>0</v>
      </c>
      <c r="AO121" s="9">
        <f>VLOOKUP($A121,地图配置辅助表!$A$3:$AP$245,地图配置辅助表!AA$1,FALSE)</f>
        <v>0</v>
      </c>
      <c r="AP121" s="9">
        <f>VLOOKUP($A121,地图配置辅助表!$A$3:$AP$245,地图配置辅助表!AB$1,FALSE)</f>
        <v>0</v>
      </c>
      <c r="AQ121" s="9">
        <f>VLOOKUP($A121,地图配置辅助表!$A$3:$AP$245,地图配置辅助表!AC$1,FALSE)</f>
        <v>0</v>
      </c>
      <c r="AR121" s="9">
        <f>VLOOKUP($A121,地图配置辅助表!$A$3:$AP$245,地图配置辅助表!AD$1,FALSE)</f>
        <v>0</v>
      </c>
      <c r="AS121" s="9">
        <f>VLOOKUP($A121,地图配置辅助表!$A$3:$AP$245,地图配置辅助表!AE$1,FALSE)</f>
        <v>0</v>
      </c>
      <c r="AT121" s="9">
        <f>VLOOKUP($A121,地图配置辅助表!$A$3:$AP$245,地图配置辅助表!AF$1,FALSE)</f>
        <v>3</v>
      </c>
      <c r="AU121" s="9">
        <f>VLOOKUP($A121,地图配置辅助表!$A$3:$AP$245,地图配置辅助表!AG$1,FALSE)</f>
        <v>112</v>
      </c>
      <c r="AV121" s="9">
        <f>VLOOKUP($A121,地图配置辅助表!$A$3:$AP$245,地图配置辅助表!AH$1,FALSE)</f>
        <v>113</v>
      </c>
      <c r="AW121" s="9">
        <f>VLOOKUP($A121,地图配置辅助表!$A$3:$AP$245,地图配置辅助表!AI$1,FALSE)</f>
        <v>114</v>
      </c>
      <c r="AX121" s="9">
        <f>VLOOKUP($A121,地图配置辅助表!$A$3:$AP$245,地图配置辅助表!AJ$1,FALSE)</f>
        <v>0</v>
      </c>
      <c r="AY121" s="9">
        <f>VLOOKUP($A121,地图配置辅助表!$A$3:$AP$245,地图配置辅助表!AK$1,FALSE)</f>
        <v>0</v>
      </c>
      <c r="AZ121" s="9">
        <f>VLOOKUP($A121,地图配置辅助表!$A$3:$AP$245,地图配置辅助表!AL$1,FALSE)</f>
        <v>0</v>
      </c>
      <c r="BA121" s="9">
        <f>VLOOKUP($A121,地图配置辅助表!$A$3:$AP$245,地图配置辅助表!AM$1,FALSE)</f>
        <v>0</v>
      </c>
      <c r="BB121" s="9">
        <f>VLOOKUP($A121,地图配置辅助表!$A$3:$AP$245,地图配置辅助表!AN$1,FALSE)</f>
        <v>0</v>
      </c>
      <c r="BC121" s="9">
        <f>VLOOKUP($A121,地图配置辅助表!$A$3:$AP$245,地图配置辅助表!AO$1,FALSE)</f>
        <v>0</v>
      </c>
      <c r="BD121" s="9">
        <f>VLOOKUP($A121,地图配置辅助表!$A$3:$AP$245,地图配置辅助表!AP$1,FALSE)</f>
        <v>0</v>
      </c>
    </row>
    <row r="122" spans="1:56" s="9" customFormat="1" x14ac:dyDescent="0.15">
      <c r="A122">
        <f>地图配置辅助表!A123</f>
        <v>5204</v>
      </c>
      <c r="B122" s="8">
        <f>地图配置辅助表!B123</f>
        <v>2</v>
      </c>
      <c r="C122" s="9">
        <f>地图配置辅助表!C123</f>
        <v>5</v>
      </c>
      <c r="D122" s="9" t="str">
        <f>地图配置辅助表!D123</f>
        <v>精英外籍打手</v>
      </c>
      <c r="E122" s="9" t="str">
        <f t="shared" si="0"/>
        <v>挑战精英外籍打手</v>
      </c>
      <c r="F122" s="9" t="s">
        <v>0</v>
      </c>
      <c r="G122" s="9">
        <v>29</v>
      </c>
      <c r="H122" s="9">
        <v>200</v>
      </c>
      <c r="I122" s="9">
        <v>140</v>
      </c>
      <c r="J122" s="9">
        <v>200</v>
      </c>
      <c r="K122" s="9">
        <v>140</v>
      </c>
      <c r="L122" s="9" t="s">
        <v>196</v>
      </c>
      <c r="M122" s="9">
        <v>0</v>
      </c>
      <c r="R122" s="9" t="s">
        <v>148</v>
      </c>
      <c r="S122" s="11">
        <f>VLOOKUP($A122,地图配置辅助表!$A$3:$AP$245,地图配置辅助表!E$1,FALSE)</f>
        <v>12</v>
      </c>
      <c r="T122" s="9">
        <f>VLOOKUP($A122,地图配置辅助表!$A$3:$AP$245,地图配置辅助表!F$1,FALSE)</f>
        <v>41973</v>
      </c>
      <c r="U122" s="9">
        <f>VLOOKUP($A122,地图配置辅助表!$A$3:$AP$245,地图配置辅助表!G$1,FALSE)</f>
        <v>1</v>
      </c>
      <c r="V122" s="9">
        <f>VLOOKUP($A122,地图配置辅助表!$A$3:$AP$245,地图配置辅助表!H$1,FALSE)</f>
        <v>1</v>
      </c>
      <c r="W122" s="9">
        <f>VLOOKUP($A122,地图配置辅助表!$A$3:$AP$245,地图配置辅助表!I$1,FALSE)</f>
        <v>6</v>
      </c>
      <c r="X122" s="9">
        <f>VLOOKUP($A122,地图配置辅助表!$A$3:$AP$245,地图配置辅助表!J$1,FALSE)</f>
        <v>0</v>
      </c>
      <c r="Y122" s="9">
        <f>VLOOKUP($A122,地图配置辅助表!$A$3:$AP$245,地图配置辅助表!K$1,FALSE)</f>
        <v>0</v>
      </c>
      <c r="Z122" s="9">
        <f>VLOOKUP($A122,地图配置辅助表!$A$3:$AP$245,地图配置辅助表!L$1,FALSE)</f>
        <v>0</v>
      </c>
      <c r="AA122" s="9">
        <f>VLOOKUP($A122,地图配置辅助表!$A$3:$AP$245,地图配置辅助表!M$1,FALSE)</f>
        <v>2</v>
      </c>
      <c r="AB122">
        <f>VLOOKUP($A122,地图配置辅助表!$A$3:$AP$245,地图配置辅助表!N$1,FALSE)</f>
        <v>1</v>
      </c>
      <c r="AC122" s="9">
        <f>VLOOKUP($A122,地图配置辅助表!$A$3:$AP$245,地图配置辅助表!O$1,FALSE)</f>
        <v>3</v>
      </c>
      <c r="AD122">
        <f>VLOOKUP($A122,地图配置辅助表!$A$3:$AP$245,地图配置辅助表!P$1,FALSE)</f>
        <v>5203</v>
      </c>
      <c r="AE122" s="8">
        <f>VLOOKUP($A122,地图配置辅助表!$A$3:$AP$245,地图配置辅助表!Q$1,FALSE)</f>
        <v>3</v>
      </c>
      <c r="AF122" s="8">
        <f>VLOOKUP($A122,地图配置辅助表!$A$3:$AP$245,地图配置辅助表!R$1,FALSE)</f>
        <v>5004</v>
      </c>
      <c r="AG122" s="11">
        <f>VLOOKUP($A122,地图配置辅助表!$A$3:$AP$245,地图配置辅助表!S$1,FALSE)</f>
        <v>505204</v>
      </c>
      <c r="AH122" s="11">
        <f>VLOOKUP($A122,地图配置辅助表!$A$3:$AP$245,地图配置辅助表!T$1,FALSE)</f>
        <v>254004</v>
      </c>
      <c r="AI122" s="9">
        <f>VLOOKUP($A122,地图配置辅助表!$A$3:$AP$245,地图配置辅助表!U$1,FALSE)</f>
        <v>3</v>
      </c>
      <c r="AJ122" s="9">
        <f>VLOOKUP($A122,地图配置辅助表!$A$3:$AP$245,地图配置辅助表!V$1,FALSE)</f>
        <v>254001</v>
      </c>
      <c r="AK122" s="9">
        <f>VLOOKUP($A122,地图配置辅助表!$A$3:$AP$245,地图配置辅助表!W$1,FALSE)</f>
        <v>254002</v>
      </c>
      <c r="AL122" s="9">
        <f>VLOOKUP($A122,地图配置辅助表!$A$3:$AP$245,地图配置辅助表!X$1,FALSE)</f>
        <v>254003</v>
      </c>
      <c r="AM122" s="9">
        <f>VLOOKUP($A122,地图配置辅助表!$A$3:$AP$245,地图配置辅助表!Y$1,FALSE)</f>
        <v>0</v>
      </c>
      <c r="AN122" s="9">
        <f>VLOOKUP($A122,地图配置辅助表!$A$3:$AP$245,地图配置辅助表!Z$1,FALSE)</f>
        <v>0</v>
      </c>
      <c r="AO122" s="9">
        <f>VLOOKUP($A122,地图配置辅助表!$A$3:$AP$245,地图配置辅助表!AA$1,FALSE)</f>
        <v>0</v>
      </c>
      <c r="AP122" s="9">
        <f>VLOOKUP($A122,地图配置辅助表!$A$3:$AP$245,地图配置辅助表!AB$1,FALSE)</f>
        <v>0</v>
      </c>
      <c r="AQ122" s="9">
        <f>VLOOKUP($A122,地图配置辅助表!$A$3:$AP$245,地图配置辅助表!AC$1,FALSE)</f>
        <v>0</v>
      </c>
      <c r="AR122" s="9">
        <f>VLOOKUP($A122,地图配置辅助表!$A$3:$AP$245,地图配置辅助表!AD$1,FALSE)</f>
        <v>0</v>
      </c>
      <c r="AS122" s="9">
        <f>VLOOKUP($A122,地图配置辅助表!$A$3:$AP$245,地图配置辅助表!AE$1,FALSE)</f>
        <v>0</v>
      </c>
      <c r="AT122" s="9">
        <f>VLOOKUP($A122,地图配置辅助表!$A$3:$AP$245,地图配置辅助表!AF$1,FALSE)</f>
        <v>3</v>
      </c>
      <c r="AU122" s="9">
        <f>VLOOKUP($A122,地图配置辅助表!$A$3:$AP$245,地图配置辅助表!AG$1,FALSE)</f>
        <v>127</v>
      </c>
      <c r="AV122" s="9">
        <f>VLOOKUP($A122,地图配置辅助表!$A$3:$AP$245,地图配置辅助表!AH$1,FALSE)</f>
        <v>152</v>
      </c>
      <c r="AW122" s="9">
        <f>VLOOKUP($A122,地图配置辅助表!$A$3:$AP$245,地图配置辅助表!AI$1,FALSE)</f>
        <v>153</v>
      </c>
      <c r="AX122" s="9">
        <f>VLOOKUP($A122,地图配置辅助表!$A$3:$AP$245,地图配置辅助表!AJ$1,FALSE)</f>
        <v>0</v>
      </c>
      <c r="AY122" s="9">
        <f>VLOOKUP($A122,地图配置辅助表!$A$3:$AP$245,地图配置辅助表!AK$1,FALSE)</f>
        <v>0</v>
      </c>
      <c r="AZ122" s="9">
        <f>VLOOKUP($A122,地图配置辅助表!$A$3:$AP$245,地图配置辅助表!AL$1,FALSE)</f>
        <v>0</v>
      </c>
      <c r="BA122" s="9">
        <f>VLOOKUP($A122,地图配置辅助表!$A$3:$AP$245,地图配置辅助表!AM$1,FALSE)</f>
        <v>0</v>
      </c>
      <c r="BB122" s="9">
        <f>VLOOKUP($A122,地图配置辅助表!$A$3:$AP$245,地图配置辅助表!AN$1,FALSE)</f>
        <v>0</v>
      </c>
      <c r="BC122" s="9">
        <f>VLOOKUP($A122,地图配置辅助表!$A$3:$AP$245,地图配置辅助表!AO$1,FALSE)</f>
        <v>0</v>
      </c>
      <c r="BD122" s="9">
        <f>VLOOKUP($A122,地图配置辅助表!$A$3:$AP$245,地图配置辅助表!AP$1,FALSE)</f>
        <v>0</v>
      </c>
    </row>
    <row r="123" spans="1:56" s="9" customFormat="1" x14ac:dyDescent="0.15">
      <c r="A123">
        <f>地图配置辅助表!A124</f>
        <v>5205</v>
      </c>
      <c r="B123" s="8">
        <f>地图配置辅助表!B124</f>
        <v>2</v>
      </c>
      <c r="C123" s="9">
        <f>地图配置辅助表!C124</f>
        <v>5</v>
      </c>
      <c r="D123" s="9" t="str">
        <f>地图配置辅助表!D124</f>
        <v>精英长毛</v>
      </c>
      <c r="E123" s="9" t="str">
        <f t="shared" si="0"/>
        <v>挑战精英长毛</v>
      </c>
      <c r="F123" s="9" t="s">
        <v>0</v>
      </c>
      <c r="G123" s="9">
        <v>29</v>
      </c>
      <c r="H123" s="9">
        <v>200</v>
      </c>
      <c r="I123" s="9">
        <v>140</v>
      </c>
      <c r="J123" s="9">
        <v>200</v>
      </c>
      <c r="K123" s="9">
        <v>140</v>
      </c>
      <c r="L123" s="9" t="s">
        <v>197</v>
      </c>
      <c r="M123" s="9">
        <v>0</v>
      </c>
      <c r="R123" s="9" t="s">
        <v>149</v>
      </c>
      <c r="S123" s="11">
        <f>VLOOKUP($A123,地图配置辅助表!$A$3:$AP$245,地图配置辅助表!E$1,FALSE)</f>
        <v>12</v>
      </c>
      <c r="T123" s="9">
        <f>VLOOKUP($A123,地图配置辅助表!$A$3:$AP$245,地图配置辅助表!F$1,FALSE)</f>
        <v>45924</v>
      </c>
      <c r="U123" s="9">
        <f>VLOOKUP($A123,地图配置辅助表!$A$3:$AP$245,地图配置辅助表!G$1,FALSE)</f>
        <v>1</v>
      </c>
      <c r="V123" s="9">
        <f>VLOOKUP($A123,地图配置辅助表!$A$3:$AP$245,地图配置辅助表!H$1,FALSE)</f>
        <v>1</v>
      </c>
      <c r="W123" s="9">
        <f>VLOOKUP($A123,地图配置辅助表!$A$3:$AP$245,地图配置辅助表!I$1,FALSE)</f>
        <v>6</v>
      </c>
      <c r="X123" s="9">
        <f>VLOOKUP($A123,地图配置辅助表!$A$3:$AP$245,地图配置辅助表!J$1,FALSE)</f>
        <v>0</v>
      </c>
      <c r="Y123" s="9">
        <f>VLOOKUP($A123,地图配置辅助表!$A$3:$AP$245,地图配置辅助表!K$1,FALSE)</f>
        <v>0</v>
      </c>
      <c r="Z123" s="9">
        <f>VLOOKUP($A123,地图配置辅助表!$A$3:$AP$245,地图配置辅助表!L$1,FALSE)</f>
        <v>0</v>
      </c>
      <c r="AA123" s="9">
        <f>VLOOKUP($A123,地图配置辅助表!$A$3:$AP$245,地图配置辅助表!M$1,FALSE)</f>
        <v>2</v>
      </c>
      <c r="AB123">
        <f>VLOOKUP($A123,地图配置辅助表!$A$3:$AP$245,地图配置辅助表!N$1,FALSE)</f>
        <v>1</v>
      </c>
      <c r="AC123" s="9">
        <f>VLOOKUP($A123,地图配置辅助表!$A$3:$AP$245,地图配置辅助表!O$1,FALSE)</f>
        <v>3</v>
      </c>
      <c r="AD123">
        <f>VLOOKUP($A123,地图配置辅助表!$A$3:$AP$245,地图配置辅助表!P$1,FALSE)</f>
        <v>5204</v>
      </c>
      <c r="AE123" s="8">
        <f>VLOOKUP($A123,地图配置辅助表!$A$3:$AP$245,地图配置辅助表!Q$1,FALSE)</f>
        <v>3</v>
      </c>
      <c r="AF123" s="8">
        <f>VLOOKUP($A123,地图配置辅助表!$A$3:$AP$245,地图配置辅助表!R$1,FALSE)</f>
        <v>5005</v>
      </c>
      <c r="AG123" s="11">
        <f>VLOOKUP($A123,地图配置辅助表!$A$3:$AP$245,地图配置辅助表!S$1,FALSE)</f>
        <v>505205</v>
      </c>
      <c r="AH123" s="11">
        <f>VLOOKUP($A123,地图配置辅助表!$A$3:$AP$245,地图配置辅助表!T$1,FALSE)</f>
        <v>255004</v>
      </c>
      <c r="AI123" s="9">
        <f>VLOOKUP($A123,地图配置辅助表!$A$3:$AP$245,地图配置辅助表!U$1,FALSE)</f>
        <v>3</v>
      </c>
      <c r="AJ123" s="9">
        <f>VLOOKUP($A123,地图配置辅助表!$A$3:$AP$245,地图配置辅助表!V$1,FALSE)</f>
        <v>255001</v>
      </c>
      <c r="AK123" s="9">
        <f>VLOOKUP($A123,地图配置辅助表!$A$3:$AP$245,地图配置辅助表!W$1,FALSE)</f>
        <v>255002</v>
      </c>
      <c r="AL123" s="9">
        <f>VLOOKUP($A123,地图配置辅助表!$A$3:$AP$245,地图配置辅助表!X$1,FALSE)</f>
        <v>255003</v>
      </c>
      <c r="AM123" s="9">
        <f>VLOOKUP($A123,地图配置辅助表!$A$3:$AP$245,地图配置辅助表!Y$1,FALSE)</f>
        <v>0</v>
      </c>
      <c r="AN123" s="9">
        <f>VLOOKUP($A123,地图配置辅助表!$A$3:$AP$245,地图配置辅助表!Z$1,FALSE)</f>
        <v>0</v>
      </c>
      <c r="AO123" s="9">
        <f>VLOOKUP($A123,地图配置辅助表!$A$3:$AP$245,地图配置辅助表!AA$1,FALSE)</f>
        <v>0</v>
      </c>
      <c r="AP123" s="9">
        <f>VLOOKUP($A123,地图配置辅助表!$A$3:$AP$245,地图配置辅助表!AB$1,FALSE)</f>
        <v>0</v>
      </c>
      <c r="AQ123" s="9">
        <f>VLOOKUP($A123,地图配置辅助表!$A$3:$AP$245,地图配置辅助表!AC$1,FALSE)</f>
        <v>0</v>
      </c>
      <c r="AR123" s="9">
        <f>VLOOKUP($A123,地图配置辅助表!$A$3:$AP$245,地图配置辅助表!AD$1,FALSE)</f>
        <v>0</v>
      </c>
      <c r="AS123" s="9">
        <f>VLOOKUP($A123,地图配置辅助表!$A$3:$AP$245,地图配置辅助表!AE$1,FALSE)</f>
        <v>0</v>
      </c>
      <c r="AT123" s="9">
        <f>VLOOKUP($A123,地图配置辅助表!$A$3:$AP$245,地图配置辅助表!AF$1,FALSE)</f>
        <v>3</v>
      </c>
      <c r="AU123" s="9">
        <f>VLOOKUP($A123,地图配置辅助表!$A$3:$AP$245,地图配置辅助表!AG$1,FALSE)</f>
        <v>159</v>
      </c>
      <c r="AV123" s="9">
        <f>VLOOKUP($A123,地图配置辅助表!$A$3:$AP$245,地图配置辅助表!AH$1,FALSE)</f>
        <v>160</v>
      </c>
      <c r="AW123" s="9">
        <f>VLOOKUP($A123,地图配置辅助表!$A$3:$AP$245,地图配置辅助表!AI$1,FALSE)</f>
        <v>161</v>
      </c>
      <c r="AX123" s="9">
        <f>VLOOKUP($A123,地图配置辅助表!$A$3:$AP$245,地图配置辅助表!AJ$1,FALSE)</f>
        <v>0</v>
      </c>
      <c r="AY123" s="9">
        <f>VLOOKUP($A123,地图配置辅助表!$A$3:$AP$245,地图配置辅助表!AK$1,FALSE)</f>
        <v>0</v>
      </c>
      <c r="AZ123" s="9">
        <f>VLOOKUP($A123,地图配置辅助表!$A$3:$AP$245,地图配置辅助表!AL$1,FALSE)</f>
        <v>0</v>
      </c>
      <c r="BA123" s="9">
        <f>VLOOKUP($A123,地图配置辅助表!$A$3:$AP$245,地图配置辅助表!AM$1,FALSE)</f>
        <v>0</v>
      </c>
      <c r="BB123" s="9">
        <f>VLOOKUP($A123,地图配置辅助表!$A$3:$AP$245,地图配置辅助表!AN$1,FALSE)</f>
        <v>0</v>
      </c>
      <c r="BC123" s="9">
        <f>VLOOKUP($A123,地图配置辅助表!$A$3:$AP$245,地图配置辅助表!AO$1,FALSE)</f>
        <v>0</v>
      </c>
      <c r="BD123" s="9">
        <f>VLOOKUP($A123,地图配置辅助表!$A$3:$AP$245,地图配置辅助表!AP$1,FALSE)</f>
        <v>0</v>
      </c>
    </row>
    <row r="124" spans="1:56" s="9" customFormat="1" x14ac:dyDescent="0.15">
      <c r="A124">
        <f>地图配置辅助表!A125</f>
        <v>5206</v>
      </c>
      <c r="B124" s="8">
        <f>地图配置辅助表!B125</f>
        <v>2</v>
      </c>
      <c r="C124" s="9">
        <f>地图配置辅助表!C125</f>
        <v>5</v>
      </c>
      <c r="D124" s="9" t="str">
        <f>地图配置辅助表!D125</f>
        <v>精英大头仔</v>
      </c>
      <c r="E124" s="9" t="str">
        <f t="shared" si="0"/>
        <v>挑战精英大头仔</v>
      </c>
      <c r="F124" s="9" t="s">
        <v>0</v>
      </c>
      <c r="G124" s="9">
        <v>29</v>
      </c>
      <c r="H124" s="9">
        <v>200</v>
      </c>
      <c r="I124" s="9">
        <v>140</v>
      </c>
      <c r="J124" s="9">
        <v>200</v>
      </c>
      <c r="K124" s="9">
        <v>140</v>
      </c>
      <c r="L124" s="9" t="s">
        <v>198</v>
      </c>
      <c r="M124" s="9">
        <v>0</v>
      </c>
      <c r="R124" s="9" t="s">
        <v>150</v>
      </c>
      <c r="S124" s="11">
        <f>VLOOKUP($A124,地图配置辅助表!$A$3:$AP$245,地图配置辅助表!E$1,FALSE)</f>
        <v>12</v>
      </c>
      <c r="T124" s="9">
        <f>VLOOKUP($A124,地图配置辅助表!$A$3:$AP$245,地图配置辅助表!F$1,FALSE)</f>
        <v>50181</v>
      </c>
      <c r="U124" s="9">
        <f>VLOOKUP($A124,地图配置辅助表!$A$3:$AP$245,地图配置辅助表!G$1,FALSE)</f>
        <v>1</v>
      </c>
      <c r="V124" s="9">
        <f>VLOOKUP($A124,地图配置辅助表!$A$3:$AP$245,地图配置辅助表!H$1,FALSE)</f>
        <v>1</v>
      </c>
      <c r="W124" s="9">
        <f>VLOOKUP($A124,地图配置辅助表!$A$3:$AP$245,地图配置辅助表!I$1,FALSE)</f>
        <v>6</v>
      </c>
      <c r="X124" s="9">
        <f>VLOOKUP($A124,地图配置辅助表!$A$3:$AP$245,地图配置辅助表!J$1,FALSE)</f>
        <v>0</v>
      </c>
      <c r="Y124" s="9">
        <f>VLOOKUP($A124,地图配置辅助表!$A$3:$AP$245,地图配置辅助表!K$1,FALSE)</f>
        <v>0</v>
      </c>
      <c r="Z124" s="9">
        <f>VLOOKUP($A124,地图配置辅助表!$A$3:$AP$245,地图配置辅助表!L$1,FALSE)</f>
        <v>0</v>
      </c>
      <c r="AA124" s="9">
        <f>VLOOKUP($A124,地图配置辅助表!$A$3:$AP$245,地图配置辅助表!M$1,FALSE)</f>
        <v>2</v>
      </c>
      <c r="AB124">
        <f>VLOOKUP($A124,地图配置辅助表!$A$3:$AP$245,地图配置辅助表!N$1,FALSE)</f>
        <v>1</v>
      </c>
      <c r="AC124" s="9">
        <f>VLOOKUP($A124,地图配置辅助表!$A$3:$AP$245,地图配置辅助表!O$1,FALSE)</f>
        <v>3</v>
      </c>
      <c r="AD124">
        <f>VLOOKUP($A124,地图配置辅助表!$A$3:$AP$245,地图配置辅助表!P$1,FALSE)</f>
        <v>5205</v>
      </c>
      <c r="AE124" s="8">
        <f>VLOOKUP($A124,地图配置辅助表!$A$3:$AP$245,地图配置辅助表!Q$1,FALSE)</f>
        <v>3</v>
      </c>
      <c r="AF124" s="8">
        <f>VLOOKUP($A124,地图配置辅助表!$A$3:$AP$245,地图配置辅助表!R$1,FALSE)</f>
        <v>5006</v>
      </c>
      <c r="AG124" s="11">
        <f>VLOOKUP($A124,地图配置辅助表!$A$3:$AP$245,地图配置辅助表!S$1,FALSE)</f>
        <v>505206</v>
      </c>
      <c r="AH124" s="11">
        <f>VLOOKUP($A124,地图配置辅助表!$A$3:$AP$245,地图配置辅助表!T$1,FALSE)</f>
        <v>256004</v>
      </c>
      <c r="AI124" s="9">
        <f>VLOOKUP($A124,地图配置辅助表!$A$3:$AP$245,地图配置辅助表!U$1,FALSE)</f>
        <v>3</v>
      </c>
      <c r="AJ124" s="9">
        <f>VLOOKUP($A124,地图配置辅助表!$A$3:$AP$245,地图配置辅助表!V$1,FALSE)</f>
        <v>256001</v>
      </c>
      <c r="AK124" s="9">
        <f>VLOOKUP($A124,地图配置辅助表!$A$3:$AP$245,地图配置辅助表!W$1,FALSE)</f>
        <v>256002</v>
      </c>
      <c r="AL124" s="9">
        <f>VLOOKUP($A124,地图配置辅助表!$A$3:$AP$245,地图配置辅助表!X$1,FALSE)</f>
        <v>256003</v>
      </c>
      <c r="AM124" s="9">
        <f>VLOOKUP($A124,地图配置辅助表!$A$3:$AP$245,地图配置辅助表!Y$1,FALSE)</f>
        <v>0</v>
      </c>
      <c r="AN124" s="9">
        <f>VLOOKUP($A124,地图配置辅助表!$A$3:$AP$245,地图配置辅助表!Z$1,FALSE)</f>
        <v>0</v>
      </c>
      <c r="AO124" s="9">
        <f>VLOOKUP($A124,地图配置辅助表!$A$3:$AP$245,地图配置辅助表!AA$1,FALSE)</f>
        <v>0</v>
      </c>
      <c r="AP124" s="9">
        <f>VLOOKUP($A124,地图配置辅助表!$A$3:$AP$245,地图配置辅助表!AB$1,FALSE)</f>
        <v>0</v>
      </c>
      <c r="AQ124" s="9">
        <f>VLOOKUP($A124,地图配置辅助表!$A$3:$AP$245,地图配置辅助表!AC$1,FALSE)</f>
        <v>0</v>
      </c>
      <c r="AR124" s="9">
        <f>VLOOKUP($A124,地图配置辅助表!$A$3:$AP$245,地图配置辅助表!AD$1,FALSE)</f>
        <v>0</v>
      </c>
      <c r="AS124" s="9">
        <f>VLOOKUP($A124,地图配置辅助表!$A$3:$AP$245,地图配置辅助表!AE$1,FALSE)</f>
        <v>0</v>
      </c>
      <c r="AT124" s="9">
        <f>VLOOKUP($A124,地图配置辅助表!$A$3:$AP$245,地图配置辅助表!AF$1,FALSE)</f>
        <v>3</v>
      </c>
      <c r="AU124" s="9">
        <f>VLOOKUP($A124,地图配置辅助表!$A$3:$AP$245,地图配置辅助表!AG$1,FALSE)</f>
        <v>167</v>
      </c>
      <c r="AV124" s="9">
        <f>VLOOKUP($A124,地图配置辅助表!$A$3:$AP$245,地图配置辅助表!AH$1,FALSE)</f>
        <v>168</v>
      </c>
      <c r="AW124" s="9">
        <f>VLOOKUP($A124,地图配置辅助表!$A$3:$AP$245,地图配置辅助表!AI$1,FALSE)</f>
        <v>169</v>
      </c>
      <c r="AX124" s="9">
        <f>VLOOKUP($A124,地图配置辅助表!$A$3:$AP$245,地图配置辅助表!AJ$1,FALSE)</f>
        <v>0</v>
      </c>
      <c r="AY124" s="9">
        <f>VLOOKUP($A124,地图配置辅助表!$A$3:$AP$245,地图配置辅助表!AK$1,FALSE)</f>
        <v>0</v>
      </c>
      <c r="AZ124" s="9">
        <f>VLOOKUP($A124,地图配置辅助表!$A$3:$AP$245,地图配置辅助表!AL$1,FALSE)</f>
        <v>0</v>
      </c>
      <c r="BA124" s="9">
        <f>VLOOKUP($A124,地图配置辅助表!$A$3:$AP$245,地图配置辅助表!AM$1,FALSE)</f>
        <v>0</v>
      </c>
      <c r="BB124" s="9">
        <f>VLOOKUP($A124,地图配置辅助表!$A$3:$AP$245,地图配置辅助表!AN$1,FALSE)</f>
        <v>0</v>
      </c>
      <c r="BC124" s="9">
        <f>VLOOKUP($A124,地图配置辅助表!$A$3:$AP$245,地图配置辅助表!AO$1,FALSE)</f>
        <v>0</v>
      </c>
      <c r="BD124" s="9">
        <f>VLOOKUP($A124,地图配置辅助表!$A$3:$AP$245,地图配置辅助表!AP$1,FALSE)</f>
        <v>0</v>
      </c>
    </row>
    <row r="125" spans="1:56" s="9" customFormat="1" x14ac:dyDescent="0.15">
      <c r="A125">
        <f>地图配置辅助表!A126</f>
        <v>5207</v>
      </c>
      <c r="B125" s="8">
        <f>地图配置辅助表!B126</f>
        <v>2</v>
      </c>
      <c r="C125" s="9">
        <f>地图配置辅助表!C126</f>
        <v>5</v>
      </c>
      <c r="D125" s="9" t="str">
        <f>地图配置辅助表!D126</f>
        <v>精英阿勇</v>
      </c>
      <c r="E125" s="9" t="str">
        <f t="shared" si="0"/>
        <v>挑战精英阿勇</v>
      </c>
      <c r="F125" s="9" t="s">
        <v>0</v>
      </c>
      <c r="G125" s="9">
        <v>29</v>
      </c>
      <c r="H125" s="9">
        <v>200</v>
      </c>
      <c r="I125" s="9">
        <v>140</v>
      </c>
      <c r="J125" s="9">
        <v>200</v>
      </c>
      <c r="K125" s="9">
        <v>140</v>
      </c>
      <c r="L125" s="9" t="s">
        <v>644</v>
      </c>
      <c r="M125" s="9">
        <v>0</v>
      </c>
      <c r="R125" s="9" t="s">
        <v>629</v>
      </c>
      <c r="S125" s="11">
        <f>VLOOKUP($A125,地图配置辅助表!$A$3:$AP$245,地图配置辅助表!E$1,FALSE)</f>
        <v>12</v>
      </c>
      <c r="T125" s="9">
        <f>VLOOKUP($A125,地图配置辅助表!$A$3:$AP$245,地图配置辅助表!F$1,FALSE)</f>
        <v>54571</v>
      </c>
      <c r="U125" s="9">
        <f>VLOOKUP($A125,地图配置辅助表!$A$3:$AP$245,地图配置辅助表!G$1,FALSE)</f>
        <v>1</v>
      </c>
      <c r="V125" s="9">
        <f>VLOOKUP($A125,地图配置辅助表!$A$3:$AP$245,地图配置辅助表!H$1,FALSE)</f>
        <v>1</v>
      </c>
      <c r="W125" s="9">
        <f>VLOOKUP($A125,地图配置辅助表!$A$3:$AP$245,地图配置辅助表!I$1,FALSE)</f>
        <v>6</v>
      </c>
      <c r="X125" s="9">
        <f>VLOOKUP($A125,地图配置辅助表!$A$3:$AP$245,地图配置辅助表!J$1,FALSE)</f>
        <v>0</v>
      </c>
      <c r="Y125" s="9">
        <f>VLOOKUP($A125,地图配置辅助表!$A$3:$AP$245,地图配置辅助表!K$1,FALSE)</f>
        <v>0</v>
      </c>
      <c r="Z125" s="9">
        <f>VLOOKUP($A125,地图配置辅助表!$A$3:$AP$245,地图配置辅助表!L$1,FALSE)</f>
        <v>0</v>
      </c>
      <c r="AA125" s="9">
        <f>VLOOKUP($A125,地图配置辅助表!$A$3:$AP$245,地图配置辅助表!M$1,FALSE)</f>
        <v>2</v>
      </c>
      <c r="AB125">
        <f>VLOOKUP($A125,地图配置辅助表!$A$3:$AP$245,地图配置辅助表!N$1,FALSE)</f>
        <v>1</v>
      </c>
      <c r="AC125" s="9">
        <f>VLOOKUP($A125,地图配置辅助表!$A$3:$AP$245,地图配置辅助表!O$1,FALSE)</f>
        <v>3</v>
      </c>
      <c r="AD125">
        <f>VLOOKUP($A125,地图配置辅助表!$A$3:$AP$245,地图配置辅助表!P$1,FALSE)</f>
        <v>5206</v>
      </c>
      <c r="AE125" s="8">
        <f>VLOOKUP($A125,地图配置辅助表!$A$3:$AP$245,地图配置辅助表!Q$1,FALSE)</f>
        <v>3</v>
      </c>
      <c r="AF125" s="8">
        <f>VLOOKUP($A125,地图配置辅助表!$A$3:$AP$245,地图配置辅助表!R$1,FALSE)</f>
        <v>5007</v>
      </c>
      <c r="AG125" s="11">
        <f>VLOOKUP($A125,地图配置辅助表!$A$3:$AP$245,地图配置辅助表!S$1,FALSE)</f>
        <v>505207</v>
      </c>
      <c r="AH125" s="11">
        <f>VLOOKUP($A125,地图配置辅助表!$A$3:$AP$245,地图配置辅助表!T$1,FALSE)</f>
        <v>257004</v>
      </c>
      <c r="AI125" s="9">
        <f>VLOOKUP($A125,地图配置辅助表!$A$3:$AP$245,地图配置辅助表!U$1,FALSE)</f>
        <v>3</v>
      </c>
      <c r="AJ125" s="9">
        <f>VLOOKUP($A125,地图配置辅助表!$A$3:$AP$245,地图配置辅助表!V$1,FALSE)</f>
        <v>257001</v>
      </c>
      <c r="AK125" s="9">
        <f>VLOOKUP($A125,地图配置辅助表!$A$3:$AP$245,地图配置辅助表!W$1,FALSE)</f>
        <v>257002</v>
      </c>
      <c r="AL125" s="9">
        <f>VLOOKUP($A125,地图配置辅助表!$A$3:$AP$245,地图配置辅助表!X$1,FALSE)</f>
        <v>257003</v>
      </c>
      <c r="AM125" s="9">
        <f>VLOOKUP($A125,地图配置辅助表!$A$3:$AP$245,地图配置辅助表!Y$1,FALSE)</f>
        <v>0</v>
      </c>
      <c r="AN125" s="9">
        <f>VLOOKUP($A125,地图配置辅助表!$A$3:$AP$245,地图配置辅助表!Z$1,FALSE)</f>
        <v>0</v>
      </c>
      <c r="AO125" s="9">
        <f>VLOOKUP($A125,地图配置辅助表!$A$3:$AP$245,地图配置辅助表!AA$1,FALSE)</f>
        <v>0</v>
      </c>
      <c r="AP125" s="9">
        <f>VLOOKUP($A125,地图配置辅助表!$A$3:$AP$245,地图配置辅助表!AB$1,FALSE)</f>
        <v>0</v>
      </c>
      <c r="AQ125" s="9">
        <f>VLOOKUP($A125,地图配置辅助表!$A$3:$AP$245,地图配置辅助表!AC$1,FALSE)</f>
        <v>0</v>
      </c>
      <c r="AR125" s="9">
        <f>VLOOKUP($A125,地图配置辅助表!$A$3:$AP$245,地图配置辅助表!AD$1,FALSE)</f>
        <v>0</v>
      </c>
      <c r="AS125" s="9">
        <f>VLOOKUP($A125,地图配置辅助表!$A$3:$AP$245,地图配置辅助表!AE$1,FALSE)</f>
        <v>0</v>
      </c>
      <c r="AT125" s="9">
        <f>VLOOKUP($A125,地图配置辅助表!$A$3:$AP$245,地图配置辅助表!AF$1,FALSE)</f>
        <v>3</v>
      </c>
      <c r="AU125" s="9">
        <f>VLOOKUP($A125,地图配置辅助表!$A$3:$AP$245,地图配置辅助表!AG$1,FALSE)</f>
        <v>127</v>
      </c>
      <c r="AV125" s="9">
        <f>VLOOKUP($A125,地图配置辅助表!$A$3:$AP$245,地图配置辅助表!AH$1,FALSE)</f>
        <v>152</v>
      </c>
      <c r="AW125" s="9">
        <f>VLOOKUP($A125,地图配置辅助表!$A$3:$AP$245,地图配置辅助表!AI$1,FALSE)</f>
        <v>153</v>
      </c>
      <c r="AX125" s="9">
        <f>VLOOKUP($A125,地图配置辅助表!$A$3:$AP$245,地图配置辅助表!AJ$1,FALSE)</f>
        <v>0</v>
      </c>
      <c r="AY125" s="9">
        <f>VLOOKUP($A125,地图配置辅助表!$A$3:$AP$245,地图配置辅助表!AK$1,FALSE)</f>
        <v>0</v>
      </c>
      <c r="AZ125" s="9">
        <f>VLOOKUP($A125,地图配置辅助表!$A$3:$AP$245,地图配置辅助表!AL$1,FALSE)</f>
        <v>0</v>
      </c>
      <c r="BA125" s="9">
        <f>VLOOKUP($A125,地图配置辅助表!$A$3:$AP$245,地图配置辅助表!AM$1,FALSE)</f>
        <v>0</v>
      </c>
      <c r="BB125" s="9">
        <f>VLOOKUP($A125,地图配置辅助表!$A$3:$AP$245,地图配置辅助表!AN$1,FALSE)</f>
        <v>0</v>
      </c>
      <c r="BC125" s="9">
        <f>VLOOKUP($A125,地图配置辅助表!$A$3:$AP$245,地图配置辅助表!AO$1,FALSE)</f>
        <v>0</v>
      </c>
      <c r="BD125" s="9">
        <f>VLOOKUP($A125,地图配置辅助表!$A$3:$AP$245,地图配置辅助表!AP$1,FALSE)</f>
        <v>0</v>
      </c>
    </row>
    <row r="126" spans="1:56" s="9" customFormat="1" x14ac:dyDescent="0.15">
      <c r="A126">
        <f>地图配置辅助表!A127</f>
        <v>5208</v>
      </c>
      <c r="B126" s="8">
        <f>地图配置辅助表!B127</f>
        <v>2</v>
      </c>
      <c r="C126" s="9">
        <f>地图配置辅助表!C127</f>
        <v>5</v>
      </c>
      <c r="D126" s="9" t="str">
        <f>地图配置辅助表!D127</f>
        <v>精英非法裁判</v>
      </c>
      <c r="E126" s="9" t="str">
        <f t="shared" si="0"/>
        <v>挑战精英非法裁判</v>
      </c>
      <c r="F126" s="9" t="s">
        <v>0</v>
      </c>
      <c r="G126" s="9">
        <v>29</v>
      </c>
      <c r="H126" s="9">
        <v>200</v>
      </c>
      <c r="I126" s="9">
        <v>140</v>
      </c>
      <c r="J126" s="9">
        <v>200</v>
      </c>
      <c r="K126" s="9">
        <v>140</v>
      </c>
      <c r="L126" s="9" t="s">
        <v>645</v>
      </c>
      <c r="M126" s="9">
        <v>0</v>
      </c>
      <c r="R126" s="9" t="s">
        <v>630</v>
      </c>
      <c r="S126" s="11">
        <f>VLOOKUP($A126,地图配置辅助表!$A$3:$AP$245,地图配置辅助表!E$1,FALSE)</f>
        <v>12</v>
      </c>
      <c r="T126" s="9">
        <f>VLOOKUP($A126,地图配置辅助表!$A$3:$AP$245,地图配置辅助表!F$1,FALSE)</f>
        <v>60517</v>
      </c>
      <c r="U126" s="9">
        <f>VLOOKUP($A126,地图配置辅助表!$A$3:$AP$245,地图配置辅助表!G$1,FALSE)</f>
        <v>1</v>
      </c>
      <c r="V126" s="9">
        <f>VLOOKUP($A126,地图配置辅助表!$A$3:$AP$245,地图配置辅助表!H$1,FALSE)</f>
        <v>1</v>
      </c>
      <c r="W126" s="9">
        <f>VLOOKUP($A126,地图配置辅助表!$A$3:$AP$245,地图配置辅助表!I$1,FALSE)</f>
        <v>6</v>
      </c>
      <c r="X126" s="9">
        <f>VLOOKUP($A126,地图配置辅助表!$A$3:$AP$245,地图配置辅助表!J$1,FALSE)</f>
        <v>0</v>
      </c>
      <c r="Y126" s="9">
        <f>VLOOKUP($A126,地图配置辅助表!$A$3:$AP$245,地图配置辅助表!K$1,FALSE)</f>
        <v>0</v>
      </c>
      <c r="Z126" s="9">
        <f>VLOOKUP($A126,地图配置辅助表!$A$3:$AP$245,地图配置辅助表!L$1,FALSE)</f>
        <v>0</v>
      </c>
      <c r="AA126" s="9">
        <f>VLOOKUP($A126,地图配置辅助表!$A$3:$AP$245,地图配置辅助表!M$1,FALSE)</f>
        <v>2</v>
      </c>
      <c r="AB126">
        <f>VLOOKUP($A126,地图配置辅助表!$A$3:$AP$245,地图配置辅助表!N$1,FALSE)</f>
        <v>1</v>
      </c>
      <c r="AC126" s="9">
        <f>VLOOKUP($A126,地图配置辅助表!$A$3:$AP$245,地图配置辅助表!O$1,FALSE)</f>
        <v>3</v>
      </c>
      <c r="AD126">
        <f>VLOOKUP($A126,地图配置辅助表!$A$3:$AP$245,地图配置辅助表!P$1,FALSE)</f>
        <v>5207</v>
      </c>
      <c r="AE126" s="8">
        <f>VLOOKUP($A126,地图配置辅助表!$A$3:$AP$245,地图配置辅助表!Q$1,FALSE)</f>
        <v>3</v>
      </c>
      <c r="AF126" s="8">
        <f>VLOOKUP($A126,地图配置辅助表!$A$3:$AP$245,地图配置辅助表!R$1,FALSE)</f>
        <v>5008</v>
      </c>
      <c r="AG126" s="11">
        <f>VLOOKUP($A126,地图配置辅助表!$A$3:$AP$245,地图配置辅助表!S$1,FALSE)</f>
        <v>505208</v>
      </c>
      <c r="AH126" s="11">
        <f>VLOOKUP($A126,地图配置辅助表!$A$3:$AP$245,地图配置辅助表!T$1,FALSE)</f>
        <v>258004</v>
      </c>
      <c r="AI126" s="9">
        <f>VLOOKUP($A126,地图配置辅助表!$A$3:$AP$245,地图配置辅助表!U$1,FALSE)</f>
        <v>3</v>
      </c>
      <c r="AJ126" s="9">
        <f>VLOOKUP($A126,地图配置辅助表!$A$3:$AP$245,地图配置辅助表!V$1,FALSE)</f>
        <v>258001</v>
      </c>
      <c r="AK126" s="9">
        <f>VLOOKUP($A126,地图配置辅助表!$A$3:$AP$245,地图配置辅助表!W$1,FALSE)</f>
        <v>258002</v>
      </c>
      <c r="AL126" s="9">
        <f>VLOOKUP($A126,地图配置辅助表!$A$3:$AP$245,地图配置辅助表!X$1,FALSE)</f>
        <v>258003</v>
      </c>
      <c r="AM126" s="9">
        <f>VLOOKUP($A126,地图配置辅助表!$A$3:$AP$245,地图配置辅助表!Y$1,FALSE)</f>
        <v>0</v>
      </c>
      <c r="AN126" s="9">
        <f>VLOOKUP($A126,地图配置辅助表!$A$3:$AP$245,地图配置辅助表!Z$1,FALSE)</f>
        <v>0</v>
      </c>
      <c r="AO126" s="9">
        <f>VLOOKUP($A126,地图配置辅助表!$A$3:$AP$245,地图配置辅助表!AA$1,FALSE)</f>
        <v>0</v>
      </c>
      <c r="AP126" s="9">
        <f>VLOOKUP($A126,地图配置辅助表!$A$3:$AP$245,地图配置辅助表!AB$1,FALSE)</f>
        <v>0</v>
      </c>
      <c r="AQ126" s="9">
        <f>VLOOKUP($A126,地图配置辅助表!$A$3:$AP$245,地图配置辅助表!AC$1,FALSE)</f>
        <v>0</v>
      </c>
      <c r="AR126" s="9">
        <f>VLOOKUP($A126,地图配置辅助表!$A$3:$AP$245,地图配置辅助表!AD$1,FALSE)</f>
        <v>0</v>
      </c>
      <c r="AS126" s="9">
        <f>VLOOKUP($A126,地图配置辅助表!$A$3:$AP$245,地图配置辅助表!AE$1,FALSE)</f>
        <v>0</v>
      </c>
      <c r="AT126" s="9">
        <f>VLOOKUP($A126,地图配置辅助表!$A$3:$AP$245,地图配置辅助表!AF$1,FALSE)</f>
        <v>3</v>
      </c>
      <c r="AU126" s="9">
        <f>VLOOKUP($A126,地图配置辅助表!$A$3:$AP$245,地图配置辅助表!AG$1,FALSE)</f>
        <v>159</v>
      </c>
      <c r="AV126" s="9">
        <f>VLOOKUP($A126,地图配置辅助表!$A$3:$AP$245,地图配置辅助表!AH$1,FALSE)</f>
        <v>160</v>
      </c>
      <c r="AW126" s="9">
        <f>VLOOKUP($A126,地图配置辅助表!$A$3:$AP$245,地图配置辅助表!AI$1,FALSE)</f>
        <v>161</v>
      </c>
      <c r="AX126" s="9">
        <f>VLOOKUP($A126,地图配置辅助表!$A$3:$AP$245,地图配置辅助表!AJ$1,FALSE)</f>
        <v>0</v>
      </c>
      <c r="AY126" s="9">
        <f>VLOOKUP($A126,地图配置辅助表!$A$3:$AP$245,地图配置辅助表!AK$1,FALSE)</f>
        <v>0</v>
      </c>
      <c r="AZ126" s="9">
        <f>VLOOKUP($A126,地图配置辅助表!$A$3:$AP$245,地图配置辅助表!AL$1,FALSE)</f>
        <v>0</v>
      </c>
      <c r="BA126" s="9">
        <f>VLOOKUP($A126,地图配置辅助表!$A$3:$AP$245,地图配置辅助表!AM$1,FALSE)</f>
        <v>0</v>
      </c>
      <c r="BB126" s="9">
        <f>VLOOKUP($A126,地图配置辅助表!$A$3:$AP$245,地图配置辅助表!AN$1,FALSE)</f>
        <v>0</v>
      </c>
      <c r="BC126" s="9">
        <f>VLOOKUP($A126,地图配置辅助表!$A$3:$AP$245,地图配置辅助表!AO$1,FALSE)</f>
        <v>0</v>
      </c>
      <c r="BD126" s="9">
        <f>VLOOKUP($A126,地图配置辅助表!$A$3:$AP$245,地图配置辅助表!AP$1,FALSE)</f>
        <v>0</v>
      </c>
    </row>
    <row r="127" spans="1:56" s="9" customFormat="1" x14ac:dyDescent="0.15">
      <c r="A127">
        <f>地图配置辅助表!A128</f>
        <v>5209</v>
      </c>
      <c r="B127" s="8">
        <f>地图配置辅助表!B128</f>
        <v>2</v>
      </c>
      <c r="C127" s="9">
        <f>地图配置辅助表!C128</f>
        <v>5</v>
      </c>
      <c r="D127" s="9" t="str">
        <f>地图配置辅助表!D128</f>
        <v>精英司徒浩南</v>
      </c>
      <c r="E127" s="9" t="str">
        <f t="shared" si="0"/>
        <v>挑战精英司徒浩南</v>
      </c>
      <c r="F127" s="9" t="s">
        <v>0</v>
      </c>
      <c r="G127" s="9">
        <v>29</v>
      </c>
      <c r="H127" s="9">
        <v>200</v>
      </c>
      <c r="I127" s="9">
        <v>140</v>
      </c>
      <c r="J127" s="9">
        <v>200</v>
      </c>
      <c r="K127" s="9">
        <v>140</v>
      </c>
      <c r="L127" s="9" t="s">
        <v>646</v>
      </c>
      <c r="M127" s="9">
        <v>0</v>
      </c>
      <c r="R127" s="9" t="s">
        <v>631</v>
      </c>
      <c r="S127" s="11">
        <f>VLOOKUP($A127,地图配置辅助表!$A$3:$AP$245,地图配置辅助表!E$1,FALSE)</f>
        <v>12</v>
      </c>
      <c r="T127" s="9">
        <f>VLOOKUP($A127,地图配置辅助表!$A$3:$AP$245,地图配置辅助表!F$1,FALSE)</f>
        <v>65619</v>
      </c>
      <c r="U127" s="9">
        <f>VLOOKUP($A127,地图配置辅助表!$A$3:$AP$245,地图配置辅助表!G$1,FALSE)</f>
        <v>1</v>
      </c>
      <c r="V127" s="9">
        <f>VLOOKUP($A127,地图配置辅助表!$A$3:$AP$245,地图配置辅助表!H$1,FALSE)</f>
        <v>1</v>
      </c>
      <c r="W127" s="9">
        <f>VLOOKUP($A127,地图配置辅助表!$A$3:$AP$245,地图配置辅助表!I$1,FALSE)</f>
        <v>6</v>
      </c>
      <c r="X127" s="9">
        <f>VLOOKUP($A127,地图配置辅助表!$A$3:$AP$245,地图配置辅助表!J$1,FALSE)</f>
        <v>0</v>
      </c>
      <c r="Y127" s="9">
        <f>VLOOKUP($A127,地图配置辅助表!$A$3:$AP$245,地图配置辅助表!K$1,FALSE)</f>
        <v>0</v>
      </c>
      <c r="Z127" s="9">
        <f>VLOOKUP($A127,地图配置辅助表!$A$3:$AP$245,地图配置辅助表!L$1,FALSE)</f>
        <v>0</v>
      </c>
      <c r="AA127" s="9">
        <f>VLOOKUP($A127,地图配置辅助表!$A$3:$AP$245,地图配置辅助表!M$1,FALSE)</f>
        <v>2</v>
      </c>
      <c r="AB127">
        <f>VLOOKUP($A127,地图配置辅助表!$A$3:$AP$245,地图配置辅助表!N$1,FALSE)</f>
        <v>1</v>
      </c>
      <c r="AC127" s="9">
        <f>VLOOKUP($A127,地图配置辅助表!$A$3:$AP$245,地图配置辅助表!O$1,FALSE)</f>
        <v>3</v>
      </c>
      <c r="AD127">
        <f>VLOOKUP($A127,地图配置辅助表!$A$3:$AP$245,地图配置辅助表!P$1,FALSE)</f>
        <v>5208</v>
      </c>
      <c r="AE127" s="8">
        <f>VLOOKUP($A127,地图配置辅助表!$A$3:$AP$245,地图配置辅助表!Q$1,FALSE)</f>
        <v>3</v>
      </c>
      <c r="AF127" s="8">
        <f>VLOOKUP($A127,地图配置辅助表!$A$3:$AP$245,地图配置辅助表!R$1,FALSE)</f>
        <v>5009</v>
      </c>
      <c r="AG127" s="11">
        <f>VLOOKUP($A127,地图配置辅助表!$A$3:$AP$245,地图配置辅助表!S$1,FALSE)</f>
        <v>505209</v>
      </c>
      <c r="AH127" s="11">
        <f>VLOOKUP($A127,地图配置辅助表!$A$3:$AP$245,地图配置辅助表!T$1,FALSE)</f>
        <v>259004</v>
      </c>
      <c r="AI127" s="9">
        <f>VLOOKUP($A127,地图配置辅助表!$A$3:$AP$245,地图配置辅助表!U$1,FALSE)</f>
        <v>3</v>
      </c>
      <c r="AJ127" s="9">
        <f>VLOOKUP($A127,地图配置辅助表!$A$3:$AP$245,地图配置辅助表!V$1,FALSE)</f>
        <v>259001</v>
      </c>
      <c r="AK127" s="9">
        <f>VLOOKUP($A127,地图配置辅助表!$A$3:$AP$245,地图配置辅助表!W$1,FALSE)</f>
        <v>259002</v>
      </c>
      <c r="AL127" s="9">
        <f>VLOOKUP($A127,地图配置辅助表!$A$3:$AP$245,地图配置辅助表!X$1,FALSE)</f>
        <v>259003</v>
      </c>
      <c r="AM127" s="9">
        <f>VLOOKUP($A127,地图配置辅助表!$A$3:$AP$245,地图配置辅助表!Y$1,FALSE)</f>
        <v>0</v>
      </c>
      <c r="AN127" s="9">
        <f>VLOOKUP($A127,地图配置辅助表!$A$3:$AP$245,地图配置辅助表!Z$1,FALSE)</f>
        <v>0</v>
      </c>
      <c r="AO127" s="9">
        <f>VLOOKUP($A127,地图配置辅助表!$A$3:$AP$245,地图配置辅助表!AA$1,FALSE)</f>
        <v>0</v>
      </c>
      <c r="AP127" s="9">
        <f>VLOOKUP($A127,地图配置辅助表!$A$3:$AP$245,地图配置辅助表!AB$1,FALSE)</f>
        <v>0</v>
      </c>
      <c r="AQ127" s="9">
        <f>VLOOKUP($A127,地图配置辅助表!$A$3:$AP$245,地图配置辅助表!AC$1,FALSE)</f>
        <v>0</v>
      </c>
      <c r="AR127" s="9">
        <f>VLOOKUP($A127,地图配置辅助表!$A$3:$AP$245,地图配置辅助表!AD$1,FALSE)</f>
        <v>0</v>
      </c>
      <c r="AS127" s="9">
        <f>VLOOKUP($A127,地图配置辅助表!$A$3:$AP$245,地图配置辅助表!AE$1,FALSE)</f>
        <v>0</v>
      </c>
      <c r="AT127" s="9">
        <f>VLOOKUP($A127,地图配置辅助表!$A$3:$AP$245,地图配置辅助表!AF$1,FALSE)</f>
        <v>3</v>
      </c>
      <c r="AU127" s="9">
        <f>VLOOKUP($A127,地图配置辅助表!$A$3:$AP$245,地图配置辅助表!AG$1,FALSE)</f>
        <v>167</v>
      </c>
      <c r="AV127" s="9">
        <f>VLOOKUP($A127,地图配置辅助表!$A$3:$AP$245,地图配置辅助表!AH$1,FALSE)</f>
        <v>168</v>
      </c>
      <c r="AW127" s="9">
        <f>VLOOKUP($A127,地图配置辅助表!$A$3:$AP$245,地图配置辅助表!AI$1,FALSE)</f>
        <v>169</v>
      </c>
      <c r="AX127" s="9">
        <f>VLOOKUP($A127,地图配置辅助表!$A$3:$AP$245,地图配置辅助表!AJ$1,FALSE)</f>
        <v>0</v>
      </c>
      <c r="AY127" s="9">
        <f>VLOOKUP($A127,地图配置辅助表!$A$3:$AP$245,地图配置辅助表!AK$1,FALSE)</f>
        <v>0</v>
      </c>
      <c r="AZ127" s="9">
        <f>VLOOKUP($A127,地图配置辅助表!$A$3:$AP$245,地图配置辅助表!AL$1,FALSE)</f>
        <v>0</v>
      </c>
      <c r="BA127" s="9">
        <f>VLOOKUP($A127,地图配置辅助表!$A$3:$AP$245,地图配置辅助表!AM$1,FALSE)</f>
        <v>0</v>
      </c>
      <c r="BB127" s="9">
        <f>VLOOKUP($A127,地图配置辅助表!$A$3:$AP$245,地图配置辅助表!AN$1,FALSE)</f>
        <v>0</v>
      </c>
      <c r="BC127" s="9">
        <f>VLOOKUP($A127,地图配置辅助表!$A$3:$AP$245,地图配置辅助表!AO$1,FALSE)</f>
        <v>0</v>
      </c>
      <c r="BD127" s="9">
        <f>VLOOKUP($A127,地图配置辅助表!$A$3:$AP$245,地图配置辅助表!AP$1,FALSE)</f>
        <v>0</v>
      </c>
    </row>
    <row r="128" spans="1:56" s="9" customFormat="1" x14ac:dyDescent="0.15">
      <c r="A128">
        <f>地图配置辅助表!A129</f>
        <v>6201</v>
      </c>
      <c r="B128" s="8">
        <f>地图配置辅助表!B129</f>
        <v>2</v>
      </c>
      <c r="C128" s="9">
        <f>地图配置辅助表!C129</f>
        <v>6</v>
      </c>
      <c r="D128" s="9" t="str">
        <f>地图配置辅助表!D129</f>
        <v>精英鬼冢</v>
      </c>
      <c r="E128" s="9" t="str">
        <f t="shared" si="0"/>
        <v>挑战精英鬼冢</v>
      </c>
      <c r="F128" s="9" t="s">
        <v>0</v>
      </c>
      <c r="G128" s="9">
        <v>29</v>
      </c>
      <c r="H128" s="9">
        <v>200</v>
      </c>
      <c r="I128" s="9">
        <v>140</v>
      </c>
      <c r="J128" s="9">
        <v>200</v>
      </c>
      <c r="K128" s="9">
        <v>140</v>
      </c>
      <c r="L128" s="9" t="s">
        <v>199</v>
      </c>
      <c r="M128" s="9">
        <v>0</v>
      </c>
      <c r="R128" s="9" t="s">
        <v>151</v>
      </c>
      <c r="S128" s="11">
        <f>VLOOKUP($A128,地图配置辅助表!$A$3:$AP$245,地图配置辅助表!E$1,FALSE)</f>
        <v>14</v>
      </c>
      <c r="T128" s="9">
        <f>VLOOKUP($A128,地图配置辅助表!$A$3:$AP$245,地图配置辅助表!F$1,FALSE)</f>
        <v>61829</v>
      </c>
      <c r="U128" s="9">
        <f>VLOOKUP($A128,地图配置辅助表!$A$3:$AP$245,地图配置辅助表!G$1,FALSE)</f>
        <v>1</v>
      </c>
      <c r="V128" s="9">
        <f>VLOOKUP($A128,地图配置辅助表!$A$3:$AP$245,地图配置辅助表!H$1,FALSE)</f>
        <v>1</v>
      </c>
      <c r="W128" s="9">
        <f>VLOOKUP($A128,地图配置辅助表!$A$3:$AP$245,地图配置辅助表!I$1,FALSE)</f>
        <v>6</v>
      </c>
      <c r="X128" s="9">
        <f>VLOOKUP($A128,地图配置辅助表!$A$3:$AP$245,地图配置辅助表!J$1,FALSE)</f>
        <v>0</v>
      </c>
      <c r="Y128" s="9">
        <f>VLOOKUP($A128,地图配置辅助表!$A$3:$AP$245,地图配置辅助表!K$1,FALSE)</f>
        <v>0</v>
      </c>
      <c r="Z128" s="9">
        <f>VLOOKUP($A128,地图配置辅助表!$A$3:$AP$245,地图配置辅助表!L$1,FALSE)</f>
        <v>0</v>
      </c>
      <c r="AA128" s="9">
        <f>VLOOKUP($A128,地图配置辅助表!$A$3:$AP$245,地图配置辅助表!M$1,FALSE)</f>
        <v>2</v>
      </c>
      <c r="AB128">
        <f>VLOOKUP($A128,地图配置辅助表!$A$3:$AP$245,地图配置辅助表!N$1,FALSE)</f>
        <v>1</v>
      </c>
      <c r="AC128" s="9">
        <f>VLOOKUP($A128,地图配置辅助表!$A$3:$AP$245,地图配置辅助表!O$1,FALSE)</f>
        <v>3</v>
      </c>
      <c r="AD128">
        <f>VLOOKUP($A128,地图配置辅助表!$A$3:$AP$245,地图配置辅助表!P$1,FALSE)</f>
        <v>5209</v>
      </c>
      <c r="AE128" s="8">
        <f>VLOOKUP($A128,地图配置辅助表!$A$3:$AP$245,地图配置辅助表!Q$1,FALSE)</f>
        <v>3</v>
      </c>
      <c r="AF128" s="8">
        <f>VLOOKUP($A128,地图配置辅助表!$A$3:$AP$245,地图配置辅助表!R$1,FALSE)</f>
        <v>6001</v>
      </c>
      <c r="AG128" s="11">
        <f>VLOOKUP($A128,地图配置辅助表!$A$3:$AP$245,地图配置辅助表!S$1,FALSE)</f>
        <v>506201</v>
      </c>
      <c r="AH128" s="11">
        <f>VLOOKUP($A128,地图配置辅助表!$A$3:$AP$245,地图配置辅助表!T$1,FALSE)</f>
        <v>261004</v>
      </c>
      <c r="AI128" s="9">
        <f>VLOOKUP($A128,地图配置辅助表!$A$3:$AP$245,地图配置辅助表!U$1,FALSE)</f>
        <v>3</v>
      </c>
      <c r="AJ128" s="9">
        <f>VLOOKUP($A128,地图配置辅助表!$A$3:$AP$245,地图配置辅助表!V$1,FALSE)</f>
        <v>261001</v>
      </c>
      <c r="AK128" s="9">
        <f>VLOOKUP($A128,地图配置辅助表!$A$3:$AP$245,地图配置辅助表!W$1,FALSE)</f>
        <v>261002</v>
      </c>
      <c r="AL128" s="9">
        <f>VLOOKUP($A128,地图配置辅助表!$A$3:$AP$245,地图配置辅助表!X$1,FALSE)</f>
        <v>261003</v>
      </c>
      <c r="AM128" s="9">
        <f>VLOOKUP($A128,地图配置辅助表!$A$3:$AP$245,地图配置辅助表!Y$1,FALSE)</f>
        <v>0</v>
      </c>
      <c r="AN128" s="9">
        <f>VLOOKUP($A128,地图配置辅助表!$A$3:$AP$245,地图配置辅助表!Z$1,FALSE)</f>
        <v>0</v>
      </c>
      <c r="AO128" s="9">
        <f>VLOOKUP($A128,地图配置辅助表!$A$3:$AP$245,地图配置辅助表!AA$1,FALSE)</f>
        <v>0</v>
      </c>
      <c r="AP128" s="9">
        <f>VLOOKUP($A128,地图配置辅助表!$A$3:$AP$245,地图配置辅助表!AB$1,FALSE)</f>
        <v>0</v>
      </c>
      <c r="AQ128" s="9">
        <f>VLOOKUP($A128,地图配置辅助表!$A$3:$AP$245,地图配置辅助表!AC$1,FALSE)</f>
        <v>0</v>
      </c>
      <c r="AR128" s="9">
        <f>VLOOKUP($A128,地图配置辅助表!$A$3:$AP$245,地图配置辅助表!AD$1,FALSE)</f>
        <v>0</v>
      </c>
      <c r="AS128" s="9">
        <f>VLOOKUP($A128,地图配置辅助表!$A$3:$AP$245,地图配置辅助表!AE$1,FALSE)</f>
        <v>0</v>
      </c>
      <c r="AT128" s="9">
        <f>VLOOKUP($A128,地图配置辅助表!$A$3:$AP$245,地图配置辅助表!AF$1,FALSE)</f>
        <v>3</v>
      </c>
      <c r="AU128" s="9">
        <f>VLOOKUP($A128,地图配置辅助表!$A$3:$AP$245,地图配置辅助表!AG$1,FALSE)</f>
        <v>197</v>
      </c>
      <c r="AV128" s="9">
        <f>VLOOKUP($A128,地图配置辅助表!$A$3:$AP$245,地图配置辅助表!AH$1,FALSE)</f>
        <v>198</v>
      </c>
      <c r="AW128" s="9">
        <f>VLOOKUP($A128,地图配置辅助表!$A$3:$AP$245,地图配置辅助表!AI$1,FALSE)</f>
        <v>199</v>
      </c>
      <c r="AX128" s="9">
        <f>VLOOKUP($A128,地图配置辅助表!$A$3:$AP$245,地图配置辅助表!AJ$1,FALSE)</f>
        <v>0</v>
      </c>
      <c r="AY128" s="9">
        <f>VLOOKUP($A128,地图配置辅助表!$A$3:$AP$245,地图配置辅助表!AK$1,FALSE)</f>
        <v>0</v>
      </c>
      <c r="AZ128" s="9">
        <f>VLOOKUP($A128,地图配置辅助表!$A$3:$AP$245,地图配置辅助表!AL$1,FALSE)</f>
        <v>0</v>
      </c>
      <c r="BA128" s="9">
        <f>VLOOKUP($A128,地图配置辅助表!$A$3:$AP$245,地图配置辅助表!AM$1,FALSE)</f>
        <v>0</v>
      </c>
      <c r="BB128" s="9">
        <f>VLOOKUP($A128,地图配置辅助表!$A$3:$AP$245,地图配置辅助表!AN$1,FALSE)</f>
        <v>0</v>
      </c>
      <c r="BC128" s="9">
        <f>VLOOKUP($A128,地图配置辅助表!$A$3:$AP$245,地图配置辅助表!AO$1,FALSE)</f>
        <v>0</v>
      </c>
      <c r="BD128" s="9">
        <f>VLOOKUP($A128,地图配置辅助表!$A$3:$AP$245,地图配置辅助表!AP$1,FALSE)</f>
        <v>0</v>
      </c>
    </row>
    <row r="129" spans="1:56" s="9" customFormat="1" x14ac:dyDescent="0.15">
      <c r="A129">
        <f>地图配置辅助表!A130</f>
        <v>6202</v>
      </c>
      <c r="B129" s="8">
        <f>地图配置辅助表!B130</f>
        <v>2</v>
      </c>
      <c r="C129" s="9">
        <f>地图配置辅助表!C130</f>
        <v>6</v>
      </c>
      <c r="D129" s="9" t="str">
        <f>地图配置辅助表!D130</f>
        <v>精英暗魔</v>
      </c>
      <c r="E129" s="9" t="str">
        <f t="shared" si="0"/>
        <v>挑战精英暗魔</v>
      </c>
      <c r="F129" s="9" t="s">
        <v>0</v>
      </c>
      <c r="G129" s="9">
        <v>29</v>
      </c>
      <c r="H129" s="9">
        <v>200</v>
      </c>
      <c r="I129" s="9">
        <v>140</v>
      </c>
      <c r="J129" s="9">
        <v>200</v>
      </c>
      <c r="K129" s="9">
        <v>140</v>
      </c>
      <c r="L129" s="9" t="s">
        <v>200</v>
      </c>
      <c r="M129" s="9">
        <v>0</v>
      </c>
      <c r="R129" s="9" t="s">
        <v>152</v>
      </c>
      <c r="S129" s="11">
        <f>VLOOKUP($A129,地图配置辅助表!$A$3:$AP$245,地图配置辅助表!E$1,FALSE)</f>
        <v>14</v>
      </c>
      <c r="T129" s="9">
        <f>VLOOKUP($A129,地图配置辅助表!$A$3:$AP$245,地图配置辅助表!F$1,FALSE)</f>
        <v>67271</v>
      </c>
      <c r="U129" s="9">
        <f>VLOOKUP($A129,地图配置辅助表!$A$3:$AP$245,地图配置辅助表!G$1,FALSE)</f>
        <v>1</v>
      </c>
      <c r="V129" s="9">
        <f>VLOOKUP($A129,地图配置辅助表!$A$3:$AP$245,地图配置辅助表!H$1,FALSE)</f>
        <v>1</v>
      </c>
      <c r="W129" s="9">
        <f>VLOOKUP($A129,地图配置辅助表!$A$3:$AP$245,地图配置辅助表!I$1,FALSE)</f>
        <v>6</v>
      </c>
      <c r="X129" s="9">
        <f>VLOOKUP($A129,地图配置辅助表!$A$3:$AP$245,地图配置辅助表!J$1,FALSE)</f>
        <v>0</v>
      </c>
      <c r="Y129" s="9">
        <f>VLOOKUP($A129,地图配置辅助表!$A$3:$AP$245,地图配置辅助表!K$1,FALSE)</f>
        <v>0</v>
      </c>
      <c r="Z129" s="9">
        <f>VLOOKUP($A129,地图配置辅助表!$A$3:$AP$245,地图配置辅助表!L$1,FALSE)</f>
        <v>0</v>
      </c>
      <c r="AA129" s="9">
        <f>VLOOKUP($A129,地图配置辅助表!$A$3:$AP$245,地图配置辅助表!M$1,FALSE)</f>
        <v>2</v>
      </c>
      <c r="AB129">
        <f>VLOOKUP($A129,地图配置辅助表!$A$3:$AP$245,地图配置辅助表!N$1,FALSE)</f>
        <v>1</v>
      </c>
      <c r="AC129" s="9">
        <f>VLOOKUP($A129,地图配置辅助表!$A$3:$AP$245,地图配置辅助表!O$1,FALSE)</f>
        <v>3</v>
      </c>
      <c r="AD129">
        <f>VLOOKUP($A129,地图配置辅助表!$A$3:$AP$245,地图配置辅助表!P$1,FALSE)</f>
        <v>6201</v>
      </c>
      <c r="AE129" s="8">
        <f>VLOOKUP($A129,地图配置辅助表!$A$3:$AP$245,地图配置辅助表!Q$1,FALSE)</f>
        <v>3</v>
      </c>
      <c r="AF129" s="8">
        <f>VLOOKUP($A129,地图配置辅助表!$A$3:$AP$245,地图配置辅助表!R$1,FALSE)</f>
        <v>6002</v>
      </c>
      <c r="AG129" s="11">
        <f>VLOOKUP($A129,地图配置辅助表!$A$3:$AP$245,地图配置辅助表!S$1,FALSE)</f>
        <v>506202</v>
      </c>
      <c r="AH129" s="11">
        <f>VLOOKUP($A129,地图配置辅助表!$A$3:$AP$245,地图配置辅助表!T$1,FALSE)</f>
        <v>262004</v>
      </c>
      <c r="AI129" s="9">
        <f>VLOOKUP($A129,地图配置辅助表!$A$3:$AP$245,地图配置辅助表!U$1,FALSE)</f>
        <v>3</v>
      </c>
      <c r="AJ129" s="9">
        <f>VLOOKUP($A129,地图配置辅助表!$A$3:$AP$245,地图配置辅助表!V$1,FALSE)</f>
        <v>262001</v>
      </c>
      <c r="AK129" s="9">
        <f>VLOOKUP($A129,地图配置辅助表!$A$3:$AP$245,地图配置辅助表!W$1,FALSE)</f>
        <v>262002</v>
      </c>
      <c r="AL129" s="9">
        <f>VLOOKUP($A129,地图配置辅助表!$A$3:$AP$245,地图配置辅助表!X$1,FALSE)</f>
        <v>262003</v>
      </c>
      <c r="AM129" s="9">
        <f>VLOOKUP($A129,地图配置辅助表!$A$3:$AP$245,地图配置辅助表!Y$1,FALSE)</f>
        <v>0</v>
      </c>
      <c r="AN129" s="9">
        <f>VLOOKUP($A129,地图配置辅助表!$A$3:$AP$245,地图配置辅助表!Z$1,FALSE)</f>
        <v>0</v>
      </c>
      <c r="AO129" s="9">
        <f>VLOOKUP($A129,地图配置辅助表!$A$3:$AP$245,地图配置辅助表!AA$1,FALSE)</f>
        <v>0</v>
      </c>
      <c r="AP129" s="9">
        <f>VLOOKUP($A129,地图配置辅助表!$A$3:$AP$245,地图配置辅助表!AB$1,FALSE)</f>
        <v>0</v>
      </c>
      <c r="AQ129" s="9">
        <f>VLOOKUP($A129,地图配置辅助表!$A$3:$AP$245,地图配置辅助表!AC$1,FALSE)</f>
        <v>0</v>
      </c>
      <c r="AR129" s="9">
        <f>VLOOKUP($A129,地图配置辅助表!$A$3:$AP$245,地图配置辅助表!AD$1,FALSE)</f>
        <v>0</v>
      </c>
      <c r="AS129" s="9">
        <f>VLOOKUP($A129,地图配置辅助表!$A$3:$AP$245,地图配置辅助表!AE$1,FALSE)</f>
        <v>0</v>
      </c>
      <c r="AT129" s="9">
        <f>VLOOKUP($A129,地图配置辅助表!$A$3:$AP$245,地图配置辅助表!AF$1,FALSE)</f>
        <v>3</v>
      </c>
      <c r="AU129" s="9">
        <f>VLOOKUP($A129,地图配置辅助表!$A$3:$AP$245,地图配置辅助表!AG$1,FALSE)</f>
        <v>198</v>
      </c>
      <c r="AV129" s="9">
        <f>VLOOKUP($A129,地图配置辅助表!$A$3:$AP$245,地图配置辅助表!AH$1,FALSE)</f>
        <v>199</v>
      </c>
      <c r="AW129" s="9">
        <f>VLOOKUP($A129,地图配置辅助表!$A$3:$AP$245,地图配置辅助表!AI$1,FALSE)</f>
        <v>200</v>
      </c>
      <c r="AX129" s="9">
        <f>VLOOKUP($A129,地图配置辅助表!$A$3:$AP$245,地图配置辅助表!AJ$1,FALSE)</f>
        <v>0</v>
      </c>
      <c r="AY129" s="9">
        <f>VLOOKUP($A129,地图配置辅助表!$A$3:$AP$245,地图配置辅助表!AK$1,FALSE)</f>
        <v>0</v>
      </c>
      <c r="AZ129" s="9">
        <f>VLOOKUP($A129,地图配置辅助表!$A$3:$AP$245,地图配置辅助表!AL$1,FALSE)</f>
        <v>0</v>
      </c>
      <c r="BA129" s="9">
        <f>VLOOKUP($A129,地图配置辅助表!$A$3:$AP$245,地图配置辅助表!AM$1,FALSE)</f>
        <v>0</v>
      </c>
      <c r="BB129" s="9">
        <f>VLOOKUP($A129,地图配置辅助表!$A$3:$AP$245,地图配置辅助表!AN$1,FALSE)</f>
        <v>0</v>
      </c>
      <c r="BC129" s="9">
        <f>VLOOKUP($A129,地图配置辅助表!$A$3:$AP$245,地图配置辅助表!AO$1,FALSE)</f>
        <v>0</v>
      </c>
      <c r="BD129" s="9">
        <f>VLOOKUP($A129,地图配置辅助表!$A$3:$AP$245,地图配置辅助表!AP$1,FALSE)</f>
        <v>0</v>
      </c>
    </row>
    <row r="130" spans="1:56" s="9" customFormat="1" x14ac:dyDescent="0.15">
      <c r="A130">
        <f>地图配置辅助表!A131</f>
        <v>6203</v>
      </c>
      <c r="B130" s="8">
        <f>地图配置辅助表!B131</f>
        <v>2</v>
      </c>
      <c r="C130" s="9">
        <f>地图配置辅助表!C131</f>
        <v>6</v>
      </c>
      <c r="D130" s="9" t="str">
        <f>地图配置辅助表!D131</f>
        <v>精英血狂</v>
      </c>
      <c r="E130" s="9" t="str">
        <f t="shared" si="0"/>
        <v>挑战精英血狂</v>
      </c>
      <c r="F130" s="9" t="s">
        <v>0</v>
      </c>
      <c r="G130" s="9">
        <v>29</v>
      </c>
      <c r="H130" s="9">
        <v>200</v>
      </c>
      <c r="I130" s="9">
        <v>140</v>
      </c>
      <c r="J130" s="9">
        <v>200</v>
      </c>
      <c r="K130" s="9">
        <v>140</v>
      </c>
      <c r="L130" s="9" t="s">
        <v>201</v>
      </c>
      <c r="M130" s="9">
        <v>0</v>
      </c>
      <c r="R130" s="9" t="s">
        <v>153</v>
      </c>
      <c r="S130" s="11">
        <f>VLOOKUP($A130,地图配置辅助表!$A$3:$AP$245,地图配置辅助表!E$1,FALSE)</f>
        <v>14</v>
      </c>
      <c r="T130" s="9">
        <f>VLOOKUP($A130,地图配置辅助表!$A$3:$AP$245,地图配置辅助表!F$1,FALSE)</f>
        <v>73399</v>
      </c>
      <c r="U130" s="9">
        <f>VLOOKUP($A130,地图配置辅助表!$A$3:$AP$245,地图配置辅助表!G$1,FALSE)</f>
        <v>1</v>
      </c>
      <c r="V130" s="9">
        <f>VLOOKUP($A130,地图配置辅助表!$A$3:$AP$245,地图配置辅助表!H$1,FALSE)</f>
        <v>1</v>
      </c>
      <c r="W130" s="9">
        <f>VLOOKUP($A130,地图配置辅助表!$A$3:$AP$245,地图配置辅助表!I$1,FALSE)</f>
        <v>6</v>
      </c>
      <c r="X130" s="9">
        <f>VLOOKUP($A130,地图配置辅助表!$A$3:$AP$245,地图配置辅助表!J$1,FALSE)</f>
        <v>0</v>
      </c>
      <c r="Y130" s="9">
        <f>VLOOKUP($A130,地图配置辅助表!$A$3:$AP$245,地图配置辅助表!K$1,FALSE)</f>
        <v>0</v>
      </c>
      <c r="Z130" s="9">
        <f>VLOOKUP($A130,地图配置辅助表!$A$3:$AP$245,地图配置辅助表!L$1,FALSE)</f>
        <v>0</v>
      </c>
      <c r="AA130" s="9">
        <f>VLOOKUP($A130,地图配置辅助表!$A$3:$AP$245,地图配置辅助表!M$1,FALSE)</f>
        <v>2</v>
      </c>
      <c r="AB130">
        <f>VLOOKUP($A130,地图配置辅助表!$A$3:$AP$245,地图配置辅助表!N$1,FALSE)</f>
        <v>1</v>
      </c>
      <c r="AC130" s="9">
        <f>VLOOKUP($A130,地图配置辅助表!$A$3:$AP$245,地图配置辅助表!O$1,FALSE)</f>
        <v>3</v>
      </c>
      <c r="AD130">
        <f>VLOOKUP($A130,地图配置辅助表!$A$3:$AP$245,地图配置辅助表!P$1,FALSE)</f>
        <v>6202</v>
      </c>
      <c r="AE130" s="8">
        <f>VLOOKUP($A130,地图配置辅助表!$A$3:$AP$245,地图配置辅助表!Q$1,FALSE)</f>
        <v>3</v>
      </c>
      <c r="AF130" s="8">
        <f>VLOOKUP($A130,地图配置辅助表!$A$3:$AP$245,地图配置辅助表!R$1,FALSE)</f>
        <v>6003</v>
      </c>
      <c r="AG130" s="11">
        <f>VLOOKUP($A130,地图配置辅助表!$A$3:$AP$245,地图配置辅助表!S$1,FALSE)</f>
        <v>506203</v>
      </c>
      <c r="AH130" s="11">
        <f>VLOOKUP($A130,地图配置辅助表!$A$3:$AP$245,地图配置辅助表!T$1,FALSE)</f>
        <v>263004</v>
      </c>
      <c r="AI130" s="9">
        <f>VLOOKUP($A130,地图配置辅助表!$A$3:$AP$245,地图配置辅助表!U$1,FALSE)</f>
        <v>3</v>
      </c>
      <c r="AJ130" s="9">
        <f>VLOOKUP($A130,地图配置辅助表!$A$3:$AP$245,地图配置辅助表!V$1,FALSE)</f>
        <v>263001</v>
      </c>
      <c r="AK130" s="9">
        <f>VLOOKUP($A130,地图配置辅助表!$A$3:$AP$245,地图配置辅助表!W$1,FALSE)</f>
        <v>263002</v>
      </c>
      <c r="AL130" s="9">
        <f>VLOOKUP($A130,地图配置辅助表!$A$3:$AP$245,地图配置辅助表!X$1,FALSE)</f>
        <v>263003</v>
      </c>
      <c r="AM130" s="9">
        <f>VLOOKUP($A130,地图配置辅助表!$A$3:$AP$245,地图配置辅助表!Y$1,FALSE)</f>
        <v>0</v>
      </c>
      <c r="AN130" s="9">
        <f>VLOOKUP($A130,地图配置辅助表!$A$3:$AP$245,地图配置辅助表!Z$1,FALSE)</f>
        <v>0</v>
      </c>
      <c r="AO130" s="9">
        <f>VLOOKUP($A130,地图配置辅助表!$A$3:$AP$245,地图配置辅助表!AA$1,FALSE)</f>
        <v>0</v>
      </c>
      <c r="AP130" s="9">
        <f>VLOOKUP($A130,地图配置辅助表!$A$3:$AP$245,地图配置辅助表!AB$1,FALSE)</f>
        <v>0</v>
      </c>
      <c r="AQ130" s="9">
        <f>VLOOKUP($A130,地图配置辅助表!$A$3:$AP$245,地图配置辅助表!AC$1,FALSE)</f>
        <v>0</v>
      </c>
      <c r="AR130" s="9">
        <f>VLOOKUP($A130,地图配置辅助表!$A$3:$AP$245,地图配置辅助表!AD$1,FALSE)</f>
        <v>0</v>
      </c>
      <c r="AS130" s="9">
        <f>VLOOKUP($A130,地图配置辅助表!$A$3:$AP$245,地图配置辅助表!AE$1,FALSE)</f>
        <v>0</v>
      </c>
      <c r="AT130" s="9">
        <f>VLOOKUP($A130,地图配置辅助表!$A$3:$AP$245,地图配置辅助表!AF$1,FALSE)</f>
        <v>3</v>
      </c>
      <c r="AU130" s="9">
        <f>VLOOKUP($A130,地图配置辅助表!$A$3:$AP$245,地图配置辅助表!AG$1,FALSE)</f>
        <v>219</v>
      </c>
      <c r="AV130" s="9">
        <f>VLOOKUP($A130,地图配置辅助表!$A$3:$AP$245,地图配置辅助表!AH$1,FALSE)</f>
        <v>220</v>
      </c>
      <c r="AW130" s="9">
        <f>VLOOKUP($A130,地图配置辅助表!$A$3:$AP$245,地图配置辅助表!AI$1,FALSE)</f>
        <v>221</v>
      </c>
      <c r="AX130" s="9">
        <f>VLOOKUP($A130,地图配置辅助表!$A$3:$AP$245,地图配置辅助表!AJ$1,FALSE)</f>
        <v>0</v>
      </c>
      <c r="AY130" s="9">
        <f>VLOOKUP($A130,地图配置辅助表!$A$3:$AP$245,地图配置辅助表!AK$1,FALSE)</f>
        <v>0</v>
      </c>
      <c r="AZ130" s="9">
        <f>VLOOKUP($A130,地图配置辅助表!$A$3:$AP$245,地图配置辅助表!AL$1,FALSE)</f>
        <v>0</v>
      </c>
      <c r="BA130" s="9">
        <f>VLOOKUP($A130,地图配置辅助表!$A$3:$AP$245,地图配置辅助表!AM$1,FALSE)</f>
        <v>0</v>
      </c>
      <c r="BB130" s="9">
        <f>VLOOKUP($A130,地图配置辅助表!$A$3:$AP$245,地图配置辅助表!AN$1,FALSE)</f>
        <v>0</v>
      </c>
      <c r="BC130" s="9">
        <f>VLOOKUP($A130,地图配置辅助表!$A$3:$AP$245,地图配置辅助表!AO$1,FALSE)</f>
        <v>0</v>
      </c>
      <c r="BD130" s="9">
        <f>VLOOKUP($A130,地图配置辅助表!$A$3:$AP$245,地图配置辅助表!AP$1,FALSE)</f>
        <v>0</v>
      </c>
    </row>
    <row r="131" spans="1:56" s="9" customFormat="1" x14ac:dyDescent="0.15">
      <c r="A131">
        <f>地图配置辅助表!A132</f>
        <v>6204</v>
      </c>
      <c r="B131" s="8">
        <f>地图配置辅助表!B132</f>
        <v>2</v>
      </c>
      <c r="C131" s="9">
        <f>地图配置辅助表!C132</f>
        <v>6</v>
      </c>
      <c r="D131" s="9" t="str">
        <f>地图配置辅助表!D132</f>
        <v>精英獠牙</v>
      </c>
      <c r="E131" s="9" t="str">
        <f t="shared" si="0"/>
        <v>挑战精英獠牙</v>
      </c>
      <c r="F131" s="9" t="s">
        <v>0</v>
      </c>
      <c r="G131" s="9">
        <v>29</v>
      </c>
      <c r="H131" s="9">
        <v>200</v>
      </c>
      <c r="I131" s="9">
        <v>140</v>
      </c>
      <c r="J131" s="9">
        <v>200</v>
      </c>
      <c r="K131" s="9">
        <v>140</v>
      </c>
      <c r="L131" s="9" t="s">
        <v>202</v>
      </c>
      <c r="M131" s="9">
        <v>0</v>
      </c>
      <c r="R131" s="9" t="s">
        <v>154</v>
      </c>
      <c r="S131" s="11">
        <f>VLOOKUP($A131,地图配置辅助表!$A$3:$AP$245,地图配置辅助表!E$1,FALSE)</f>
        <v>14</v>
      </c>
      <c r="T131" s="9">
        <f>VLOOKUP($A131,地图配置辅助表!$A$3:$AP$245,地图配置辅助表!F$1,FALSE)</f>
        <v>80003</v>
      </c>
      <c r="U131" s="9">
        <f>VLOOKUP($A131,地图配置辅助表!$A$3:$AP$245,地图配置辅助表!G$1,FALSE)</f>
        <v>1</v>
      </c>
      <c r="V131" s="9">
        <f>VLOOKUP($A131,地图配置辅助表!$A$3:$AP$245,地图配置辅助表!H$1,FALSE)</f>
        <v>1</v>
      </c>
      <c r="W131" s="9">
        <f>VLOOKUP($A131,地图配置辅助表!$A$3:$AP$245,地图配置辅助表!I$1,FALSE)</f>
        <v>6</v>
      </c>
      <c r="X131" s="9">
        <f>VLOOKUP($A131,地图配置辅助表!$A$3:$AP$245,地图配置辅助表!J$1,FALSE)</f>
        <v>0</v>
      </c>
      <c r="Y131" s="9">
        <f>VLOOKUP($A131,地图配置辅助表!$A$3:$AP$245,地图配置辅助表!K$1,FALSE)</f>
        <v>0</v>
      </c>
      <c r="Z131" s="9">
        <f>VLOOKUP($A131,地图配置辅助表!$A$3:$AP$245,地图配置辅助表!L$1,FALSE)</f>
        <v>0</v>
      </c>
      <c r="AA131" s="9">
        <f>VLOOKUP($A131,地图配置辅助表!$A$3:$AP$245,地图配置辅助表!M$1,FALSE)</f>
        <v>2</v>
      </c>
      <c r="AB131">
        <f>VLOOKUP($A131,地图配置辅助表!$A$3:$AP$245,地图配置辅助表!N$1,FALSE)</f>
        <v>1</v>
      </c>
      <c r="AC131" s="9">
        <f>VLOOKUP($A131,地图配置辅助表!$A$3:$AP$245,地图配置辅助表!O$1,FALSE)</f>
        <v>3</v>
      </c>
      <c r="AD131">
        <f>VLOOKUP($A131,地图配置辅助表!$A$3:$AP$245,地图配置辅助表!P$1,FALSE)</f>
        <v>6203</v>
      </c>
      <c r="AE131" s="8">
        <f>VLOOKUP($A131,地图配置辅助表!$A$3:$AP$245,地图配置辅助表!Q$1,FALSE)</f>
        <v>3</v>
      </c>
      <c r="AF131" s="8">
        <f>VLOOKUP($A131,地图配置辅助表!$A$3:$AP$245,地图配置辅助表!R$1,FALSE)</f>
        <v>6004</v>
      </c>
      <c r="AG131" s="11">
        <f>VLOOKUP($A131,地图配置辅助表!$A$3:$AP$245,地图配置辅助表!S$1,FALSE)</f>
        <v>506204</v>
      </c>
      <c r="AH131" s="11">
        <f>VLOOKUP($A131,地图配置辅助表!$A$3:$AP$245,地图配置辅助表!T$1,FALSE)</f>
        <v>264004</v>
      </c>
      <c r="AI131" s="9">
        <f>VLOOKUP($A131,地图配置辅助表!$A$3:$AP$245,地图配置辅助表!U$1,FALSE)</f>
        <v>3</v>
      </c>
      <c r="AJ131" s="9">
        <f>VLOOKUP($A131,地图配置辅助表!$A$3:$AP$245,地图配置辅助表!V$1,FALSE)</f>
        <v>264001</v>
      </c>
      <c r="AK131" s="9">
        <f>VLOOKUP($A131,地图配置辅助表!$A$3:$AP$245,地图配置辅助表!W$1,FALSE)</f>
        <v>264002</v>
      </c>
      <c r="AL131" s="9">
        <f>VLOOKUP($A131,地图配置辅助表!$A$3:$AP$245,地图配置辅助表!X$1,FALSE)</f>
        <v>264003</v>
      </c>
      <c r="AM131" s="9">
        <f>VLOOKUP($A131,地图配置辅助表!$A$3:$AP$245,地图配置辅助表!Y$1,FALSE)</f>
        <v>0</v>
      </c>
      <c r="AN131" s="9">
        <f>VLOOKUP($A131,地图配置辅助表!$A$3:$AP$245,地图配置辅助表!Z$1,FALSE)</f>
        <v>0</v>
      </c>
      <c r="AO131" s="9">
        <f>VLOOKUP($A131,地图配置辅助表!$A$3:$AP$245,地图配置辅助表!AA$1,FALSE)</f>
        <v>0</v>
      </c>
      <c r="AP131" s="9">
        <f>VLOOKUP($A131,地图配置辅助表!$A$3:$AP$245,地图配置辅助表!AB$1,FALSE)</f>
        <v>0</v>
      </c>
      <c r="AQ131" s="9">
        <f>VLOOKUP($A131,地图配置辅助表!$A$3:$AP$245,地图配置辅助表!AC$1,FALSE)</f>
        <v>0</v>
      </c>
      <c r="AR131" s="9">
        <f>VLOOKUP($A131,地图配置辅助表!$A$3:$AP$245,地图配置辅助表!AD$1,FALSE)</f>
        <v>0</v>
      </c>
      <c r="AS131" s="9">
        <f>VLOOKUP($A131,地图配置辅助表!$A$3:$AP$245,地图配置辅助表!AE$1,FALSE)</f>
        <v>0</v>
      </c>
      <c r="AT131" s="9">
        <f>VLOOKUP($A131,地图配置辅助表!$A$3:$AP$245,地图配置辅助表!AF$1,FALSE)</f>
        <v>3</v>
      </c>
      <c r="AU131" s="9">
        <f>VLOOKUP($A131,地图配置辅助表!$A$3:$AP$245,地图配置辅助表!AG$1,FALSE)</f>
        <v>139</v>
      </c>
      <c r="AV131" s="9">
        <f>VLOOKUP($A131,地图配置辅助表!$A$3:$AP$245,地图配置辅助表!AH$1,FALSE)</f>
        <v>140</v>
      </c>
      <c r="AW131" s="9">
        <f>VLOOKUP($A131,地图配置辅助表!$A$3:$AP$245,地图配置辅助表!AI$1,FALSE)</f>
        <v>141</v>
      </c>
      <c r="AX131" s="9">
        <f>VLOOKUP($A131,地图配置辅助表!$A$3:$AP$245,地图配置辅助表!AJ$1,FALSE)</f>
        <v>0</v>
      </c>
      <c r="AY131" s="9">
        <f>VLOOKUP($A131,地图配置辅助表!$A$3:$AP$245,地图配置辅助表!AK$1,FALSE)</f>
        <v>0</v>
      </c>
      <c r="AZ131" s="9">
        <f>VLOOKUP($A131,地图配置辅助表!$A$3:$AP$245,地图配置辅助表!AL$1,FALSE)</f>
        <v>0</v>
      </c>
      <c r="BA131" s="9">
        <f>VLOOKUP($A131,地图配置辅助表!$A$3:$AP$245,地图配置辅助表!AM$1,FALSE)</f>
        <v>0</v>
      </c>
      <c r="BB131" s="9">
        <f>VLOOKUP($A131,地图配置辅助表!$A$3:$AP$245,地图配置辅助表!AN$1,FALSE)</f>
        <v>0</v>
      </c>
      <c r="BC131" s="9">
        <f>VLOOKUP($A131,地图配置辅助表!$A$3:$AP$245,地图配置辅助表!AO$1,FALSE)</f>
        <v>0</v>
      </c>
      <c r="BD131" s="9">
        <f>VLOOKUP($A131,地图配置辅助表!$A$3:$AP$245,地图配置辅助表!AP$1,FALSE)</f>
        <v>0</v>
      </c>
    </row>
    <row r="132" spans="1:56" s="9" customFormat="1" x14ac:dyDescent="0.15">
      <c r="A132">
        <f>地图配置辅助表!A133</f>
        <v>6205</v>
      </c>
      <c r="B132" s="8">
        <f>地图配置辅助表!B133</f>
        <v>2</v>
      </c>
      <c r="C132" s="9">
        <f>地图配置辅助表!C133</f>
        <v>6</v>
      </c>
      <c r="D132" s="9" t="str">
        <f>地图配置辅助表!D133</f>
        <v>精英陈浩南</v>
      </c>
      <c r="E132" s="9" t="str">
        <f t="shared" si="0"/>
        <v>挑战精英陈浩南</v>
      </c>
      <c r="F132" s="9" t="s">
        <v>0</v>
      </c>
      <c r="G132" s="9">
        <v>29</v>
      </c>
      <c r="H132" s="9">
        <v>200</v>
      </c>
      <c r="I132" s="9">
        <v>140</v>
      </c>
      <c r="J132" s="9">
        <v>200</v>
      </c>
      <c r="K132" s="9">
        <v>140</v>
      </c>
      <c r="L132" s="9" t="s">
        <v>203</v>
      </c>
      <c r="M132" s="9">
        <v>0</v>
      </c>
      <c r="R132" s="9" t="s">
        <v>155</v>
      </c>
      <c r="S132" s="11">
        <f>VLOOKUP($A132,地图配置辅助表!$A$3:$AP$245,地图配置辅助表!E$1,FALSE)</f>
        <v>14</v>
      </c>
      <c r="T132" s="9">
        <f>VLOOKUP($A132,地图配置辅助表!$A$3:$AP$245,地图配置辅助表!F$1,FALSE)</f>
        <v>87006</v>
      </c>
      <c r="U132" s="9">
        <f>VLOOKUP($A132,地图配置辅助表!$A$3:$AP$245,地图配置辅助表!G$1,FALSE)</f>
        <v>1</v>
      </c>
      <c r="V132" s="9">
        <f>VLOOKUP($A132,地图配置辅助表!$A$3:$AP$245,地图配置辅助表!H$1,FALSE)</f>
        <v>1</v>
      </c>
      <c r="W132" s="9">
        <f>VLOOKUP($A132,地图配置辅助表!$A$3:$AP$245,地图配置辅助表!I$1,FALSE)</f>
        <v>6</v>
      </c>
      <c r="X132" s="9">
        <f>VLOOKUP($A132,地图配置辅助表!$A$3:$AP$245,地图配置辅助表!J$1,FALSE)</f>
        <v>0</v>
      </c>
      <c r="Y132" s="9">
        <f>VLOOKUP($A132,地图配置辅助表!$A$3:$AP$245,地图配置辅助表!K$1,FALSE)</f>
        <v>0</v>
      </c>
      <c r="Z132" s="9">
        <f>VLOOKUP($A132,地图配置辅助表!$A$3:$AP$245,地图配置辅助表!L$1,FALSE)</f>
        <v>0</v>
      </c>
      <c r="AA132" s="9">
        <f>VLOOKUP($A132,地图配置辅助表!$A$3:$AP$245,地图配置辅助表!M$1,FALSE)</f>
        <v>2</v>
      </c>
      <c r="AB132">
        <f>VLOOKUP($A132,地图配置辅助表!$A$3:$AP$245,地图配置辅助表!N$1,FALSE)</f>
        <v>1</v>
      </c>
      <c r="AC132" s="9">
        <f>VLOOKUP($A132,地图配置辅助表!$A$3:$AP$245,地图配置辅助表!O$1,FALSE)</f>
        <v>3</v>
      </c>
      <c r="AD132">
        <f>VLOOKUP($A132,地图配置辅助表!$A$3:$AP$245,地图配置辅助表!P$1,FALSE)</f>
        <v>6204</v>
      </c>
      <c r="AE132" s="8">
        <f>VLOOKUP($A132,地图配置辅助表!$A$3:$AP$245,地图配置辅助表!Q$1,FALSE)</f>
        <v>3</v>
      </c>
      <c r="AF132" s="8">
        <f>VLOOKUP($A132,地图配置辅助表!$A$3:$AP$245,地图配置辅助表!R$1,FALSE)</f>
        <v>6005</v>
      </c>
      <c r="AG132" s="11">
        <f>VLOOKUP($A132,地图配置辅助表!$A$3:$AP$245,地图配置辅助表!S$1,FALSE)</f>
        <v>506205</v>
      </c>
      <c r="AH132" s="11">
        <f>VLOOKUP($A132,地图配置辅助表!$A$3:$AP$245,地图配置辅助表!T$1,FALSE)</f>
        <v>265004</v>
      </c>
      <c r="AI132" s="9">
        <f>VLOOKUP($A132,地图配置辅助表!$A$3:$AP$245,地图配置辅助表!U$1,FALSE)</f>
        <v>3</v>
      </c>
      <c r="AJ132" s="9">
        <f>VLOOKUP($A132,地图配置辅助表!$A$3:$AP$245,地图配置辅助表!V$1,FALSE)</f>
        <v>265001</v>
      </c>
      <c r="AK132" s="9">
        <f>VLOOKUP($A132,地图配置辅助表!$A$3:$AP$245,地图配置辅助表!W$1,FALSE)</f>
        <v>265002</v>
      </c>
      <c r="AL132" s="9">
        <f>VLOOKUP($A132,地图配置辅助表!$A$3:$AP$245,地图配置辅助表!X$1,FALSE)</f>
        <v>265003</v>
      </c>
      <c r="AM132" s="9">
        <f>VLOOKUP($A132,地图配置辅助表!$A$3:$AP$245,地图配置辅助表!Y$1,FALSE)</f>
        <v>0</v>
      </c>
      <c r="AN132" s="9">
        <f>VLOOKUP($A132,地图配置辅助表!$A$3:$AP$245,地图配置辅助表!Z$1,FALSE)</f>
        <v>0</v>
      </c>
      <c r="AO132" s="9">
        <f>VLOOKUP($A132,地图配置辅助表!$A$3:$AP$245,地图配置辅助表!AA$1,FALSE)</f>
        <v>0</v>
      </c>
      <c r="AP132" s="9">
        <f>VLOOKUP($A132,地图配置辅助表!$A$3:$AP$245,地图配置辅助表!AB$1,FALSE)</f>
        <v>0</v>
      </c>
      <c r="AQ132" s="9">
        <f>VLOOKUP($A132,地图配置辅助表!$A$3:$AP$245,地图配置辅助表!AC$1,FALSE)</f>
        <v>0</v>
      </c>
      <c r="AR132" s="9">
        <f>VLOOKUP($A132,地图配置辅助表!$A$3:$AP$245,地图配置辅助表!AD$1,FALSE)</f>
        <v>0</v>
      </c>
      <c r="AS132" s="9">
        <f>VLOOKUP($A132,地图配置辅助表!$A$3:$AP$245,地图配置辅助表!AE$1,FALSE)</f>
        <v>0</v>
      </c>
      <c r="AT132" s="9">
        <f>VLOOKUP($A132,地图配置辅助表!$A$3:$AP$245,地图配置辅助表!AF$1,FALSE)</f>
        <v>3</v>
      </c>
      <c r="AU132" s="9">
        <f>VLOOKUP($A132,地图配置辅助表!$A$3:$AP$245,地图配置辅助表!AG$1,FALSE)</f>
        <v>173</v>
      </c>
      <c r="AV132" s="9">
        <f>VLOOKUP($A132,地图配置辅助表!$A$3:$AP$245,地图配置辅助表!AH$1,FALSE)</f>
        <v>174</v>
      </c>
      <c r="AW132" s="9">
        <f>VLOOKUP($A132,地图配置辅助表!$A$3:$AP$245,地图配置辅助表!AI$1,FALSE)</f>
        <v>175</v>
      </c>
      <c r="AX132" s="9">
        <f>VLOOKUP($A132,地图配置辅助表!$A$3:$AP$245,地图配置辅助表!AJ$1,FALSE)</f>
        <v>0</v>
      </c>
      <c r="AY132" s="9">
        <f>VLOOKUP($A132,地图配置辅助表!$A$3:$AP$245,地图配置辅助表!AK$1,FALSE)</f>
        <v>0</v>
      </c>
      <c r="AZ132" s="9">
        <f>VLOOKUP($A132,地图配置辅助表!$A$3:$AP$245,地图配置辅助表!AL$1,FALSE)</f>
        <v>0</v>
      </c>
      <c r="BA132" s="9">
        <f>VLOOKUP($A132,地图配置辅助表!$A$3:$AP$245,地图配置辅助表!AM$1,FALSE)</f>
        <v>0</v>
      </c>
      <c r="BB132" s="9">
        <f>VLOOKUP($A132,地图配置辅助表!$A$3:$AP$245,地图配置辅助表!AN$1,FALSE)</f>
        <v>0</v>
      </c>
      <c r="BC132" s="9">
        <f>VLOOKUP($A132,地图配置辅助表!$A$3:$AP$245,地图配置辅助表!AO$1,FALSE)</f>
        <v>0</v>
      </c>
      <c r="BD132" s="9">
        <f>VLOOKUP($A132,地图配置辅助表!$A$3:$AP$245,地图配置辅助表!AP$1,FALSE)</f>
        <v>0</v>
      </c>
    </row>
    <row r="133" spans="1:56" s="9" customFormat="1" x14ac:dyDescent="0.15">
      <c r="A133">
        <f>地图配置辅助表!A134</f>
        <v>6206</v>
      </c>
      <c r="B133" s="8">
        <f>地图配置辅助表!B134</f>
        <v>2</v>
      </c>
      <c r="C133" s="9">
        <f>地图配置辅助表!C134</f>
        <v>6</v>
      </c>
      <c r="D133" s="9" t="str">
        <f>地图配置辅助表!D134</f>
        <v>精英毒牙</v>
      </c>
      <c r="E133" s="9" t="str">
        <f t="shared" si="0"/>
        <v>挑战精英毒牙</v>
      </c>
      <c r="F133" s="9" t="s">
        <v>0</v>
      </c>
      <c r="G133" s="9">
        <v>29</v>
      </c>
      <c r="H133" s="9">
        <v>200</v>
      </c>
      <c r="I133" s="9">
        <v>140</v>
      </c>
      <c r="J133" s="9">
        <v>200</v>
      </c>
      <c r="K133" s="9">
        <v>140</v>
      </c>
      <c r="L133" s="9" t="s">
        <v>514</v>
      </c>
      <c r="M133" s="9">
        <v>0</v>
      </c>
      <c r="R133" s="9" t="s">
        <v>156</v>
      </c>
      <c r="S133" s="11">
        <f>VLOOKUP($A133,地图配置辅助表!$A$3:$AP$245,地图配置辅助表!E$1,FALSE)</f>
        <v>14</v>
      </c>
      <c r="T133" s="9">
        <f>VLOOKUP($A133,地图配置辅助表!$A$3:$AP$245,地图配置辅助表!F$1,FALSE)</f>
        <v>94586</v>
      </c>
      <c r="U133" s="9">
        <f>VLOOKUP($A133,地图配置辅助表!$A$3:$AP$245,地图配置辅助表!G$1,FALSE)</f>
        <v>1</v>
      </c>
      <c r="V133" s="9">
        <f>VLOOKUP($A133,地图配置辅助表!$A$3:$AP$245,地图配置辅助表!H$1,FALSE)</f>
        <v>1</v>
      </c>
      <c r="W133" s="9">
        <f>VLOOKUP($A133,地图配置辅助表!$A$3:$AP$245,地图配置辅助表!I$1,FALSE)</f>
        <v>6</v>
      </c>
      <c r="X133" s="9">
        <f>VLOOKUP($A133,地图配置辅助表!$A$3:$AP$245,地图配置辅助表!J$1,FALSE)</f>
        <v>0</v>
      </c>
      <c r="Y133" s="9">
        <f>VLOOKUP($A133,地图配置辅助表!$A$3:$AP$245,地图配置辅助表!K$1,FALSE)</f>
        <v>0</v>
      </c>
      <c r="Z133" s="9">
        <f>VLOOKUP($A133,地图配置辅助表!$A$3:$AP$245,地图配置辅助表!L$1,FALSE)</f>
        <v>0</v>
      </c>
      <c r="AA133" s="9">
        <f>VLOOKUP($A133,地图配置辅助表!$A$3:$AP$245,地图配置辅助表!M$1,FALSE)</f>
        <v>2</v>
      </c>
      <c r="AB133">
        <f>VLOOKUP($A133,地图配置辅助表!$A$3:$AP$245,地图配置辅助表!N$1,FALSE)</f>
        <v>1</v>
      </c>
      <c r="AC133" s="9">
        <f>VLOOKUP($A133,地图配置辅助表!$A$3:$AP$245,地图配置辅助表!O$1,FALSE)</f>
        <v>3</v>
      </c>
      <c r="AD133">
        <f>VLOOKUP($A133,地图配置辅助表!$A$3:$AP$245,地图配置辅助表!P$1,FALSE)</f>
        <v>6205</v>
      </c>
      <c r="AE133" s="8">
        <f>VLOOKUP($A133,地图配置辅助表!$A$3:$AP$245,地图配置辅助表!Q$1,FALSE)</f>
        <v>3</v>
      </c>
      <c r="AF133" s="8">
        <f>VLOOKUP($A133,地图配置辅助表!$A$3:$AP$245,地图配置辅助表!R$1,FALSE)</f>
        <v>6006</v>
      </c>
      <c r="AG133" s="11">
        <f>VLOOKUP($A133,地图配置辅助表!$A$3:$AP$245,地图配置辅助表!S$1,FALSE)</f>
        <v>506206</v>
      </c>
      <c r="AH133" s="11">
        <f>VLOOKUP($A133,地图配置辅助表!$A$3:$AP$245,地图配置辅助表!T$1,FALSE)</f>
        <v>266004</v>
      </c>
      <c r="AI133" s="9">
        <f>VLOOKUP($A133,地图配置辅助表!$A$3:$AP$245,地图配置辅助表!U$1,FALSE)</f>
        <v>3</v>
      </c>
      <c r="AJ133" s="9">
        <f>VLOOKUP($A133,地图配置辅助表!$A$3:$AP$245,地图配置辅助表!V$1,FALSE)</f>
        <v>266001</v>
      </c>
      <c r="AK133" s="9">
        <f>VLOOKUP($A133,地图配置辅助表!$A$3:$AP$245,地图配置辅助表!W$1,FALSE)</f>
        <v>266002</v>
      </c>
      <c r="AL133" s="9">
        <f>VLOOKUP($A133,地图配置辅助表!$A$3:$AP$245,地图配置辅助表!X$1,FALSE)</f>
        <v>266003</v>
      </c>
      <c r="AM133" s="9">
        <f>VLOOKUP($A133,地图配置辅助表!$A$3:$AP$245,地图配置辅助表!Y$1,FALSE)</f>
        <v>0</v>
      </c>
      <c r="AN133" s="9">
        <f>VLOOKUP($A133,地图配置辅助表!$A$3:$AP$245,地图配置辅助表!Z$1,FALSE)</f>
        <v>0</v>
      </c>
      <c r="AO133" s="9">
        <f>VLOOKUP($A133,地图配置辅助表!$A$3:$AP$245,地图配置辅助表!AA$1,FALSE)</f>
        <v>0</v>
      </c>
      <c r="AP133" s="9">
        <f>VLOOKUP($A133,地图配置辅助表!$A$3:$AP$245,地图配置辅助表!AB$1,FALSE)</f>
        <v>0</v>
      </c>
      <c r="AQ133" s="9">
        <f>VLOOKUP($A133,地图配置辅助表!$A$3:$AP$245,地图配置辅助表!AC$1,FALSE)</f>
        <v>0</v>
      </c>
      <c r="AR133" s="9">
        <f>VLOOKUP($A133,地图配置辅助表!$A$3:$AP$245,地图配置辅助表!AD$1,FALSE)</f>
        <v>0</v>
      </c>
      <c r="AS133" s="9">
        <f>VLOOKUP($A133,地图配置辅助表!$A$3:$AP$245,地图配置辅助表!AE$1,FALSE)</f>
        <v>0</v>
      </c>
      <c r="AT133" s="9">
        <f>VLOOKUP($A133,地图配置辅助表!$A$3:$AP$245,地图配置辅助表!AF$1,FALSE)</f>
        <v>3</v>
      </c>
      <c r="AU133" s="9">
        <f>VLOOKUP($A133,地图配置辅助表!$A$3:$AP$245,地图配置辅助表!AG$1,FALSE)</f>
        <v>112</v>
      </c>
      <c r="AV133" s="9">
        <f>VLOOKUP($A133,地图配置辅助表!$A$3:$AP$245,地图配置辅助表!AH$1,FALSE)</f>
        <v>113</v>
      </c>
      <c r="AW133" s="9">
        <f>VLOOKUP($A133,地图配置辅助表!$A$3:$AP$245,地图配置辅助表!AI$1,FALSE)</f>
        <v>114</v>
      </c>
      <c r="AX133" s="9">
        <f>VLOOKUP($A133,地图配置辅助表!$A$3:$AP$245,地图配置辅助表!AJ$1,FALSE)</f>
        <v>0</v>
      </c>
      <c r="AY133" s="9">
        <f>VLOOKUP($A133,地图配置辅助表!$A$3:$AP$245,地图配置辅助表!AK$1,FALSE)</f>
        <v>0</v>
      </c>
      <c r="AZ133" s="9">
        <f>VLOOKUP($A133,地图配置辅助表!$A$3:$AP$245,地图配置辅助表!AL$1,FALSE)</f>
        <v>0</v>
      </c>
      <c r="BA133" s="9">
        <f>VLOOKUP($A133,地图配置辅助表!$A$3:$AP$245,地图配置辅助表!AM$1,FALSE)</f>
        <v>0</v>
      </c>
      <c r="BB133" s="9">
        <f>VLOOKUP($A133,地图配置辅助表!$A$3:$AP$245,地图配置辅助表!AN$1,FALSE)</f>
        <v>0</v>
      </c>
      <c r="BC133" s="9">
        <f>VLOOKUP($A133,地图配置辅助表!$A$3:$AP$245,地图配置辅助表!AO$1,FALSE)</f>
        <v>0</v>
      </c>
      <c r="BD133" s="9">
        <f>VLOOKUP($A133,地图配置辅助表!$A$3:$AP$245,地图配置辅助表!AP$1,FALSE)</f>
        <v>0</v>
      </c>
    </row>
    <row r="134" spans="1:56" s="9" customFormat="1" x14ac:dyDescent="0.15">
      <c r="A134">
        <f>地图配置辅助表!A135</f>
        <v>6207</v>
      </c>
      <c r="B134" s="8">
        <f>地图配置辅助表!B135</f>
        <v>2</v>
      </c>
      <c r="C134" s="9">
        <f>地图配置辅助表!C135</f>
        <v>6</v>
      </c>
      <c r="D134" s="9" t="str">
        <f>地图配置辅助表!D135</f>
        <v>精英织田</v>
      </c>
      <c r="E134" s="9" t="str">
        <f t="shared" si="0"/>
        <v>挑战精英织田</v>
      </c>
      <c r="F134" s="9" t="s">
        <v>0</v>
      </c>
      <c r="G134" s="9">
        <v>29</v>
      </c>
      <c r="H134" s="9">
        <v>200</v>
      </c>
      <c r="I134" s="9">
        <v>140</v>
      </c>
      <c r="J134" s="9">
        <v>200</v>
      </c>
      <c r="K134" s="9">
        <v>140</v>
      </c>
      <c r="L134" s="9" t="s">
        <v>515</v>
      </c>
      <c r="M134" s="9">
        <v>0</v>
      </c>
      <c r="R134" s="9" t="s">
        <v>521</v>
      </c>
      <c r="S134" s="11">
        <f>VLOOKUP($A134,地图配置辅助表!$A$3:$AP$245,地图配置辅助表!E$1,FALSE)</f>
        <v>14</v>
      </c>
      <c r="T134" s="9">
        <f>VLOOKUP($A134,地图配置辅助表!$A$3:$AP$245,地图配置辅助表!F$1,FALSE)</f>
        <v>102129</v>
      </c>
      <c r="U134" s="9">
        <f>VLOOKUP($A134,地图配置辅助表!$A$3:$AP$245,地图配置辅助表!G$1,FALSE)</f>
        <v>1</v>
      </c>
      <c r="V134" s="9">
        <f>VLOOKUP($A134,地图配置辅助表!$A$3:$AP$245,地图配置辅助表!H$1,FALSE)</f>
        <v>1</v>
      </c>
      <c r="W134" s="9">
        <f>VLOOKUP($A134,地图配置辅助表!$A$3:$AP$245,地图配置辅助表!I$1,FALSE)</f>
        <v>6</v>
      </c>
      <c r="X134" s="9">
        <f>VLOOKUP($A134,地图配置辅助表!$A$3:$AP$245,地图配置辅助表!J$1,FALSE)</f>
        <v>0</v>
      </c>
      <c r="Y134" s="9">
        <f>VLOOKUP($A134,地图配置辅助表!$A$3:$AP$245,地图配置辅助表!K$1,FALSE)</f>
        <v>0</v>
      </c>
      <c r="Z134" s="9">
        <f>VLOOKUP($A134,地图配置辅助表!$A$3:$AP$245,地图配置辅助表!L$1,FALSE)</f>
        <v>0</v>
      </c>
      <c r="AA134" s="9">
        <f>VLOOKUP($A134,地图配置辅助表!$A$3:$AP$245,地图配置辅助表!M$1,FALSE)</f>
        <v>2</v>
      </c>
      <c r="AB134">
        <f>VLOOKUP($A134,地图配置辅助表!$A$3:$AP$245,地图配置辅助表!N$1,FALSE)</f>
        <v>1</v>
      </c>
      <c r="AC134" s="9">
        <f>VLOOKUP($A134,地图配置辅助表!$A$3:$AP$245,地图配置辅助表!O$1,FALSE)</f>
        <v>3</v>
      </c>
      <c r="AD134">
        <f>VLOOKUP($A134,地图配置辅助表!$A$3:$AP$245,地图配置辅助表!P$1,FALSE)</f>
        <v>6206</v>
      </c>
      <c r="AE134" s="8">
        <f>VLOOKUP($A134,地图配置辅助表!$A$3:$AP$245,地图配置辅助表!Q$1,FALSE)</f>
        <v>3</v>
      </c>
      <c r="AF134" s="8">
        <f>VLOOKUP($A134,地图配置辅助表!$A$3:$AP$245,地图配置辅助表!R$1,FALSE)</f>
        <v>6007</v>
      </c>
      <c r="AG134" s="11">
        <f>VLOOKUP($A134,地图配置辅助表!$A$3:$AP$245,地图配置辅助表!S$1,FALSE)</f>
        <v>506207</v>
      </c>
      <c r="AH134" s="11">
        <f>VLOOKUP($A134,地图配置辅助表!$A$3:$AP$245,地图配置辅助表!T$1,FALSE)</f>
        <v>267004</v>
      </c>
      <c r="AI134" s="9">
        <f>VLOOKUP($A134,地图配置辅助表!$A$3:$AP$245,地图配置辅助表!U$1,FALSE)</f>
        <v>3</v>
      </c>
      <c r="AJ134" s="9">
        <f>VLOOKUP($A134,地图配置辅助表!$A$3:$AP$245,地图配置辅助表!V$1,FALSE)</f>
        <v>267001</v>
      </c>
      <c r="AK134" s="9">
        <f>VLOOKUP($A134,地图配置辅助表!$A$3:$AP$245,地图配置辅助表!W$1,FALSE)</f>
        <v>267002</v>
      </c>
      <c r="AL134" s="9">
        <f>VLOOKUP($A134,地图配置辅助表!$A$3:$AP$245,地图配置辅助表!X$1,FALSE)</f>
        <v>267003</v>
      </c>
      <c r="AM134" s="9">
        <f>VLOOKUP($A134,地图配置辅助表!$A$3:$AP$245,地图配置辅助表!Y$1,FALSE)</f>
        <v>0</v>
      </c>
      <c r="AN134" s="9">
        <f>VLOOKUP($A134,地图配置辅助表!$A$3:$AP$245,地图配置辅助表!Z$1,FALSE)</f>
        <v>0</v>
      </c>
      <c r="AO134" s="9">
        <f>VLOOKUP($A134,地图配置辅助表!$A$3:$AP$245,地图配置辅助表!AA$1,FALSE)</f>
        <v>0</v>
      </c>
      <c r="AP134" s="9">
        <f>VLOOKUP($A134,地图配置辅助表!$A$3:$AP$245,地图配置辅助表!AB$1,FALSE)</f>
        <v>0</v>
      </c>
      <c r="AQ134" s="9">
        <f>VLOOKUP($A134,地图配置辅助表!$A$3:$AP$245,地图配置辅助表!AC$1,FALSE)</f>
        <v>0</v>
      </c>
      <c r="AR134" s="9">
        <f>VLOOKUP($A134,地图配置辅助表!$A$3:$AP$245,地图配置辅助表!AD$1,FALSE)</f>
        <v>0</v>
      </c>
      <c r="AS134" s="9">
        <f>VLOOKUP($A134,地图配置辅助表!$A$3:$AP$245,地图配置辅助表!AE$1,FALSE)</f>
        <v>0</v>
      </c>
      <c r="AT134" s="9">
        <f>VLOOKUP($A134,地图配置辅助表!$A$3:$AP$245,地图配置辅助表!AF$1,FALSE)</f>
        <v>3</v>
      </c>
      <c r="AU134" s="9">
        <f>VLOOKUP($A134,地图配置辅助表!$A$3:$AP$245,地图配置辅助表!AG$1,FALSE)</f>
        <v>219</v>
      </c>
      <c r="AV134" s="9">
        <f>VLOOKUP($A134,地图配置辅助表!$A$3:$AP$245,地图配置辅助表!AH$1,FALSE)</f>
        <v>220</v>
      </c>
      <c r="AW134" s="9">
        <f>VLOOKUP($A134,地图配置辅助表!$A$3:$AP$245,地图配置辅助表!AI$1,FALSE)</f>
        <v>221</v>
      </c>
      <c r="AX134" s="9">
        <f>VLOOKUP($A134,地图配置辅助表!$A$3:$AP$245,地图配置辅助表!AJ$1,FALSE)</f>
        <v>0</v>
      </c>
      <c r="AY134" s="9">
        <f>VLOOKUP($A134,地图配置辅助表!$A$3:$AP$245,地图配置辅助表!AK$1,FALSE)</f>
        <v>0</v>
      </c>
      <c r="AZ134" s="9">
        <f>VLOOKUP($A134,地图配置辅助表!$A$3:$AP$245,地图配置辅助表!AL$1,FALSE)</f>
        <v>0</v>
      </c>
      <c r="BA134" s="9">
        <f>VLOOKUP($A134,地图配置辅助表!$A$3:$AP$245,地图配置辅助表!AM$1,FALSE)</f>
        <v>0</v>
      </c>
      <c r="BB134" s="9">
        <f>VLOOKUP($A134,地图配置辅助表!$A$3:$AP$245,地图配置辅助表!AN$1,FALSE)</f>
        <v>0</v>
      </c>
      <c r="BC134" s="9">
        <f>VLOOKUP($A134,地图配置辅助表!$A$3:$AP$245,地图配置辅助表!AO$1,FALSE)</f>
        <v>0</v>
      </c>
      <c r="BD134" s="9">
        <f>VLOOKUP($A134,地图配置辅助表!$A$3:$AP$245,地图配置辅助表!AP$1,FALSE)</f>
        <v>0</v>
      </c>
    </row>
    <row r="135" spans="1:56" s="9" customFormat="1" x14ac:dyDescent="0.15">
      <c r="A135">
        <f>地图配置辅助表!A136</f>
        <v>6208</v>
      </c>
      <c r="B135" s="8">
        <f>地图配置辅助表!B136</f>
        <v>2</v>
      </c>
      <c r="C135" s="9">
        <f>地图配置辅助表!C136</f>
        <v>6</v>
      </c>
      <c r="D135" s="9" t="str">
        <f>地图配置辅助表!D136</f>
        <v>精英太乙部下</v>
      </c>
      <c r="E135" s="9" t="str">
        <f t="shared" si="0"/>
        <v>挑战精英太乙部下</v>
      </c>
      <c r="F135" s="9" t="s">
        <v>0</v>
      </c>
      <c r="G135" s="9">
        <v>29</v>
      </c>
      <c r="H135" s="9">
        <v>200</v>
      </c>
      <c r="I135" s="9">
        <v>140</v>
      </c>
      <c r="J135" s="9">
        <v>200</v>
      </c>
      <c r="K135" s="9">
        <v>140</v>
      </c>
      <c r="L135" s="9" t="s">
        <v>516</v>
      </c>
      <c r="M135" s="9">
        <v>0</v>
      </c>
      <c r="R135" s="9" t="s">
        <v>522</v>
      </c>
      <c r="S135" s="11">
        <f>VLOOKUP($A135,地图配置辅助表!$A$3:$AP$245,地图配置辅助表!E$1,FALSE)</f>
        <v>14</v>
      </c>
      <c r="T135" s="9">
        <f>VLOOKUP($A135,地图配置辅助表!$A$3:$AP$245,地图配置辅助表!F$1,FALSE)</f>
        <v>112880</v>
      </c>
      <c r="U135" s="9">
        <f>VLOOKUP($A135,地图配置辅助表!$A$3:$AP$245,地图配置辅助表!G$1,FALSE)</f>
        <v>1</v>
      </c>
      <c r="V135" s="9">
        <f>VLOOKUP($A135,地图配置辅助表!$A$3:$AP$245,地图配置辅助表!H$1,FALSE)</f>
        <v>1</v>
      </c>
      <c r="W135" s="9">
        <f>VLOOKUP($A135,地图配置辅助表!$A$3:$AP$245,地图配置辅助表!I$1,FALSE)</f>
        <v>6</v>
      </c>
      <c r="X135" s="9">
        <f>VLOOKUP($A135,地图配置辅助表!$A$3:$AP$245,地图配置辅助表!J$1,FALSE)</f>
        <v>0</v>
      </c>
      <c r="Y135" s="9">
        <f>VLOOKUP($A135,地图配置辅助表!$A$3:$AP$245,地图配置辅助表!K$1,FALSE)</f>
        <v>0</v>
      </c>
      <c r="Z135" s="9">
        <f>VLOOKUP($A135,地图配置辅助表!$A$3:$AP$245,地图配置辅助表!L$1,FALSE)</f>
        <v>0</v>
      </c>
      <c r="AA135" s="9">
        <f>VLOOKUP($A135,地图配置辅助表!$A$3:$AP$245,地图配置辅助表!M$1,FALSE)</f>
        <v>2</v>
      </c>
      <c r="AB135">
        <f>VLOOKUP($A135,地图配置辅助表!$A$3:$AP$245,地图配置辅助表!N$1,FALSE)</f>
        <v>1</v>
      </c>
      <c r="AC135" s="9">
        <f>VLOOKUP($A135,地图配置辅助表!$A$3:$AP$245,地图配置辅助表!O$1,FALSE)</f>
        <v>3</v>
      </c>
      <c r="AD135">
        <f>VLOOKUP($A135,地图配置辅助表!$A$3:$AP$245,地图配置辅助表!P$1,FALSE)</f>
        <v>6207</v>
      </c>
      <c r="AE135" s="8">
        <f>VLOOKUP($A135,地图配置辅助表!$A$3:$AP$245,地图配置辅助表!Q$1,FALSE)</f>
        <v>3</v>
      </c>
      <c r="AF135" s="8">
        <f>VLOOKUP($A135,地图配置辅助表!$A$3:$AP$245,地图配置辅助表!R$1,FALSE)</f>
        <v>6008</v>
      </c>
      <c r="AG135" s="11">
        <f>VLOOKUP($A135,地图配置辅助表!$A$3:$AP$245,地图配置辅助表!S$1,FALSE)</f>
        <v>506208</v>
      </c>
      <c r="AH135" s="11">
        <f>VLOOKUP($A135,地图配置辅助表!$A$3:$AP$245,地图配置辅助表!T$1,FALSE)</f>
        <v>268004</v>
      </c>
      <c r="AI135" s="9">
        <f>VLOOKUP($A135,地图配置辅助表!$A$3:$AP$245,地图配置辅助表!U$1,FALSE)</f>
        <v>3</v>
      </c>
      <c r="AJ135" s="9">
        <f>VLOOKUP($A135,地图配置辅助表!$A$3:$AP$245,地图配置辅助表!V$1,FALSE)</f>
        <v>268001</v>
      </c>
      <c r="AK135" s="9">
        <f>VLOOKUP($A135,地图配置辅助表!$A$3:$AP$245,地图配置辅助表!W$1,FALSE)</f>
        <v>268002</v>
      </c>
      <c r="AL135" s="9">
        <f>VLOOKUP($A135,地图配置辅助表!$A$3:$AP$245,地图配置辅助表!X$1,FALSE)</f>
        <v>268003</v>
      </c>
      <c r="AM135" s="9">
        <f>VLOOKUP($A135,地图配置辅助表!$A$3:$AP$245,地图配置辅助表!Y$1,FALSE)</f>
        <v>0</v>
      </c>
      <c r="AN135" s="9">
        <f>VLOOKUP($A135,地图配置辅助表!$A$3:$AP$245,地图配置辅助表!Z$1,FALSE)</f>
        <v>0</v>
      </c>
      <c r="AO135" s="9">
        <f>VLOOKUP($A135,地图配置辅助表!$A$3:$AP$245,地图配置辅助表!AA$1,FALSE)</f>
        <v>0</v>
      </c>
      <c r="AP135" s="9">
        <f>VLOOKUP($A135,地图配置辅助表!$A$3:$AP$245,地图配置辅助表!AB$1,FALSE)</f>
        <v>0</v>
      </c>
      <c r="AQ135" s="9">
        <f>VLOOKUP($A135,地图配置辅助表!$A$3:$AP$245,地图配置辅助表!AC$1,FALSE)</f>
        <v>0</v>
      </c>
      <c r="AR135" s="9">
        <f>VLOOKUP($A135,地图配置辅助表!$A$3:$AP$245,地图配置辅助表!AD$1,FALSE)</f>
        <v>0</v>
      </c>
      <c r="AS135" s="9">
        <f>VLOOKUP($A135,地图配置辅助表!$A$3:$AP$245,地图配置辅助表!AE$1,FALSE)</f>
        <v>0</v>
      </c>
      <c r="AT135" s="9">
        <f>VLOOKUP($A135,地图配置辅助表!$A$3:$AP$245,地图配置辅助表!AF$1,FALSE)</f>
        <v>3</v>
      </c>
      <c r="AU135" s="9">
        <f>VLOOKUP($A135,地图配置辅助表!$A$3:$AP$245,地图配置辅助表!AG$1,FALSE)</f>
        <v>219</v>
      </c>
      <c r="AV135" s="9">
        <f>VLOOKUP($A135,地图配置辅助表!$A$3:$AP$245,地图配置辅助表!AH$1,FALSE)</f>
        <v>220</v>
      </c>
      <c r="AW135" s="9">
        <f>VLOOKUP($A135,地图配置辅助表!$A$3:$AP$245,地图配置辅助表!AI$1,FALSE)</f>
        <v>221</v>
      </c>
      <c r="AX135" s="9">
        <f>VLOOKUP($A135,地图配置辅助表!$A$3:$AP$245,地图配置辅助表!AJ$1,FALSE)</f>
        <v>0</v>
      </c>
      <c r="AY135" s="9">
        <f>VLOOKUP($A135,地图配置辅助表!$A$3:$AP$245,地图配置辅助表!AK$1,FALSE)</f>
        <v>0</v>
      </c>
      <c r="AZ135" s="9">
        <f>VLOOKUP($A135,地图配置辅助表!$A$3:$AP$245,地图配置辅助表!AL$1,FALSE)</f>
        <v>0</v>
      </c>
      <c r="BA135" s="9">
        <f>VLOOKUP($A135,地图配置辅助表!$A$3:$AP$245,地图配置辅助表!AM$1,FALSE)</f>
        <v>0</v>
      </c>
      <c r="BB135" s="9">
        <f>VLOOKUP($A135,地图配置辅助表!$A$3:$AP$245,地图配置辅助表!AN$1,FALSE)</f>
        <v>0</v>
      </c>
      <c r="BC135" s="9">
        <f>VLOOKUP($A135,地图配置辅助表!$A$3:$AP$245,地图配置辅助表!AO$1,FALSE)</f>
        <v>0</v>
      </c>
      <c r="BD135" s="9">
        <f>VLOOKUP($A135,地图配置辅助表!$A$3:$AP$245,地图配置辅助表!AP$1,FALSE)</f>
        <v>0</v>
      </c>
    </row>
    <row r="136" spans="1:56" s="9" customFormat="1" x14ac:dyDescent="0.15">
      <c r="A136">
        <f>地图配置辅助表!A137</f>
        <v>6209</v>
      </c>
      <c r="B136" s="8">
        <f>地图配置辅助表!B137</f>
        <v>2</v>
      </c>
      <c r="C136" s="9">
        <f>地图配置辅助表!C137</f>
        <v>6</v>
      </c>
      <c r="D136" s="9" t="str">
        <f>地图配置辅助表!D137</f>
        <v>精英太乙</v>
      </c>
      <c r="E136" s="9" t="str">
        <f t="shared" si="0"/>
        <v>挑战精英太乙</v>
      </c>
      <c r="F136" s="9" t="s">
        <v>0</v>
      </c>
      <c r="G136" s="9">
        <v>29</v>
      </c>
      <c r="H136" s="9">
        <v>200</v>
      </c>
      <c r="I136" s="9">
        <v>140</v>
      </c>
      <c r="J136" s="9">
        <v>200</v>
      </c>
      <c r="K136" s="9">
        <v>140</v>
      </c>
      <c r="L136" s="9" t="s">
        <v>517</v>
      </c>
      <c r="M136" s="9">
        <v>0</v>
      </c>
      <c r="R136" s="9" t="s">
        <v>523</v>
      </c>
      <c r="S136" s="11">
        <f>VLOOKUP($A136,地图配置辅助表!$A$3:$AP$245,地图配置辅助表!E$1,FALSE)</f>
        <v>14</v>
      </c>
      <c r="T136" s="9">
        <f>VLOOKUP($A136,地图配置辅助表!$A$3:$AP$245,地图配置辅助表!F$1,FALSE)</f>
        <v>121562</v>
      </c>
      <c r="U136" s="9">
        <f>VLOOKUP($A136,地图配置辅助表!$A$3:$AP$245,地图配置辅助表!G$1,FALSE)</f>
        <v>1</v>
      </c>
      <c r="V136" s="9">
        <f>VLOOKUP($A136,地图配置辅助表!$A$3:$AP$245,地图配置辅助表!H$1,FALSE)</f>
        <v>1</v>
      </c>
      <c r="W136" s="9">
        <f>VLOOKUP($A136,地图配置辅助表!$A$3:$AP$245,地图配置辅助表!I$1,FALSE)</f>
        <v>6</v>
      </c>
      <c r="X136" s="9">
        <f>VLOOKUP($A136,地图配置辅助表!$A$3:$AP$245,地图配置辅助表!J$1,FALSE)</f>
        <v>0</v>
      </c>
      <c r="Y136" s="9">
        <f>VLOOKUP($A136,地图配置辅助表!$A$3:$AP$245,地图配置辅助表!K$1,FALSE)</f>
        <v>0</v>
      </c>
      <c r="Z136" s="9">
        <f>VLOOKUP($A136,地图配置辅助表!$A$3:$AP$245,地图配置辅助表!L$1,FALSE)</f>
        <v>0</v>
      </c>
      <c r="AA136" s="9">
        <f>VLOOKUP($A136,地图配置辅助表!$A$3:$AP$245,地图配置辅助表!M$1,FALSE)</f>
        <v>2</v>
      </c>
      <c r="AB136">
        <f>VLOOKUP($A136,地图配置辅助表!$A$3:$AP$245,地图配置辅助表!N$1,FALSE)</f>
        <v>1</v>
      </c>
      <c r="AC136" s="9">
        <f>VLOOKUP($A136,地图配置辅助表!$A$3:$AP$245,地图配置辅助表!O$1,FALSE)</f>
        <v>3</v>
      </c>
      <c r="AD136">
        <f>VLOOKUP($A136,地图配置辅助表!$A$3:$AP$245,地图配置辅助表!P$1,FALSE)</f>
        <v>6208</v>
      </c>
      <c r="AE136" s="8">
        <f>VLOOKUP($A136,地图配置辅助表!$A$3:$AP$245,地图配置辅助表!Q$1,FALSE)</f>
        <v>3</v>
      </c>
      <c r="AF136" s="8">
        <f>VLOOKUP($A136,地图配置辅助表!$A$3:$AP$245,地图配置辅助表!R$1,FALSE)</f>
        <v>6009</v>
      </c>
      <c r="AG136" s="11">
        <f>VLOOKUP($A136,地图配置辅助表!$A$3:$AP$245,地图配置辅助表!S$1,FALSE)</f>
        <v>506209</v>
      </c>
      <c r="AH136" s="11">
        <f>VLOOKUP($A136,地图配置辅助表!$A$3:$AP$245,地图配置辅助表!T$1,FALSE)</f>
        <v>269004</v>
      </c>
      <c r="AI136" s="9">
        <f>VLOOKUP($A136,地图配置辅助表!$A$3:$AP$245,地图配置辅助表!U$1,FALSE)</f>
        <v>3</v>
      </c>
      <c r="AJ136" s="9">
        <f>VLOOKUP($A136,地图配置辅助表!$A$3:$AP$245,地图配置辅助表!V$1,FALSE)</f>
        <v>269001</v>
      </c>
      <c r="AK136" s="9">
        <f>VLOOKUP($A136,地图配置辅助表!$A$3:$AP$245,地图配置辅助表!W$1,FALSE)</f>
        <v>269002</v>
      </c>
      <c r="AL136" s="9">
        <f>VLOOKUP($A136,地图配置辅助表!$A$3:$AP$245,地图配置辅助表!X$1,FALSE)</f>
        <v>269003</v>
      </c>
      <c r="AM136" s="9">
        <f>VLOOKUP($A136,地图配置辅助表!$A$3:$AP$245,地图配置辅助表!Y$1,FALSE)</f>
        <v>0</v>
      </c>
      <c r="AN136" s="9">
        <f>VLOOKUP($A136,地图配置辅助表!$A$3:$AP$245,地图配置辅助表!Z$1,FALSE)</f>
        <v>0</v>
      </c>
      <c r="AO136" s="9">
        <f>VLOOKUP($A136,地图配置辅助表!$A$3:$AP$245,地图配置辅助表!AA$1,FALSE)</f>
        <v>0</v>
      </c>
      <c r="AP136" s="9">
        <f>VLOOKUP($A136,地图配置辅助表!$A$3:$AP$245,地图配置辅助表!AB$1,FALSE)</f>
        <v>0</v>
      </c>
      <c r="AQ136" s="9">
        <f>VLOOKUP($A136,地图配置辅助表!$A$3:$AP$245,地图配置辅助表!AC$1,FALSE)</f>
        <v>0</v>
      </c>
      <c r="AR136" s="9">
        <f>VLOOKUP($A136,地图配置辅助表!$A$3:$AP$245,地图配置辅助表!AD$1,FALSE)</f>
        <v>0</v>
      </c>
      <c r="AS136" s="9">
        <f>VLOOKUP($A136,地图配置辅助表!$A$3:$AP$245,地图配置辅助表!AE$1,FALSE)</f>
        <v>0</v>
      </c>
      <c r="AT136" s="9">
        <f>VLOOKUP($A136,地图配置辅助表!$A$3:$AP$245,地图配置辅助表!AF$1,FALSE)</f>
        <v>3</v>
      </c>
      <c r="AU136" s="9">
        <f>VLOOKUP($A136,地图配置辅助表!$A$3:$AP$245,地图配置辅助表!AG$1,FALSE)</f>
        <v>219</v>
      </c>
      <c r="AV136" s="9">
        <f>VLOOKUP($A136,地图配置辅助表!$A$3:$AP$245,地图配置辅助表!AH$1,FALSE)</f>
        <v>220</v>
      </c>
      <c r="AW136" s="9">
        <f>VLOOKUP($A136,地图配置辅助表!$A$3:$AP$245,地图配置辅助表!AI$1,FALSE)</f>
        <v>221</v>
      </c>
      <c r="AX136" s="9">
        <f>VLOOKUP($A136,地图配置辅助表!$A$3:$AP$245,地图配置辅助表!AJ$1,FALSE)</f>
        <v>0</v>
      </c>
      <c r="AY136" s="9">
        <f>VLOOKUP($A136,地图配置辅助表!$A$3:$AP$245,地图配置辅助表!AK$1,FALSE)</f>
        <v>0</v>
      </c>
      <c r="AZ136" s="9">
        <f>VLOOKUP($A136,地图配置辅助表!$A$3:$AP$245,地图配置辅助表!AL$1,FALSE)</f>
        <v>0</v>
      </c>
      <c r="BA136" s="9">
        <f>VLOOKUP($A136,地图配置辅助表!$A$3:$AP$245,地图配置辅助表!AM$1,FALSE)</f>
        <v>0</v>
      </c>
      <c r="BB136" s="9">
        <f>VLOOKUP($A136,地图配置辅助表!$A$3:$AP$245,地图配置辅助表!AN$1,FALSE)</f>
        <v>0</v>
      </c>
      <c r="BC136" s="9">
        <f>VLOOKUP($A136,地图配置辅助表!$A$3:$AP$245,地图配置辅助表!AO$1,FALSE)</f>
        <v>0</v>
      </c>
      <c r="BD136" s="9">
        <f>VLOOKUP($A136,地图配置辅助表!$A$3:$AP$245,地图配置辅助表!AP$1,FALSE)</f>
        <v>0</v>
      </c>
    </row>
    <row r="137" spans="1:56" s="9" customFormat="1" x14ac:dyDescent="0.15">
      <c r="A137">
        <f>地图配置辅助表!A138</f>
        <v>7201</v>
      </c>
      <c r="B137" s="8">
        <f>地图配置辅助表!B138</f>
        <v>2</v>
      </c>
      <c r="C137" s="9">
        <f>地图配置辅助表!C138</f>
        <v>7</v>
      </c>
      <c r="D137" s="9" t="str">
        <f>地图配置辅助表!D138</f>
        <v>精英白虎堂</v>
      </c>
      <c r="E137" s="9" t="str">
        <f t="shared" si="0"/>
        <v>挑战精英白虎堂</v>
      </c>
      <c r="F137" s="9" t="s">
        <v>0</v>
      </c>
      <c r="G137" s="9">
        <v>29</v>
      </c>
      <c r="H137" s="9">
        <v>200</v>
      </c>
      <c r="I137" s="9">
        <v>140</v>
      </c>
      <c r="J137" s="9">
        <v>200</v>
      </c>
      <c r="K137" s="9">
        <v>140</v>
      </c>
      <c r="L137" s="9" t="s">
        <v>204</v>
      </c>
      <c r="M137" s="9">
        <v>0</v>
      </c>
      <c r="R137" s="9" t="s">
        <v>157</v>
      </c>
      <c r="S137" s="11">
        <f>VLOOKUP($A137,地图配置辅助表!$A$3:$AP$245,地图配置辅助表!E$1,FALSE)</f>
        <v>14</v>
      </c>
      <c r="T137" s="9">
        <f>VLOOKUP($A137,地图配置辅助表!$A$3:$AP$245,地图配置辅助表!F$1,FALSE)</f>
        <v>113170</v>
      </c>
      <c r="U137" s="9">
        <f>VLOOKUP($A137,地图配置辅助表!$A$3:$AP$245,地图配置辅助表!G$1,FALSE)</f>
        <v>1</v>
      </c>
      <c r="V137" s="9">
        <f>VLOOKUP($A137,地图配置辅助表!$A$3:$AP$245,地图配置辅助表!H$1,FALSE)</f>
        <v>1</v>
      </c>
      <c r="W137" s="9">
        <f>VLOOKUP($A137,地图配置辅助表!$A$3:$AP$245,地图配置辅助表!I$1,FALSE)</f>
        <v>6</v>
      </c>
      <c r="X137" s="9">
        <f>VLOOKUP($A137,地图配置辅助表!$A$3:$AP$245,地图配置辅助表!J$1,FALSE)</f>
        <v>0</v>
      </c>
      <c r="Y137" s="9">
        <f>VLOOKUP($A137,地图配置辅助表!$A$3:$AP$245,地图配置辅助表!K$1,FALSE)</f>
        <v>0</v>
      </c>
      <c r="Z137" s="9">
        <f>VLOOKUP($A137,地图配置辅助表!$A$3:$AP$245,地图配置辅助表!L$1,FALSE)</f>
        <v>0</v>
      </c>
      <c r="AA137" s="9">
        <f>VLOOKUP($A137,地图配置辅助表!$A$3:$AP$245,地图配置辅助表!M$1,FALSE)</f>
        <v>2</v>
      </c>
      <c r="AB137">
        <f>VLOOKUP($A137,地图配置辅助表!$A$3:$AP$245,地图配置辅助表!N$1,FALSE)</f>
        <v>1</v>
      </c>
      <c r="AC137" s="9">
        <f>VLOOKUP($A137,地图配置辅助表!$A$3:$AP$245,地图配置辅助表!O$1,FALSE)</f>
        <v>3</v>
      </c>
      <c r="AD137">
        <f>VLOOKUP($A137,地图配置辅助表!$A$3:$AP$245,地图配置辅助表!P$1,FALSE)</f>
        <v>6209</v>
      </c>
      <c r="AE137" s="8">
        <f>VLOOKUP($A137,地图配置辅助表!$A$3:$AP$245,地图配置辅助表!Q$1,FALSE)</f>
        <v>3</v>
      </c>
      <c r="AF137" s="8">
        <f>VLOOKUP($A137,地图配置辅助表!$A$3:$AP$245,地图配置辅助表!R$1,FALSE)</f>
        <v>7001</v>
      </c>
      <c r="AG137" s="11">
        <f>VLOOKUP($A137,地图配置辅助表!$A$3:$AP$245,地图配置辅助表!S$1,FALSE)</f>
        <v>507201</v>
      </c>
      <c r="AH137" s="11">
        <f>VLOOKUP($A137,地图配置辅助表!$A$3:$AP$245,地图配置辅助表!T$1,FALSE)</f>
        <v>271004</v>
      </c>
      <c r="AI137" s="9">
        <f>VLOOKUP($A137,地图配置辅助表!$A$3:$AP$245,地图配置辅助表!U$1,FALSE)</f>
        <v>3</v>
      </c>
      <c r="AJ137" s="9">
        <f>VLOOKUP($A137,地图配置辅助表!$A$3:$AP$245,地图配置辅助表!V$1,FALSE)</f>
        <v>271001</v>
      </c>
      <c r="AK137" s="9">
        <f>VLOOKUP($A137,地图配置辅助表!$A$3:$AP$245,地图配置辅助表!W$1,FALSE)</f>
        <v>271002</v>
      </c>
      <c r="AL137" s="9">
        <f>VLOOKUP($A137,地图配置辅助表!$A$3:$AP$245,地图配置辅助表!X$1,FALSE)</f>
        <v>271003</v>
      </c>
      <c r="AM137" s="9">
        <f>VLOOKUP($A137,地图配置辅助表!$A$3:$AP$245,地图配置辅助表!Y$1,FALSE)</f>
        <v>0</v>
      </c>
      <c r="AN137" s="9">
        <f>VLOOKUP($A137,地图配置辅助表!$A$3:$AP$245,地图配置辅助表!Z$1,FALSE)</f>
        <v>0</v>
      </c>
      <c r="AO137" s="9">
        <f>VLOOKUP($A137,地图配置辅助表!$A$3:$AP$245,地图配置辅助表!AA$1,FALSE)</f>
        <v>0</v>
      </c>
      <c r="AP137" s="9">
        <f>VLOOKUP($A137,地图配置辅助表!$A$3:$AP$245,地图配置辅助表!AB$1,FALSE)</f>
        <v>0</v>
      </c>
      <c r="AQ137" s="9">
        <f>VLOOKUP($A137,地图配置辅助表!$A$3:$AP$245,地图配置辅助表!AC$1,FALSE)</f>
        <v>0</v>
      </c>
      <c r="AR137" s="9">
        <f>VLOOKUP($A137,地图配置辅助表!$A$3:$AP$245,地图配置辅助表!AD$1,FALSE)</f>
        <v>0</v>
      </c>
      <c r="AS137" s="9">
        <f>VLOOKUP($A137,地图配置辅助表!$A$3:$AP$245,地图配置辅助表!AE$1,FALSE)</f>
        <v>0</v>
      </c>
      <c r="AT137" s="9">
        <f>VLOOKUP($A137,地图配置辅助表!$A$3:$AP$245,地图配置辅助表!AF$1,FALSE)</f>
        <v>3</v>
      </c>
      <c r="AU137" s="9">
        <f>VLOOKUP($A137,地图配置辅助表!$A$3:$AP$245,地图配置辅助表!AG$1,FALSE)</f>
        <v>428</v>
      </c>
      <c r="AV137" s="9">
        <f>VLOOKUP($A137,地图配置辅助表!$A$3:$AP$245,地图配置辅助表!AH$1,FALSE)</f>
        <v>429</v>
      </c>
      <c r="AW137" s="9">
        <f>VLOOKUP($A137,地图配置辅助表!$A$3:$AP$245,地图配置辅助表!AI$1,FALSE)</f>
        <v>448</v>
      </c>
      <c r="AX137" s="9">
        <f>VLOOKUP($A137,地图配置辅助表!$A$3:$AP$245,地图配置辅助表!AJ$1,FALSE)</f>
        <v>0</v>
      </c>
      <c r="AY137" s="9">
        <f>VLOOKUP($A137,地图配置辅助表!$A$3:$AP$245,地图配置辅助表!AK$1,FALSE)</f>
        <v>0</v>
      </c>
      <c r="AZ137" s="9">
        <f>VLOOKUP($A137,地图配置辅助表!$A$3:$AP$245,地图配置辅助表!AL$1,FALSE)</f>
        <v>0</v>
      </c>
      <c r="BA137" s="9">
        <f>VLOOKUP($A137,地图配置辅助表!$A$3:$AP$245,地图配置辅助表!AM$1,FALSE)</f>
        <v>0</v>
      </c>
      <c r="BB137" s="9">
        <f>VLOOKUP($A137,地图配置辅助表!$A$3:$AP$245,地图配置辅助表!AN$1,FALSE)</f>
        <v>0</v>
      </c>
      <c r="BC137" s="9">
        <f>VLOOKUP($A137,地图配置辅助表!$A$3:$AP$245,地图配置辅助表!AO$1,FALSE)</f>
        <v>0</v>
      </c>
      <c r="BD137" s="9">
        <f>VLOOKUP($A137,地图配置辅助表!$A$3:$AP$245,地图配置辅助表!AP$1,FALSE)</f>
        <v>0</v>
      </c>
    </row>
    <row r="138" spans="1:56" s="9" customFormat="1" x14ac:dyDescent="0.15">
      <c r="A138">
        <f>地图配置辅助表!A139</f>
        <v>7202</v>
      </c>
      <c r="B138" s="8">
        <f>地图配置辅助表!B139</f>
        <v>2</v>
      </c>
      <c r="C138" s="9">
        <f>地图配置辅助表!C139</f>
        <v>7</v>
      </c>
      <c r="D138" s="9" t="str">
        <f>地图配置辅助表!D139</f>
        <v>精英玄武堂</v>
      </c>
      <c r="E138" s="9" t="str">
        <f t="shared" si="0"/>
        <v>挑战精英玄武堂</v>
      </c>
      <c r="F138" s="9" t="s">
        <v>0</v>
      </c>
      <c r="G138" s="9">
        <v>29</v>
      </c>
      <c r="H138" s="9">
        <v>200</v>
      </c>
      <c r="I138" s="9">
        <v>140</v>
      </c>
      <c r="J138" s="9">
        <v>200</v>
      </c>
      <c r="K138" s="9">
        <v>140</v>
      </c>
      <c r="L138" s="9" t="s">
        <v>205</v>
      </c>
      <c r="M138" s="9">
        <v>0</v>
      </c>
      <c r="R138" s="9" t="s">
        <v>158</v>
      </c>
      <c r="S138" s="11">
        <f>VLOOKUP($A138,地图配置辅助表!$A$3:$AP$245,地图配置辅助表!E$1,FALSE)</f>
        <v>14</v>
      </c>
      <c r="T138" s="9">
        <f>VLOOKUP($A138,地图配置辅助表!$A$3:$AP$245,地图配置辅助表!F$1,FALSE)</f>
        <v>121970</v>
      </c>
      <c r="U138" s="9">
        <f>VLOOKUP($A138,地图配置辅助表!$A$3:$AP$245,地图配置辅助表!G$1,FALSE)</f>
        <v>1</v>
      </c>
      <c r="V138" s="9">
        <f>VLOOKUP($A138,地图配置辅助表!$A$3:$AP$245,地图配置辅助表!H$1,FALSE)</f>
        <v>1</v>
      </c>
      <c r="W138" s="9">
        <f>VLOOKUP($A138,地图配置辅助表!$A$3:$AP$245,地图配置辅助表!I$1,FALSE)</f>
        <v>6</v>
      </c>
      <c r="X138" s="9">
        <f>VLOOKUP($A138,地图配置辅助表!$A$3:$AP$245,地图配置辅助表!J$1,FALSE)</f>
        <v>0</v>
      </c>
      <c r="Y138" s="9">
        <f>VLOOKUP($A138,地图配置辅助表!$A$3:$AP$245,地图配置辅助表!K$1,FALSE)</f>
        <v>0</v>
      </c>
      <c r="Z138" s="9">
        <f>VLOOKUP($A138,地图配置辅助表!$A$3:$AP$245,地图配置辅助表!L$1,FALSE)</f>
        <v>0</v>
      </c>
      <c r="AA138" s="9">
        <f>VLOOKUP($A138,地图配置辅助表!$A$3:$AP$245,地图配置辅助表!M$1,FALSE)</f>
        <v>2</v>
      </c>
      <c r="AB138">
        <f>VLOOKUP($A138,地图配置辅助表!$A$3:$AP$245,地图配置辅助表!N$1,FALSE)</f>
        <v>1</v>
      </c>
      <c r="AC138" s="9">
        <f>VLOOKUP($A138,地图配置辅助表!$A$3:$AP$245,地图配置辅助表!O$1,FALSE)</f>
        <v>3</v>
      </c>
      <c r="AD138">
        <f>VLOOKUP($A138,地图配置辅助表!$A$3:$AP$245,地图配置辅助表!P$1,FALSE)</f>
        <v>7201</v>
      </c>
      <c r="AE138" s="8">
        <f>VLOOKUP($A138,地图配置辅助表!$A$3:$AP$245,地图配置辅助表!Q$1,FALSE)</f>
        <v>3</v>
      </c>
      <c r="AF138" s="8">
        <f>VLOOKUP($A138,地图配置辅助表!$A$3:$AP$245,地图配置辅助表!R$1,FALSE)</f>
        <v>7002</v>
      </c>
      <c r="AG138" s="11">
        <f>VLOOKUP($A138,地图配置辅助表!$A$3:$AP$245,地图配置辅助表!S$1,FALSE)</f>
        <v>507202</v>
      </c>
      <c r="AH138" s="11">
        <f>VLOOKUP($A138,地图配置辅助表!$A$3:$AP$245,地图配置辅助表!T$1,FALSE)</f>
        <v>272004</v>
      </c>
      <c r="AI138" s="9">
        <f>VLOOKUP($A138,地图配置辅助表!$A$3:$AP$245,地图配置辅助表!U$1,FALSE)</f>
        <v>3</v>
      </c>
      <c r="AJ138" s="9">
        <f>VLOOKUP($A138,地图配置辅助表!$A$3:$AP$245,地图配置辅助表!V$1,FALSE)</f>
        <v>272001</v>
      </c>
      <c r="AK138" s="9">
        <f>VLOOKUP($A138,地图配置辅助表!$A$3:$AP$245,地图配置辅助表!W$1,FALSE)</f>
        <v>272002</v>
      </c>
      <c r="AL138" s="9">
        <f>VLOOKUP($A138,地图配置辅助表!$A$3:$AP$245,地图配置辅助表!X$1,FALSE)</f>
        <v>272003</v>
      </c>
      <c r="AM138" s="9">
        <f>VLOOKUP($A138,地图配置辅助表!$A$3:$AP$245,地图配置辅助表!Y$1,FALSE)</f>
        <v>0</v>
      </c>
      <c r="AN138" s="9">
        <f>VLOOKUP($A138,地图配置辅助表!$A$3:$AP$245,地图配置辅助表!Z$1,FALSE)</f>
        <v>0</v>
      </c>
      <c r="AO138" s="9">
        <f>VLOOKUP($A138,地图配置辅助表!$A$3:$AP$245,地图配置辅助表!AA$1,FALSE)</f>
        <v>0</v>
      </c>
      <c r="AP138" s="9">
        <f>VLOOKUP($A138,地图配置辅助表!$A$3:$AP$245,地图配置辅助表!AB$1,FALSE)</f>
        <v>0</v>
      </c>
      <c r="AQ138" s="9">
        <f>VLOOKUP($A138,地图配置辅助表!$A$3:$AP$245,地图配置辅助表!AC$1,FALSE)</f>
        <v>0</v>
      </c>
      <c r="AR138" s="9">
        <f>VLOOKUP($A138,地图配置辅助表!$A$3:$AP$245,地图配置辅助表!AD$1,FALSE)</f>
        <v>0</v>
      </c>
      <c r="AS138" s="9">
        <f>VLOOKUP($A138,地图配置辅助表!$A$3:$AP$245,地图配置辅助表!AE$1,FALSE)</f>
        <v>0</v>
      </c>
      <c r="AT138" s="9">
        <f>VLOOKUP($A138,地图配置辅助表!$A$3:$AP$245,地图配置辅助表!AF$1,FALSE)</f>
        <v>3</v>
      </c>
      <c r="AU138" s="9">
        <f>VLOOKUP($A138,地图配置辅助表!$A$3:$AP$245,地图配置辅助表!AG$1,FALSE)</f>
        <v>410</v>
      </c>
      <c r="AV138" s="9">
        <f>VLOOKUP($A138,地图配置辅助表!$A$3:$AP$245,地图配置辅助表!AH$1,FALSE)</f>
        <v>411</v>
      </c>
      <c r="AW138" s="9">
        <f>VLOOKUP($A138,地图配置辅助表!$A$3:$AP$245,地图配置辅助表!AI$1,FALSE)</f>
        <v>412</v>
      </c>
      <c r="AX138" s="9">
        <f>VLOOKUP($A138,地图配置辅助表!$A$3:$AP$245,地图配置辅助表!AJ$1,FALSE)</f>
        <v>0</v>
      </c>
      <c r="AY138" s="9">
        <f>VLOOKUP($A138,地图配置辅助表!$A$3:$AP$245,地图配置辅助表!AK$1,FALSE)</f>
        <v>0</v>
      </c>
      <c r="AZ138" s="9">
        <f>VLOOKUP($A138,地图配置辅助表!$A$3:$AP$245,地图配置辅助表!AL$1,FALSE)</f>
        <v>0</v>
      </c>
      <c r="BA138" s="9">
        <f>VLOOKUP($A138,地图配置辅助表!$A$3:$AP$245,地图配置辅助表!AM$1,FALSE)</f>
        <v>0</v>
      </c>
      <c r="BB138" s="9">
        <f>VLOOKUP($A138,地图配置辅助表!$A$3:$AP$245,地图配置辅助表!AN$1,FALSE)</f>
        <v>0</v>
      </c>
      <c r="BC138" s="9">
        <f>VLOOKUP($A138,地图配置辅助表!$A$3:$AP$245,地图配置辅助表!AO$1,FALSE)</f>
        <v>0</v>
      </c>
      <c r="BD138" s="9">
        <f>VLOOKUP($A138,地图配置辅助表!$A$3:$AP$245,地图配置辅助表!AP$1,FALSE)</f>
        <v>0</v>
      </c>
    </row>
    <row r="139" spans="1:56" s="9" customFormat="1" x14ac:dyDescent="0.15">
      <c r="A139">
        <f>地图配置辅助表!A140</f>
        <v>7203</v>
      </c>
      <c r="B139" s="8">
        <f>地图配置辅助表!B140</f>
        <v>2</v>
      </c>
      <c r="C139" s="9">
        <f>地图配置辅助表!C140</f>
        <v>7</v>
      </c>
      <c r="D139" s="9" t="str">
        <f>地图配置辅助表!D140</f>
        <v>精英朱雀堂</v>
      </c>
      <c r="E139" s="9" t="str">
        <f t="shared" si="0"/>
        <v>挑战精英朱雀堂</v>
      </c>
      <c r="F139" s="9" t="s">
        <v>0</v>
      </c>
      <c r="G139" s="9">
        <v>29</v>
      </c>
      <c r="H139" s="9">
        <v>200</v>
      </c>
      <c r="I139" s="9">
        <v>140</v>
      </c>
      <c r="J139" s="9">
        <v>200</v>
      </c>
      <c r="K139" s="9">
        <v>140</v>
      </c>
      <c r="L139" s="9" t="s">
        <v>206</v>
      </c>
      <c r="M139" s="9">
        <v>0</v>
      </c>
      <c r="R139" s="9" t="s">
        <v>159</v>
      </c>
      <c r="S139" s="11">
        <f>VLOOKUP($A139,地图配置辅助表!$A$3:$AP$245,地图配置辅助表!E$1,FALSE)</f>
        <v>14</v>
      </c>
      <c r="T139" s="9">
        <f>VLOOKUP($A139,地图配置辅助表!$A$3:$AP$245,地图配置辅助表!F$1,FALSE)</f>
        <v>131338</v>
      </c>
      <c r="U139" s="9">
        <f>VLOOKUP($A139,地图配置辅助表!$A$3:$AP$245,地图配置辅助表!G$1,FALSE)</f>
        <v>1</v>
      </c>
      <c r="V139" s="9">
        <f>VLOOKUP($A139,地图配置辅助表!$A$3:$AP$245,地图配置辅助表!H$1,FALSE)</f>
        <v>1</v>
      </c>
      <c r="W139" s="9">
        <f>VLOOKUP($A139,地图配置辅助表!$A$3:$AP$245,地图配置辅助表!I$1,FALSE)</f>
        <v>6</v>
      </c>
      <c r="X139" s="9">
        <f>VLOOKUP($A139,地图配置辅助表!$A$3:$AP$245,地图配置辅助表!J$1,FALSE)</f>
        <v>0</v>
      </c>
      <c r="Y139" s="9">
        <f>VLOOKUP($A139,地图配置辅助表!$A$3:$AP$245,地图配置辅助表!K$1,FALSE)</f>
        <v>0</v>
      </c>
      <c r="Z139" s="9">
        <f>VLOOKUP($A139,地图配置辅助表!$A$3:$AP$245,地图配置辅助表!L$1,FALSE)</f>
        <v>0</v>
      </c>
      <c r="AA139" s="9">
        <f>VLOOKUP($A139,地图配置辅助表!$A$3:$AP$245,地图配置辅助表!M$1,FALSE)</f>
        <v>2</v>
      </c>
      <c r="AB139">
        <f>VLOOKUP($A139,地图配置辅助表!$A$3:$AP$245,地图配置辅助表!N$1,FALSE)</f>
        <v>1</v>
      </c>
      <c r="AC139" s="9">
        <f>VLOOKUP($A139,地图配置辅助表!$A$3:$AP$245,地图配置辅助表!O$1,FALSE)</f>
        <v>3</v>
      </c>
      <c r="AD139">
        <f>VLOOKUP($A139,地图配置辅助表!$A$3:$AP$245,地图配置辅助表!P$1,FALSE)</f>
        <v>7202</v>
      </c>
      <c r="AE139" s="8">
        <f>VLOOKUP($A139,地图配置辅助表!$A$3:$AP$245,地图配置辅助表!Q$1,FALSE)</f>
        <v>3</v>
      </c>
      <c r="AF139" s="8">
        <f>VLOOKUP($A139,地图配置辅助表!$A$3:$AP$245,地图配置辅助表!R$1,FALSE)</f>
        <v>7003</v>
      </c>
      <c r="AG139" s="11">
        <f>VLOOKUP($A139,地图配置辅助表!$A$3:$AP$245,地图配置辅助表!S$1,FALSE)</f>
        <v>507203</v>
      </c>
      <c r="AH139" s="11">
        <f>VLOOKUP($A139,地图配置辅助表!$A$3:$AP$245,地图配置辅助表!T$1,FALSE)</f>
        <v>273004</v>
      </c>
      <c r="AI139" s="9">
        <f>VLOOKUP($A139,地图配置辅助表!$A$3:$AP$245,地图配置辅助表!U$1,FALSE)</f>
        <v>3</v>
      </c>
      <c r="AJ139" s="9">
        <f>VLOOKUP($A139,地图配置辅助表!$A$3:$AP$245,地图配置辅助表!V$1,FALSE)</f>
        <v>273001</v>
      </c>
      <c r="AK139" s="9">
        <f>VLOOKUP($A139,地图配置辅助表!$A$3:$AP$245,地图配置辅助表!W$1,FALSE)</f>
        <v>273002</v>
      </c>
      <c r="AL139" s="9">
        <f>VLOOKUP($A139,地图配置辅助表!$A$3:$AP$245,地图配置辅助表!X$1,FALSE)</f>
        <v>273003</v>
      </c>
      <c r="AM139" s="9">
        <f>VLOOKUP($A139,地图配置辅助表!$A$3:$AP$245,地图配置辅助表!Y$1,FALSE)</f>
        <v>0</v>
      </c>
      <c r="AN139" s="9">
        <f>VLOOKUP($A139,地图配置辅助表!$A$3:$AP$245,地图配置辅助表!Z$1,FALSE)</f>
        <v>0</v>
      </c>
      <c r="AO139" s="9">
        <f>VLOOKUP($A139,地图配置辅助表!$A$3:$AP$245,地图配置辅助表!AA$1,FALSE)</f>
        <v>0</v>
      </c>
      <c r="AP139" s="9">
        <f>VLOOKUP($A139,地图配置辅助表!$A$3:$AP$245,地图配置辅助表!AB$1,FALSE)</f>
        <v>0</v>
      </c>
      <c r="AQ139" s="9">
        <f>VLOOKUP($A139,地图配置辅助表!$A$3:$AP$245,地图配置辅助表!AC$1,FALSE)</f>
        <v>0</v>
      </c>
      <c r="AR139" s="9">
        <f>VLOOKUP($A139,地图配置辅助表!$A$3:$AP$245,地图配置辅助表!AD$1,FALSE)</f>
        <v>0</v>
      </c>
      <c r="AS139" s="9">
        <f>VLOOKUP($A139,地图配置辅助表!$A$3:$AP$245,地图配置辅助表!AE$1,FALSE)</f>
        <v>0</v>
      </c>
      <c r="AT139" s="9">
        <f>VLOOKUP($A139,地图配置辅助表!$A$3:$AP$245,地图配置辅助表!AF$1,FALSE)</f>
        <v>3</v>
      </c>
      <c r="AU139" s="9">
        <f>VLOOKUP($A139,地图配置辅助表!$A$3:$AP$245,地图配置辅助表!AG$1,FALSE)</f>
        <v>366</v>
      </c>
      <c r="AV139" s="9">
        <f>VLOOKUP($A139,地图配置辅助表!$A$3:$AP$245,地图配置辅助表!AH$1,FALSE)</f>
        <v>367</v>
      </c>
      <c r="AW139" s="9">
        <f>VLOOKUP($A139,地图配置辅助表!$A$3:$AP$245,地图配置辅助表!AI$1,FALSE)</f>
        <v>368</v>
      </c>
      <c r="AX139" s="9">
        <f>VLOOKUP($A139,地图配置辅助表!$A$3:$AP$245,地图配置辅助表!AJ$1,FALSE)</f>
        <v>0</v>
      </c>
      <c r="AY139" s="9">
        <f>VLOOKUP($A139,地图配置辅助表!$A$3:$AP$245,地图配置辅助表!AK$1,FALSE)</f>
        <v>0</v>
      </c>
      <c r="AZ139" s="9">
        <f>VLOOKUP($A139,地图配置辅助表!$A$3:$AP$245,地图配置辅助表!AL$1,FALSE)</f>
        <v>0</v>
      </c>
      <c r="BA139" s="9">
        <f>VLOOKUP($A139,地图配置辅助表!$A$3:$AP$245,地图配置辅助表!AM$1,FALSE)</f>
        <v>0</v>
      </c>
      <c r="BB139" s="9">
        <f>VLOOKUP($A139,地图配置辅助表!$A$3:$AP$245,地图配置辅助表!AN$1,FALSE)</f>
        <v>0</v>
      </c>
      <c r="BC139" s="9">
        <f>VLOOKUP($A139,地图配置辅助表!$A$3:$AP$245,地图配置辅助表!AO$1,FALSE)</f>
        <v>0</v>
      </c>
      <c r="BD139" s="9">
        <f>VLOOKUP($A139,地图配置辅助表!$A$3:$AP$245,地图配置辅助表!AP$1,FALSE)</f>
        <v>0</v>
      </c>
    </row>
    <row r="140" spans="1:56" s="9" customFormat="1" x14ac:dyDescent="0.15">
      <c r="A140">
        <f>地图配置辅助表!A141</f>
        <v>7204</v>
      </c>
      <c r="B140" s="8">
        <f>地图配置辅助表!B141</f>
        <v>2</v>
      </c>
      <c r="C140" s="9">
        <f>地图配置辅助表!C141</f>
        <v>7</v>
      </c>
      <c r="D140" s="9" t="str">
        <f>地图配置辅助表!D141</f>
        <v>精英青龙堂</v>
      </c>
      <c r="E140" s="9" t="str">
        <f t="shared" si="0"/>
        <v>挑战精英青龙堂</v>
      </c>
      <c r="F140" s="9" t="s">
        <v>0</v>
      </c>
      <c r="G140" s="9">
        <v>29</v>
      </c>
      <c r="H140" s="9">
        <v>200</v>
      </c>
      <c r="I140" s="9">
        <v>140</v>
      </c>
      <c r="J140" s="9">
        <v>200</v>
      </c>
      <c r="K140" s="9">
        <v>140</v>
      </c>
      <c r="L140" s="9" t="s">
        <v>207</v>
      </c>
      <c r="M140" s="9">
        <v>0</v>
      </c>
      <c r="R140" s="9" t="s">
        <v>160</v>
      </c>
      <c r="S140" s="11">
        <f>VLOOKUP($A140,地图配置辅助表!$A$3:$AP$245,地图配置辅助表!E$1,FALSE)</f>
        <v>14</v>
      </c>
      <c r="T140" s="9">
        <f>VLOOKUP($A140,地图配置辅助表!$A$3:$AP$245,地图配置辅助表!F$1,FALSE)</f>
        <v>141853</v>
      </c>
      <c r="U140" s="9">
        <f>VLOOKUP($A140,地图配置辅助表!$A$3:$AP$245,地图配置辅助表!G$1,FALSE)</f>
        <v>1</v>
      </c>
      <c r="V140" s="9">
        <f>VLOOKUP($A140,地图配置辅助表!$A$3:$AP$245,地图配置辅助表!H$1,FALSE)</f>
        <v>1</v>
      </c>
      <c r="W140" s="9">
        <f>VLOOKUP($A140,地图配置辅助表!$A$3:$AP$245,地图配置辅助表!I$1,FALSE)</f>
        <v>6</v>
      </c>
      <c r="X140" s="9">
        <f>VLOOKUP($A140,地图配置辅助表!$A$3:$AP$245,地图配置辅助表!J$1,FALSE)</f>
        <v>0</v>
      </c>
      <c r="Y140" s="9">
        <f>VLOOKUP($A140,地图配置辅助表!$A$3:$AP$245,地图配置辅助表!K$1,FALSE)</f>
        <v>0</v>
      </c>
      <c r="Z140" s="9">
        <f>VLOOKUP($A140,地图配置辅助表!$A$3:$AP$245,地图配置辅助表!L$1,FALSE)</f>
        <v>0</v>
      </c>
      <c r="AA140" s="9">
        <f>VLOOKUP($A140,地图配置辅助表!$A$3:$AP$245,地图配置辅助表!M$1,FALSE)</f>
        <v>2</v>
      </c>
      <c r="AB140">
        <f>VLOOKUP($A140,地图配置辅助表!$A$3:$AP$245,地图配置辅助表!N$1,FALSE)</f>
        <v>1</v>
      </c>
      <c r="AC140" s="9">
        <f>VLOOKUP($A140,地图配置辅助表!$A$3:$AP$245,地图配置辅助表!O$1,FALSE)</f>
        <v>3</v>
      </c>
      <c r="AD140">
        <f>VLOOKUP($A140,地图配置辅助表!$A$3:$AP$245,地图配置辅助表!P$1,FALSE)</f>
        <v>7203</v>
      </c>
      <c r="AE140" s="8">
        <f>VLOOKUP($A140,地图配置辅助表!$A$3:$AP$245,地图配置辅助表!Q$1,FALSE)</f>
        <v>3</v>
      </c>
      <c r="AF140" s="8">
        <f>VLOOKUP($A140,地图配置辅助表!$A$3:$AP$245,地图配置辅助表!R$1,FALSE)</f>
        <v>7004</v>
      </c>
      <c r="AG140" s="11">
        <f>VLOOKUP($A140,地图配置辅助表!$A$3:$AP$245,地图配置辅助表!S$1,FALSE)</f>
        <v>507204</v>
      </c>
      <c r="AH140" s="11">
        <f>VLOOKUP($A140,地图配置辅助表!$A$3:$AP$245,地图配置辅助表!T$1,FALSE)</f>
        <v>274004</v>
      </c>
      <c r="AI140" s="9">
        <f>VLOOKUP($A140,地图配置辅助表!$A$3:$AP$245,地图配置辅助表!U$1,FALSE)</f>
        <v>3</v>
      </c>
      <c r="AJ140" s="9">
        <f>VLOOKUP($A140,地图配置辅助表!$A$3:$AP$245,地图配置辅助表!V$1,FALSE)</f>
        <v>274001</v>
      </c>
      <c r="AK140" s="9">
        <f>VLOOKUP($A140,地图配置辅助表!$A$3:$AP$245,地图配置辅助表!W$1,FALSE)</f>
        <v>274002</v>
      </c>
      <c r="AL140" s="9">
        <f>VLOOKUP($A140,地图配置辅助表!$A$3:$AP$245,地图配置辅助表!X$1,FALSE)</f>
        <v>274003</v>
      </c>
      <c r="AM140" s="9">
        <f>VLOOKUP($A140,地图配置辅助表!$A$3:$AP$245,地图配置辅助表!Y$1,FALSE)</f>
        <v>0</v>
      </c>
      <c r="AN140" s="9">
        <f>VLOOKUP($A140,地图配置辅助表!$A$3:$AP$245,地图配置辅助表!Z$1,FALSE)</f>
        <v>0</v>
      </c>
      <c r="AO140" s="9">
        <f>VLOOKUP($A140,地图配置辅助表!$A$3:$AP$245,地图配置辅助表!AA$1,FALSE)</f>
        <v>0</v>
      </c>
      <c r="AP140" s="9">
        <f>VLOOKUP($A140,地图配置辅助表!$A$3:$AP$245,地图配置辅助表!AB$1,FALSE)</f>
        <v>0</v>
      </c>
      <c r="AQ140" s="9">
        <f>VLOOKUP($A140,地图配置辅助表!$A$3:$AP$245,地图配置辅助表!AC$1,FALSE)</f>
        <v>0</v>
      </c>
      <c r="AR140" s="9">
        <f>VLOOKUP($A140,地图配置辅助表!$A$3:$AP$245,地图配置辅助表!AD$1,FALSE)</f>
        <v>0</v>
      </c>
      <c r="AS140" s="9">
        <f>VLOOKUP($A140,地图配置辅助表!$A$3:$AP$245,地图配置辅助表!AE$1,FALSE)</f>
        <v>0</v>
      </c>
      <c r="AT140" s="9">
        <f>VLOOKUP($A140,地图配置辅助表!$A$3:$AP$245,地图配置辅助表!AF$1,FALSE)</f>
        <v>3</v>
      </c>
      <c r="AU140" s="9">
        <f>VLOOKUP($A140,地图配置辅助表!$A$3:$AP$245,地图配置辅助表!AG$1,FALSE)</f>
        <v>366</v>
      </c>
      <c r="AV140" s="9">
        <f>VLOOKUP($A140,地图配置辅助表!$A$3:$AP$245,地图配置辅助表!AH$1,FALSE)</f>
        <v>367</v>
      </c>
      <c r="AW140" s="9">
        <f>VLOOKUP($A140,地图配置辅助表!$A$3:$AP$245,地图配置辅助表!AI$1,FALSE)</f>
        <v>368</v>
      </c>
      <c r="AX140" s="9">
        <f>VLOOKUP($A140,地图配置辅助表!$A$3:$AP$245,地图配置辅助表!AJ$1,FALSE)</f>
        <v>0</v>
      </c>
      <c r="AY140" s="9">
        <f>VLOOKUP($A140,地图配置辅助表!$A$3:$AP$245,地图配置辅助表!AK$1,FALSE)</f>
        <v>0</v>
      </c>
      <c r="AZ140" s="9">
        <f>VLOOKUP($A140,地图配置辅助表!$A$3:$AP$245,地图配置辅助表!AL$1,FALSE)</f>
        <v>0</v>
      </c>
      <c r="BA140" s="9">
        <f>VLOOKUP($A140,地图配置辅助表!$A$3:$AP$245,地图配置辅助表!AM$1,FALSE)</f>
        <v>0</v>
      </c>
      <c r="BB140" s="9">
        <f>VLOOKUP($A140,地图配置辅助表!$A$3:$AP$245,地图配置辅助表!AN$1,FALSE)</f>
        <v>0</v>
      </c>
      <c r="BC140" s="9">
        <f>VLOOKUP($A140,地图配置辅助表!$A$3:$AP$245,地图配置辅助表!AO$1,FALSE)</f>
        <v>0</v>
      </c>
      <c r="BD140" s="9">
        <f>VLOOKUP($A140,地图配置辅助表!$A$3:$AP$245,地图配置辅助表!AP$1,FALSE)</f>
        <v>0</v>
      </c>
    </row>
    <row r="141" spans="1:56" s="9" customFormat="1" x14ac:dyDescent="0.15">
      <c r="A141">
        <f>地图配置辅助表!A142</f>
        <v>7205</v>
      </c>
      <c r="B141" s="8">
        <f>地图配置辅助表!B142</f>
        <v>2</v>
      </c>
      <c r="C141" s="9">
        <f>地图配置辅助表!C142</f>
        <v>7</v>
      </c>
      <c r="D141" s="9" t="str">
        <f>地图配置辅助表!D142</f>
        <v>精英佐维</v>
      </c>
      <c r="E141" s="9" t="str">
        <f t="shared" si="0"/>
        <v>挑战精英佐维</v>
      </c>
      <c r="F141" s="9" t="s">
        <v>0</v>
      </c>
      <c r="G141" s="9">
        <v>29</v>
      </c>
      <c r="H141" s="9">
        <v>200</v>
      </c>
      <c r="I141" s="9">
        <v>140</v>
      </c>
      <c r="J141" s="9">
        <v>200</v>
      </c>
      <c r="K141" s="9">
        <v>140</v>
      </c>
      <c r="L141" s="9" t="s">
        <v>208</v>
      </c>
      <c r="M141" s="9">
        <v>0</v>
      </c>
      <c r="R141" s="9" t="s">
        <v>161</v>
      </c>
      <c r="S141" s="11">
        <f>VLOOKUP($A141,地图配置辅助表!$A$3:$AP$245,地图配置辅助表!E$1,FALSE)</f>
        <v>14</v>
      </c>
      <c r="T141" s="9">
        <f>VLOOKUP($A141,地图配置辅助表!$A$3:$AP$245,地图配置辅助表!F$1,FALSE)</f>
        <v>152838</v>
      </c>
      <c r="U141" s="9">
        <f>VLOOKUP($A141,地图配置辅助表!$A$3:$AP$245,地图配置辅助表!G$1,FALSE)</f>
        <v>1</v>
      </c>
      <c r="V141" s="9">
        <f>VLOOKUP($A141,地图配置辅助表!$A$3:$AP$245,地图配置辅助表!H$1,FALSE)</f>
        <v>1</v>
      </c>
      <c r="W141" s="9">
        <f>VLOOKUP($A141,地图配置辅助表!$A$3:$AP$245,地图配置辅助表!I$1,FALSE)</f>
        <v>6</v>
      </c>
      <c r="X141" s="9">
        <f>VLOOKUP($A141,地图配置辅助表!$A$3:$AP$245,地图配置辅助表!J$1,FALSE)</f>
        <v>0</v>
      </c>
      <c r="Y141" s="9">
        <f>VLOOKUP($A141,地图配置辅助表!$A$3:$AP$245,地图配置辅助表!K$1,FALSE)</f>
        <v>0</v>
      </c>
      <c r="Z141" s="9">
        <f>VLOOKUP($A141,地图配置辅助表!$A$3:$AP$245,地图配置辅助表!L$1,FALSE)</f>
        <v>0</v>
      </c>
      <c r="AA141" s="9">
        <f>VLOOKUP($A141,地图配置辅助表!$A$3:$AP$245,地图配置辅助表!M$1,FALSE)</f>
        <v>2</v>
      </c>
      <c r="AB141">
        <f>VLOOKUP($A141,地图配置辅助表!$A$3:$AP$245,地图配置辅助表!N$1,FALSE)</f>
        <v>1</v>
      </c>
      <c r="AC141" s="9">
        <f>VLOOKUP($A141,地图配置辅助表!$A$3:$AP$245,地图配置辅助表!O$1,FALSE)</f>
        <v>3</v>
      </c>
      <c r="AD141">
        <f>VLOOKUP($A141,地图配置辅助表!$A$3:$AP$245,地图配置辅助表!P$1,FALSE)</f>
        <v>7204</v>
      </c>
      <c r="AE141" s="8">
        <f>VLOOKUP($A141,地图配置辅助表!$A$3:$AP$245,地图配置辅助表!Q$1,FALSE)</f>
        <v>3</v>
      </c>
      <c r="AF141" s="8">
        <f>VLOOKUP($A141,地图配置辅助表!$A$3:$AP$245,地图配置辅助表!R$1,FALSE)</f>
        <v>7005</v>
      </c>
      <c r="AG141" s="11">
        <f>VLOOKUP($A141,地图配置辅助表!$A$3:$AP$245,地图配置辅助表!S$1,FALSE)</f>
        <v>507205</v>
      </c>
      <c r="AH141" s="11">
        <f>VLOOKUP($A141,地图配置辅助表!$A$3:$AP$245,地图配置辅助表!T$1,FALSE)</f>
        <v>275004</v>
      </c>
      <c r="AI141" s="9">
        <f>VLOOKUP($A141,地图配置辅助表!$A$3:$AP$245,地图配置辅助表!U$1,FALSE)</f>
        <v>3</v>
      </c>
      <c r="AJ141" s="9">
        <f>VLOOKUP($A141,地图配置辅助表!$A$3:$AP$245,地图配置辅助表!V$1,FALSE)</f>
        <v>275001</v>
      </c>
      <c r="AK141" s="9">
        <f>VLOOKUP($A141,地图配置辅助表!$A$3:$AP$245,地图配置辅助表!W$1,FALSE)</f>
        <v>275002</v>
      </c>
      <c r="AL141" s="9">
        <f>VLOOKUP($A141,地图配置辅助表!$A$3:$AP$245,地图配置辅助表!X$1,FALSE)</f>
        <v>275003</v>
      </c>
      <c r="AM141" s="9">
        <f>VLOOKUP($A141,地图配置辅助表!$A$3:$AP$245,地图配置辅助表!Y$1,FALSE)</f>
        <v>0</v>
      </c>
      <c r="AN141" s="9">
        <f>VLOOKUP($A141,地图配置辅助表!$A$3:$AP$245,地图配置辅助表!Z$1,FALSE)</f>
        <v>0</v>
      </c>
      <c r="AO141" s="9">
        <f>VLOOKUP($A141,地图配置辅助表!$A$3:$AP$245,地图配置辅助表!AA$1,FALSE)</f>
        <v>0</v>
      </c>
      <c r="AP141" s="9">
        <f>VLOOKUP($A141,地图配置辅助表!$A$3:$AP$245,地图配置辅助表!AB$1,FALSE)</f>
        <v>0</v>
      </c>
      <c r="AQ141" s="9">
        <f>VLOOKUP($A141,地图配置辅助表!$A$3:$AP$245,地图配置辅助表!AC$1,FALSE)</f>
        <v>0</v>
      </c>
      <c r="AR141" s="9">
        <f>VLOOKUP($A141,地图配置辅助表!$A$3:$AP$245,地图配置辅助表!AD$1,FALSE)</f>
        <v>0</v>
      </c>
      <c r="AS141" s="9">
        <f>VLOOKUP($A141,地图配置辅助表!$A$3:$AP$245,地图配置辅助表!AE$1,FALSE)</f>
        <v>0</v>
      </c>
      <c r="AT141" s="9">
        <f>VLOOKUP($A141,地图配置辅助表!$A$3:$AP$245,地图配置辅助表!AF$1,FALSE)</f>
        <v>3</v>
      </c>
      <c r="AU141" s="9">
        <f>VLOOKUP($A141,地图配置辅助表!$A$3:$AP$245,地图配置辅助表!AG$1,FALSE)</f>
        <v>274</v>
      </c>
      <c r="AV141" s="9">
        <f>VLOOKUP($A141,地图配置辅助表!$A$3:$AP$245,地图配置辅助表!AH$1,FALSE)</f>
        <v>275</v>
      </c>
      <c r="AW141" s="9">
        <f>VLOOKUP($A141,地图配置辅助表!$A$3:$AP$245,地图配置辅助表!AI$1,FALSE)</f>
        <v>276</v>
      </c>
      <c r="AX141" s="9">
        <f>VLOOKUP($A141,地图配置辅助表!$A$3:$AP$245,地图配置辅助表!AJ$1,FALSE)</f>
        <v>0</v>
      </c>
      <c r="AY141" s="9">
        <f>VLOOKUP($A141,地图配置辅助表!$A$3:$AP$245,地图配置辅助表!AK$1,FALSE)</f>
        <v>0</v>
      </c>
      <c r="AZ141" s="9">
        <f>VLOOKUP($A141,地图配置辅助表!$A$3:$AP$245,地图配置辅助表!AL$1,FALSE)</f>
        <v>0</v>
      </c>
      <c r="BA141" s="9">
        <f>VLOOKUP($A141,地图配置辅助表!$A$3:$AP$245,地图配置辅助表!AM$1,FALSE)</f>
        <v>0</v>
      </c>
      <c r="BB141" s="9">
        <f>VLOOKUP($A141,地图配置辅助表!$A$3:$AP$245,地图配置辅助表!AN$1,FALSE)</f>
        <v>0</v>
      </c>
      <c r="BC141" s="9">
        <f>VLOOKUP($A141,地图配置辅助表!$A$3:$AP$245,地图配置辅助表!AO$1,FALSE)</f>
        <v>0</v>
      </c>
      <c r="BD141" s="9">
        <f>VLOOKUP($A141,地图配置辅助表!$A$3:$AP$245,地图配置辅助表!AP$1,FALSE)</f>
        <v>0</v>
      </c>
    </row>
    <row r="142" spans="1:56" s="9" customFormat="1" x14ac:dyDescent="0.15">
      <c r="A142">
        <f>地图配置辅助表!A143</f>
        <v>7206</v>
      </c>
      <c r="B142" s="8">
        <f>地图配置辅助表!B143</f>
        <v>2</v>
      </c>
      <c r="C142" s="9">
        <f>地图配置辅助表!C143</f>
        <v>7</v>
      </c>
      <c r="D142" s="9" t="str">
        <f>地图配置辅助表!D143</f>
        <v>精英傲虎</v>
      </c>
      <c r="E142" s="9" t="str">
        <f t="shared" si="0"/>
        <v>挑战精英傲虎</v>
      </c>
      <c r="F142" s="9" t="s">
        <v>0</v>
      </c>
      <c r="G142" s="9">
        <v>29</v>
      </c>
      <c r="H142" s="9">
        <v>200</v>
      </c>
      <c r="I142" s="9">
        <v>140</v>
      </c>
      <c r="J142" s="9">
        <v>200</v>
      </c>
      <c r="K142" s="9">
        <v>140</v>
      </c>
      <c r="L142" s="9" t="s">
        <v>209</v>
      </c>
      <c r="M142" s="9">
        <v>0</v>
      </c>
      <c r="R142" s="9" t="s">
        <v>162</v>
      </c>
      <c r="S142" s="11">
        <f>VLOOKUP($A142,地图配置辅助表!$A$3:$AP$245,地图配置辅助表!E$1,FALSE)</f>
        <v>14</v>
      </c>
      <c r="T142" s="9">
        <f>VLOOKUP($A142,地图配置辅助表!$A$3:$AP$245,地图配置辅助表!F$1,FALSE)</f>
        <v>164598</v>
      </c>
      <c r="U142" s="9">
        <f>VLOOKUP($A142,地图配置辅助表!$A$3:$AP$245,地图配置辅助表!G$1,FALSE)</f>
        <v>1</v>
      </c>
      <c r="V142" s="9">
        <f>VLOOKUP($A142,地图配置辅助表!$A$3:$AP$245,地图配置辅助表!H$1,FALSE)</f>
        <v>1</v>
      </c>
      <c r="W142" s="9">
        <f>VLOOKUP($A142,地图配置辅助表!$A$3:$AP$245,地图配置辅助表!I$1,FALSE)</f>
        <v>6</v>
      </c>
      <c r="X142" s="9">
        <f>VLOOKUP($A142,地图配置辅助表!$A$3:$AP$245,地图配置辅助表!J$1,FALSE)</f>
        <v>0</v>
      </c>
      <c r="Y142" s="9">
        <f>VLOOKUP($A142,地图配置辅助表!$A$3:$AP$245,地图配置辅助表!K$1,FALSE)</f>
        <v>0</v>
      </c>
      <c r="Z142" s="9">
        <f>VLOOKUP($A142,地图配置辅助表!$A$3:$AP$245,地图配置辅助表!L$1,FALSE)</f>
        <v>0</v>
      </c>
      <c r="AA142" s="9">
        <f>VLOOKUP($A142,地图配置辅助表!$A$3:$AP$245,地图配置辅助表!M$1,FALSE)</f>
        <v>2</v>
      </c>
      <c r="AB142">
        <f>VLOOKUP($A142,地图配置辅助表!$A$3:$AP$245,地图配置辅助表!N$1,FALSE)</f>
        <v>1</v>
      </c>
      <c r="AC142" s="9">
        <f>VLOOKUP($A142,地图配置辅助表!$A$3:$AP$245,地图配置辅助表!O$1,FALSE)</f>
        <v>3</v>
      </c>
      <c r="AD142">
        <f>VLOOKUP($A142,地图配置辅助表!$A$3:$AP$245,地图配置辅助表!P$1,FALSE)</f>
        <v>7205</v>
      </c>
      <c r="AE142" s="8">
        <f>VLOOKUP($A142,地图配置辅助表!$A$3:$AP$245,地图配置辅助表!Q$1,FALSE)</f>
        <v>3</v>
      </c>
      <c r="AF142" s="8">
        <f>VLOOKUP($A142,地图配置辅助表!$A$3:$AP$245,地图配置辅助表!R$1,FALSE)</f>
        <v>7006</v>
      </c>
      <c r="AG142" s="11">
        <f>VLOOKUP($A142,地图配置辅助表!$A$3:$AP$245,地图配置辅助表!S$1,FALSE)</f>
        <v>507206</v>
      </c>
      <c r="AH142" s="11">
        <f>VLOOKUP($A142,地图配置辅助表!$A$3:$AP$245,地图配置辅助表!T$1,FALSE)</f>
        <v>276004</v>
      </c>
      <c r="AI142" s="9">
        <f>VLOOKUP($A142,地图配置辅助表!$A$3:$AP$245,地图配置辅助表!U$1,FALSE)</f>
        <v>3</v>
      </c>
      <c r="AJ142" s="9">
        <f>VLOOKUP($A142,地图配置辅助表!$A$3:$AP$245,地图配置辅助表!V$1,FALSE)</f>
        <v>276001</v>
      </c>
      <c r="AK142" s="9">
        <f>VLOOKUP($A142,地图配置辅助表!$A$3:$AP$245,地图配置辅助表!W$1,FALSE)</f>
        <v>276002</v>
      </c>
      <c r="AL142" s="9">
        <f>VLOOKUP($A142,地图配置辅助表!$A$3:$AP$245,地图配置辅助表!X$1,FALSE)</f>
        <v>276003</v>
      </c>
      <c r="AM142" s="9">
        <f>VLOOKUP($A142,地图配置辅助表!$A$3:$AP$245,地图配置辅助表!Y$1,FALSE)</f>
        <v>0</v>
      </c>
      <c r="AN142" s="9">
        <f>VLOOKUP($A142,地图配置辅助表!$A$3:$AP$245,地图配置辅助表!Z$1,FALSE)</f>
        <v>0</v>
      </c>
      <c r="AO142" s="9">
        <f>VLOOKUP($A142,地图配置辅助表!$A$3:$AP$245,地图配置辅助表!AA$1,FALSE)</f>
        <v>0</v>
      </c>
      <c r="AP142" s="9">
        <f>VLOOKUP($A142,地图配置辅助表!$A$3:$AP$245,地图配置辅助表!AB$1,FALSE)</f>
        <v>0</v>
      </c>
      <c r="AQ142" s="9">
        <f>VLOOKUP($A142,地图配置辅助表!$A$3:$AP$245,地图配置辅助表!AC$1,FALSE)</f>
        <v>0</v>
      </c>
      <c r="AR142" s="9">
        <f>VLOOKUP($A142,地图配置辅助表!$A$3:$AP$245,地图配置辅助表!AD$1,FALSE)</f>
        <v>0</v>
      </c>
      <c r="AS142" s="9">
        <f>VLOOKUP($A142,地图配置辅助表!$A$3:$AP$245,地图配置辅助表!AE$1,FALSE)</f>
        <v>0</v>
      </c>
      <c r="AT142" s="9">
        <f>VLOOKUP($A142,地图配置辅助表!$A$3:$AP$245,地图配置辅助表!AF$1,FALSE)</f>
        <v>3</v>
      </c>
      <c r="AU142" s="9">
        <f>VLOOKUP($A142,地图配置辅助表!$A$3:$AP$245,地图配置辅助表!AG$1,FALSE)</f>
        <v>246</v>
      </c>
      <c r="AV142" s="9">
        <f>VLOOKUP($A142,地图配置辅助表!$A$3:$AP$245,地图配置辅助表!AH$1,FALSE)</f>
        <v>247</v>
      </c>
      <c r="AW142" s="9">
        <f>VLOOKUP($A142,地图配置辅助表!$A$3:$AP$245,地图配置辅助表!AI$1,FALSE)</f>
        <v>248</v>
      </c>
      <c r="AX142" s="9">
        <f>VLOOKUP($A142,地图配置辅助表!$A$3:$AP$245,地图配置辅助表!AJ$1,FALSE)</f>
        <v>0</v>
      </c>
      <c r="AY142" s="9">
        <f>VLOOKUP($A142,地图配置辅助表!$A$3:$AP$245,地图配置辅助表!AK$1,FALSE)</f>
        <v>0</v>
      </c>
      <c r="AZ142" s="9">
        <f>VLOOKUP($A142,地图配置辅助表!$A$3:$AP$245,地图配置辅助表!AL$1,FALSE)</f>
        <v>0</v>
      </c>
      <c r="BA142" s="9">
        <f>VLOOKUP($A142,地图配置辅助表!$A$3:$AP$245,地图配置辅助表!AM$1,FALSE)</f>
        <v>0</v>
      </c>
      <c r="BB142" s="9">
        <f>VLOOKUP($A142,地图配置辅助表!$A$3:$AP$245,地图配置辅助表!AN$1,FALSE)</f>
        <v>0</v>
      </c>
      <c r="BC142" s="9">
        <f>VLOOKUP($A142,地图配置辅助表!$A$3:$AP$245,地图配置辅助表!AO$1,FALSE)</f>
        <v>0</v>
      </c>
      <c r="BD142" s="9">
        <f>VLOOKUP($A142,地图配置辅助表!$A$3:$AP$245,地图配置辅助表!AP$1,FALSE)</f>
        <v>0</v>
      </c>
    </row>
    <row r="143" spans="1:56" s="9" customFormat="1" x14ac:dyDescent="0.15">
      <c r="A143">
        <f>地图配置辅助表!A144</f>
        <v>7207</v>
      </c>
      <c r="B143" s="8">
        <f>地图配置辅助表!B144</f>
        <v>2</v>
      </c>
      <c r="C143" s="9">
        <f>地图配置辅助表!C144</f>
        <v>7</v>
      </c>
      <c r="D143" s="9" t="str">
        <f>地图配置辅助表!D144</f>
        <v>精英狂龙</v>
      </c>
      <c r="E143" s="9" t="str">
        <f t="shared" si="0"/>
        <v>挑战精英狂龙</v>
      </c>
      <c r="F143" s="9" t="s">
        <v>0</v>
      </c>
      <c r="G143" s="9">
        <v>29</v>
      </c>
      <c r="H143" s="9">
        <v>200</v>
      </c>
      <c r="I143" s="9">
        <v>140</v>
      </c>
      <c r="J143" s="9">
        <v>200</v>
      </c>
      <c r="K143" s="9">
        <v>140</v>
      </c>
      <c r="L143" s="9" t="s">
        <v>511</v>
      </c>
      <c r="M143" s="9">
        <v>0</v>
      </c>
      <c r="R143" s="9" t="s">
        <v>524</v>
      </c>
      <c r="S143" s="11">
        <f>VLOOKUP($A143,地图配置辅助表!$A$3:$AP$245,地图配置辅助表!E$1,FALSE)</f>
        <v>14</v>
      </c>
      <c r="T143" s="9">
        <f>VLOOKUP($A143,地图配置辅助表!$A$3:$AP$245,地图配置辅助表!F$1,FALSE)</f>
        <v>176268</v>
      </c>
      <c r="U143" s="9">
        <f>VLOOKUP($A143,地图配置辅助表!$A$3:$AP$245,地图配置辅助表!G$1,FALSE)</f>
        <v>1</v>
      </c>
      <c r="V143" s="9">
        <f>VLOOKUP($A143,地图配置辅助表!$A$3:$AP$245,地图配置辅助表!H$1,FALSE)</f>
        <v>1</v>
      </c>
      <c r="W143" s="9">
        <f>VLOOKUP($A143,地图配置辅助表!$A$3:$AP$245,地图配置辅助表!I$1,FALSE)</f>
        <v>6</v>
      </c>
      <c r="X143" s="9">
        <f>VLOOKUP($A143,地图配置辅助表!$A$3:$AP$245,地图配置辅助表!J$1,FALSE)</f>
        <v>0</v>
      </c>
      <c r="Y143" s="9">
        <f>VLOOKUP($A143,地图配置辅助表!$A$3:$AP$245,地图配置辅助表!K$1,FALSE)</f>
        <v>0</v>
      </c>
      <c r="Z143" s="9">
        <f>VLOOKUP($A143,地图配置辅助表!$A$3:$AP$245,地图配置辅助表!L$1,FALSE)</f>
        <v>0</v>
      </c>
      <c r="AA143" s="9">
        <f>VLOOKUP($A143,地图配置辅助表!$A$3:$AP$245,地图配置辅助表!M$1,FALSE)</f>
        <v>2</v>
      </c>
      <c r="AB143">
        <f>VLOOKUP($A143,地图配置辅助表!$A$3:$AP$245,地图配置辅助表!N$1,FALSE)</f>
        <v>1</v>
      </c>
      <c r="AC143" s="9">
        <f>VLOOKUP($A143,地图配置辅助表!$A$3:$AP$245,地图配置辅助表!O$1,FALSE)</f>
        <v>3</v>
      </c>
      <c r="AD143">
        <f>VLOOKUP($A143,地图配置辅助表!$A$3:$AP$245,地图配置辅助表!P$1,FALSE)</f>
        <v>7206</v>
      </c>
      <c r="AE143" s="8">
        <f>VLOOKUP($A143,地图配置辅助表!$A$3:$AP$245,地图配置辅助表!Q$1,FALSE)</f>
        <v>3</v>
      </c>
      <c r="AF143" s="8">
        <f>VLOOKUP($A143,地图配置辅助表!$A$3:$AP$245,地图配置辅助表!R$1,FALSE)</f>
        <v>7007</v>
      </c>
      <c r="AG143" s="11">
        <f>VLOOKUP($A143,地图配置辅助表!$A$3:$AP$245,地图配置辅助表!S$1,FALSE)</f>
        <v>507207</v>
      </c>
      <c r="AH143" s="11">
        <f>VLOOKUP($A143,地图配置辅助表!$A$3:$AP$245,地图配置辅助表!T$1,FALSE)</f>
        <v>277004</v>
      </c>
      <c r="AI143" s="9">
        <f>VLOOKUP($A143,地图配置辅助表!$A$3:$AP$245,地图配置辅助表!U$1,FALSE)</f>
        <v>3</v>
      </c>
      <c r="AJ143" s="9">
        <f>VLOOKUP($A143,地图配置辅助表!$A$3:$AP$245,地图配置辅助表!V$1,FALSE)</f>
        <v>277001</v>
      </c>
      <c r="AK143" s="9">
        <f>VLOOKUP($A143,地图配置辅助表!$A$3:$AP$245,地图配置辅助表!W$1,FALSE)</f>
        <v>277002</v>
      </c>
      <c r="AL143" s="9">
        <f>VLOOKUP($A143,地图配置辅助表!$A$3:$AP$245,地图配置辅助表!X$1,FALSE)</f>
        <v>277003</v>
      </c>
      <c r="AM143" s="9">
        <f>VLOOKUP($A143,地图配置辅助表!$A$3:$AP$245,地图配置辅助表!Y$1,FALSE)</f>
        <v>0</v>
      </c>
      <c r="AN143" s="9">
        <f>VLOOKUP($A143,地图配置辅助表!$A$3:$AP$245,地图配置辅助表!Z$1,FALSE)</f>
        <v>0</v>
      </c>
      <c r="AO143" s="9">
        <f>VLOOKUP($A143,地图配置辅助表!$A$3:$AP$245,地图配置辅助表!AA$1,FALSE)</f>
        <v>0</v>
      </c>
      <c r="AP143" s="9">
        <f>VLOOKUP($A143,地图配置辅助表!$A$3:$AP$245,地图配置辅助表!AB$1,FALSE)</f>
        <v>0</v>
      </c>
      <c r="AQ143" s="9">
        <f>VLOOKUP($A143,地图配置辅助表!$A$3:$AP$245,地图配置辅助表!AC$1,FALSE)</f>
        <v>0</v>
      </c>
      <c r="AR143" s="9">
        <f>VLOOKUP($A143,地图配置辅助表!$A$3:$AP$245,地图配置辅助表!AD$1,FALSE)</f>
        <v>0</v>
      </c>
      <c r="AS143" s="9">
        <f>VLOOKUP($A143,地图配置辅助表!$A$3:$AP$245,地图配置辅助表!AE$1,FALSE)</f>
        <v>0</v>
      </c>
      <c r="AT143" s="9">
        <f>VLOOKUP($A143,地图配置辅助表!$A$3:$AP$245,地图配置辅助表!AF$1,FALSE)</f>
        <v>3</v>
      </c>
      <c r="AU143" s="9">
        <f>VLOOKUP($A143,地图配置辅助表!$A$3:$AP$245,地图配置辅助表!AG$1,FALSE)</f>
        <v>428</v>
      </c>
      <c r="AV143" s="9">
        <f>VLOOKUP($A143,地图配置辅助表!$A$3:$AP$245,地图配置辅助表!AH$1,FALSE)</f>
        <v>429</v>
      </c>
      <c r="AW143" s="9">
        <f>VLOOKUP($A143,地图配置辅助表!$A$3:$AP$245,地图配置辅助表!AI$1,FALSE)</f>
        <v>448</v>
      </c>
      <c r="AX143" s="9">
        <f>VLOOKUP($A143,地图配置辅助表!$A$3:$AP$245,地图配置辅助表!AJ$1,FALSE)</f>
        <v>0</v>
      </c>
      <c r="AY143" s="9">
        <f>VLOOKUP($A143,地图配置辅助表!$A$3:$AP$245,地图配置辅助表!AK$1,FALSE)</f>
        <v>0</v>
      </c>
      <c r="AZ143" s="9">
        <f>VLOOKUP($A143,地图配置辅助表!$A$3:$AP$245,地图配置辅助表!AL$1,FALSE)</f>
        <v>0</v>
      </c>
      <c r="BA143" s="9">
        <f>VLOOKUP($A143,地图配置辅助表!$A$3:$AP$245,地图配置辅助表!AM$1,FALSE)</f>
        <v>0</v>
      </c>
      <c r="BB143" s="9">
        <f>VLOOKUP($A143,地图配置辅助表!$A$3:$AP$245,地图配置辅助表!AN$1,FALSE)</f>
        <v>0</v>
      </c>
      <c r="BC143" s="9">
        <f>VLOOKUP($A143,地图配置辅助表!$A$3:$AP$245,地图配置辅助表!AO$1,FALSE)</f>
        <v>0</v>
      </c>
      <c r="BD143" s="9">
        <f>VLOOKUP($A143,地图配置辅助表!$A$3:$AP$245,地图配置辅助表!AP$1,FALSE)</f>
        <v>0</v>
      </c>
    </row>
    <row r="144" spans="1:56" s="9" customFormat="1" x14ac:dyDescent="0.15">
      <c r="A144">
        <f>地图配置辅助表!A145</f>
        <v>7208</v>
      </c>
      <c r="B144" s="8">
        <f>地图配置辅助表!B145</f>
        <v>2</v>
      </c>
      <c r="C144" s="9">
        <f>地图配置辅助表!C145</f>
        <v>7</v>
      </c>
      <c r="D144" s="9" t="str">
        <f>地图配置辅助表!D145</f>
        <v>精英山崎</v>
      </c>
      <c r="E144" s="9" t="str">
        <f t="shared" si="0"/>
        <v>挑战精英山崎</v>
      </c>
      <c r="F144" s="9" t="s">
        <v>0</v>
      </c>
      <c r="G144" s="9">
        <v>29</v>
      </c>
      <c r="H144" s="9">
        <v>200</v>
      </c>
      <c r="I144" s="9">
        <v>140</v>
      </c>
      <c r="J144" s="9">
        <v>200</v>
      </c>
      <c r="K144" s="9">
        <v>140</v>
      </c>
      <c r="L144" s="9" t="s">
        <v>512</v>
      </c>
      <c r="M144" s="9">
        <v>0</v>
      </c>
      <c r="R144" s="9" t="s">
        <v>525</v>
      </c>
      <c r="S144" s="11">
        <f>VLOOKUP($A144,地图配置辅助表!$A$3:$AP$245,地图配置辅助表!E$1,FALSE)</f>
        <v>14</v>
      </c>
      <c r="T144" s="9">
        <f>VLOOKUP($A144,地图配置辅助表!$A$3:$AP$245,地图配置辅助表!F$1,FALSE)</f>
        <v>193195</v>
      </c>
      <c r="U144" s="9">
        <f>VLOOKUP($A144,地图配置辅助表!$A$3:$AP$245,地图配置辅助表!G$1,FALSE)</f>
        <v>1</v>
      </c>
      <c r="V144" s="9">
        <f>VLOOKUP($A144,地图配置辅助表!$A$3:$AP$245,地图配置辅助表!H$1,FALSE)</f>
        <v>1</v>
      </c>
      <c r="W144" s="9">
        <f>VLOOKUP($A144,地图配置辅助表!$A$3:$AP$245,地图配置辅助表!I$1,FALSE)</f>
        <v>6</v>
      </c>
      <c r="X144" s="9">
        <f>VLOOKUP($A144,地图配置辅助表!$A$3:$AP$245,地图配置辅助表!J$1,FALSE)</f>
        <v>0</v>
      </c>
      <c r="Y144" s="9">
        <f>VLOOKUP($A144,地图配置辅助表!$A$3:$AP$245,地图配置辅助表!K$1,FALSE)</f>
        <v>0</v>
      </c>
      <c r="Z144" s="9">
        <f>VLOOKUP($A144,地图配置辅助表!$A$3:$AP$245,地图配置辅助表!L$1,FALSE)</f>
        <v>0</v>
      </c>
      <c r="AA144" s="9">
        <f>VLOOKUP($A144,地图配置辅助表!$A$3:$AP$245,地图配置辅助表!M$1,FALSE)</f>
        <v>2</v>
      </c>
      <c r="AB144">
        <f>VLOOKUP($A144,地图配置辅助表!$A$3:$AP$245,地图配置辅助表!N$1,FALSE)</f>
        <v>1</v>
      </c>
      <c r="AC144" s="9">
        <f>VLOOKUP($A144,地图配置辅助表!$A$3:$AP$245,地图配置辅助表!O$1,FALSE)</f>
        <v>3</v>
      </c>
      <c r="AD144">
        <f>VLOOKUP($A144,地图配置辅助表!$A$3:$AP$245,地图配置辅助表!P$1,FALSE)</f>
        <v>7207</v>
      </c>
      <c r="AE144" s="8">
        <f>VLOOKUP($A144,地图配置辅助表!$A$3:$AP$245,地图配置辅助表!Q$1,FALSE)</f>
        <v>3</v>
      </c>
      <c r="AF144" s="8">
        <f>VLOOKUP($A144,地图配置辅助表!$A$3:$AP$245,地图配置辅助表!R$1,FALSE)</f>
        <v>7008</v>
      </c>
      <c r="AG144" s="11">
        <f>VLOOKUP($A144,地图配置辅助表!$A$3:$AP$245,地图配置辅助表!S$1,FALSE)</f>
        <v>507208</v>
      </c>
      <c r="AH144" s="11">
        <f>VLOOKUP($A144,地图配置辅助表!$A$3:$AP$245,地图配置辅助表!T$1,FALSE)</f>
        <v>278004</v>
      </c>
      <c r="AI144" s="9">
        <f>VLOOKUP($A144,地图配置辅助表!$A$3:$AP$245,地图配置辅助表!U$1,FALSE)</f>
        <v>3</v>
      </c>
      <c r="AJ144" s="9">
        <f>VLOOKUP($A144,地图配置辅助表!$A$3:$AP$245,地图配置辅助表!V$1,FALSE)</f>
        <v>278001</v>
      </c>
      <c r="AK144" s="9">
        <f>VLOOKUP($A144,地图配置辅助表!$A$3:$AP$245,地图配置辅助表!W$1,FALSE)</f>
        <v>278002</v>
      </c>
      <c r="AL144" s="9">
        <f>VLOOKUP($A144,地图配置辅助表!$A$3:$AP$245,地图配置辅助表!X$1,FALSE)</f>
        <v>278003</v>
      </c>
      <c r="AM144" s="9">
        <f>VLOOKUP($A144,地图配置辅助表!$A$3:$AP$245,地图配置辅助表!Y$1,FALSE)</f>
        <v>0</v>
      </c>
      <c r="AN144" s="9">
        <f>VLOOKUP($A144,地图配置辅助表!$A$3:$AP$245,地图配置辅助表!Z$1,FALSE)</f>
        <v>0</v>
      </c>
      <c r="AO144" s="9">
        <f>VLOOKUP($A144,地图配置辅助表!$A$3:$AP$245,地图配置辅助表!AA$1,FALSE)</f>
        <v>0</v>
      </c>
      <c r="AP144" s="9">
        <f>VLOOKUP($A144,地图配置辅助表!$A$3:$AP$245,地图配置辅助表!AB$1,FALSE)</f>
        <v>0</v>
      </c>
      <c r="AQ144" s="9">
        <f>VLOOKUP($A144,地图配置辅助表!$A$3:$AP$245,地图配置辅助表!AC$1,FALSE)</f>
        <v>0</v>
      </c>
      <c r="AR144" s="9">
        <f>VLOOKUP($A144,地图配置辅助表!$A$3:$AP$245,地图配置辅助表!AD$1,FALSE)</f>
        <v>0</v>
      </c>
      <c r="AS144" s="9">
        <f>VLOOKUP($A144,地图配置辅助表!$A$3:$AP$245,地图配置辅助表!AE$1,FALSE)</f>
        <v>0</v>
      </c>
      <c r="AT144" s="9">
        <f>VLOOKUP($A144,地图配置辅助表!$A$3:$AP$245,地图配置辅助表!AF$1,FALSE)</f>
        <v>3</v>
      </c>
      <c r="AU144" s="9">
        <f>VLOOKUP($A144,地图配置辅助表!$A$3:$AP$245,地图配置辅助表!AG$1,FALSE)</f>
        <v>410</v>
      </c>
      <c r="AV144" s="9">
        <f>VLOOKUP($A144,地图配置辅助表!$A$3:$AP$245,地图配置辅助表!AH$1,FALSE)</f>
        <v>411</v>
      </c>
      <c r="AW144" s="9">
        <f>VLOOKUP($A144,地图配置辅助表!$A$3:$AP$245,地图配置辅助表!AI$1,FALSE)</f>
        <v>412</v>
      </c>
      <c r="AX144" s="9">
        <f>VLOOKUP($A144,地图配置辅助表!$A$3:$AP$245,地图配置辅助表!AJ$1,FALSE)</f>
        <v>0</v>
      </c>
      <c r="AY144" s="9">
        <f>VLOOKUP($A144,地图配置辅助表!$A$3:$AP$245,地图配置辅助表!AK$1,FALSE)</f>
        <v>0</v>
      </c>
      <c r="AZ144" s="9">
        <f>VLOOKUP($A144,地图配置辅助表!$A$3:$AP$245,地图配置辅助表!AL$1,FALSE)</f>
        <v>0</v>
      </c>
      <c r="BA144" s="9">
        <f>VLOOKUP($A144,地图配置辅助表!$A$3:$AP$245,地图配置辅助表!AM$1,FALSE)</f>
        <v>0</v>
      </c>
      <c r="BB144" s="9">
        <f>VLOOKUP($A144,地图配置辅助表!$A$3:$AP$245,地图配置辅助表!AN$1,FALSE)</f>
        <v>0</v>
      </c>
      <c r="BC144" s="9">
        <f>VLOOKUP($A144,地图配置辅助表!$A$3:$AP$245,地图配置辅助表!AO$1,FALSE)</f>
        <v>0</v>
      </c>
      <c r="BD144" s="9">
        <f>VLOOKUP($A144,地图配置辅助表!$A$3:$AP$245,地图配置辅助表!AP$1,FALSE)</f>
        <v>0</v>
      </c>
    </row>
    <row r="145" spans="1:56" s="9" customFormat="1" x14ac:dyDescent="0.15">
      <c r="A145">
        <f>地图配置辅助表!A146</f>
        <v>7209</v>
      </c>
      <c r="B145" s="8">
        <f>地图配置辅助表!B146</f>
        <v>2</v>
      </c>
      <c r="C145" s="9">
        <f>地图配置辅助表!C146</f>
        <v>7</v>
      </c>
      <c r="D145" s="9" t="str">
        <f>地图配置辅助表!D146</f>
        <v>精英杀手首领</v>
      </c>
      <c r="E145" s="9" t="str">
        <f t="shared" si="0"/>
        <v>挑战精英杀手首领</v>
      </c>
      <c r="F145" s="9" t="s">
        <v>0</v>
      </c>
      <c r="G145" s="9">
        <v>29</v>
      </c>
      <c r="H145" s="9">
        <v>200</v>
      </c>
      <c r="I145" s="9">
        <v>140</v>
      </c>
      <c r="J145" s="9">
        <v>200</v>
      </c>
      <c r="K145" s="9">
        <v>140</v>
      </c>
      <c r="L145" s="9" t="s">
        <v>513</v>
      </c>
      <c r="M145" s="9">
        <v>0</v>
      </c>
      <c r="R145" s="9" t="s">
        <v>526</v>
      </c>
      <c r="S145" s="11">
        <f>VLOOKUP($A145,地图配置辅助表!$A$3:$AP$245,地图配置辅助表!E$1,FALSE)</f>
        <v>14</v>
      </c>
      <c r="T145" s="9">
        <f>VLOOKUP($A145,地图配置辅助表!$A$3:$AP$245,地图配置辅助表!F$1,FALSE)</f>
        <v>206312</v>
      </c>
      <c r="U145" s="9">
        <f>VLOOKUP($A145,地图配置辅助表!$A$3:$AP$245,地图配置辅助表!G$1,FALSE)</f>
        <v>1</v>
      </c>
      <c r="V145" s="9">
        <f>VLOOKUP($A145,地图配置辅助表!$A$3:$AP$245,地图配置辅助表!H$1,FALSE)</f>
        <v>1</v>
      </c>
      <c r="W145" s="9">
        <f>VLOOKUP($A145,地图配置辅助表!$A$3:$AP$245,地图配置辅助表!I$1,FALSE)</f>
        <v>6</v>
      </c>
      <c r="X145" s="9">
        <f>VLOOKUP($A145,地图配置辅助表!$A$3:$AP$245,地图配置辅助表!J$1,FALSE)</f>
        <v>0</v>
      </c>
      <c r="Y145" s="9">
        <f>VLOOKUP($A145,地图配置辅助表!$A$3:$AP$245,地图配置辅助表!K$1,FALSE)</f>
        <v>0</v>
      </c>
      <c r="Z145" s="9">
        <f>VLOOKUP($A145,地图配置辅助表!$A$3:$AP$245,地图配置辅助表!L$1,FALSE)</f>
        <v>0</v>
      </c>
      <c r="AA145" s="9">
        <f>VLOOKUP($A145,地图配置辅助表!$A$3:$AP$245,地图配置辅助表!M$1,FALSE)</f>
        <v>2</v>
      </c>
      <c r="AB145">
        <f>VLOOKUP($A145,地图配置辅助表!$A$3:$AP$245,地图配置辅助表!N$1,FALSE)</f>
        <v>1</v>
      </c>
      <c r="AC145" s="9">
        <f>VLOOKUP($A145,地图配置辅助表!$A$3:$AP$245,地图配置辅助表!O$1,FALSE)</f>
        <v>3</v>
      </c>
      <c r="AD145">
        <f>VLOOKUP($A145,地图配置辅助表!$A$3:$AP$245,地图配置辅助表!P$1,FALSE)</f>
        <v>7208</v>
      </c>
      <c r="AE145" s="8">
        <f>VLOOKUP($A145,地图配置辅助表!$A$3:$AP$245,地图配置辅助表!Q$1,FALSE)</f>
        <v>3</v>
      </c>
      <c r="AF145" s="8">
        <f>VLOOKUP($A145,地图配置辅助表!$A$3:$AP$245,地图配置辅助表!R$1,FALSE)</f>
        <v>7009</v>
      </c>
      <c r="AG145" s="11">
        <f>VLOOKUP($A145,地图配置辅助表!$A$3:$AP$245,地图配置辅助表!S$1,FALSE)</f>
        <v>507209</v>
      </c>
      <c r="AH145" s="11">
        <f>VLOOKUP($A145,地图配置辅助表!$A$3:$AP$245,地图配置辅助表!T$1,FALSE)</f>
        <v>279004</v>
      </c>
      <c r="AI145" s="9">
        <f>VLOOKUP($A145,地图配置辅助表!$A$3:$AP$245,地图配置辅助表!U$1,FALSE)</f>
        <v>3</v>
      </c>
      <c r="AJ145" s="9">
        <f>VLOOKUP($A145,地图配置辅助表!$A$3:$AP$245,地图配置辅助表!V$1,FALSE)</f>
        <v>279001</v>
      </c>
      <c r="AK145" s="9">
        <f>VLOOKUP($A145,地图配置辅助表!$A$3:$AP$245,地图配置辅助表!W$1,FALSE)</f>
        <v>279002</v>
      </c>
      <c r="AL145" s="9">
        <f>VLOOKUP($A145,地图配置辅助表!$A$3:$AP$245,地图配置辅助表!X$1,FALSE)</f>
        <v>279003</v>
      </c>
      <c r="AM145" s="9">
        <f>VLOOKUP($A145,地图配置辅助表!$A$3:$AP$245,地图配置辅助表!Y$1,FALSE)</f>
        <v>0</v>
      </c>
      <c r="AN145" s="9">
        <f>VLOOKUP($A145,地图配置辅助表!$A$3:$AP$245,地图配置辅助表!Z$1,FALSE)</f>
        <v>0</v>
      </c>
      <c r="AO145" s="9">
        <f>VLOOKUP($A145,地图配置辅助表!$A$3:$AP$245,地图配置辅助表!AA$1,FALSE)</f>
        <v>0</v>
      </c>
      <c r="AP145" s="9">
        <f>VLOOKUP($A145,地图配置辅助表!$A$3:$AP$245,地图配置辅助表!AB$1,FALSE)</f>
        <v>0</v>
      </c>
      <c r="AQ145" s="9">
        <f>VLOOKUP($A145,地图配置辅助表!$A$3:$AP$245,地图配置辅助表!AC$1,FALSE)</f>
        <v>0</v>
      </c>
      <c r="AR145" s="9">
        <f>VLOOKUP($A145,地图配置辅助表!$A$3:$AP$245,地图配置辅助表!AD$1,FALSE)</f>
        <v>0</v>
      </c>
      <c r="AS145" s="9">
        <f>VLOOKUP($A145,地图配置辅助表!$A$3:$AP$245,地图配置辅助表!AE$1,FALSE)</f>
        <v>0</v>
      </c>
      <c r="AT145" s="9">
        <f>VLOOKUP($A145,地图配置辅助表!$A$3:$AP$245,地图配置辅助表!AF$1,FALSE)</f>
        <v>3</v>
      </c>
      <c r="AU145" s="9">
        <f>VLOOKUP($A145,地图配置辅助表!$A$3:$AP$245,地图配置辅助表!AG$1,FALSE)</f>
        <v>366</v>
      </c>
      <c r="AV145" s="9">
        <f>VLOOKUP($A145,地图配置辅助表!$A$3:$AP$245,地图配置辅助表!AH$1,FALSE)</f>
        <v>367</v>
      </c>
      <c r="AW145" s="9">
        <f>VLOOKUP($A145,地图配置辅助表!$A$3:$AP$245,地图配置辅助表!AI$1,FALSE)</f>
        <v>368</v>
      </c>
      <c r="AX145" s="9">
        <f>VLOOKUP($A145,地图配置辅助表!$A$3:$AP$245,地图配置辅助表!AJ$1,FALSE)</f>
        <v>0</v>
      </c>
      <c r="AY145" s="9">
        <f>VLOOKUP($A145,地图配置辅助表!$A$3:$AP$245,地图配置辅助表!AK$1,FALSE)</f>
        <v>0</v>
      </c>
      <c r="AZ145" s="9">
        <f>VLOOKUP($A145,地图配置辅助表!$A$3:$AP$245,地图配置辅助表!AL$1,FALSE)</f>
        <v>0</v>
      </c>
      <c r="BA145" s="9">
        <f>VLOOKUP($A145,地图配置辅助表!$A$3:$AP$245,地图配置辅助表!AM$1,FALSE)</f>
        <v>0</v>
      </c>
      <c r="BB145" s="9">
        <f>VLOOKUP($A145,地图配置辅助表!$A$3:$AP$245,地图配置辅助表!AN$1,FALSE)</f>
        <v>0</v>
      </c>
      <c r="BC145" s="9">
        <f>VLOOKUP($A145,地图配置辅助表!$A$3:$AP$245,地图配置辅助表!AO$1,FALSE)</f>
        <v>0</v>
      </c>
      <c r="BD145" s="9">
        <f>VLOOKUP($A145,地图配置辅助表!$A$3:$AP$245,地图配置辅助表!AP$1,FALSE)</f>
        <v>0</v>
      </c>
    </row>
    <row r="146" spans="1:56" s="9" customFormat="1" x14ac:dyDescent="0.15">
      <c r="A146">
        <f>地图配置辅助表!A147</f>
        <v>8201</v>
      </c>
      <c r="B146" s="8">
        <f>地图配置辅助表!B147</f>
        <v>2</v>
      </c>
      <c r="C146" s="9">
        <f>地图配置辅助表!C147</f>
        <v>8</v>
      </c>
      <c r="D146" s="9" t="str">
        <f>地图配置辅助表!D147</f>
        <v>精英复仇靓坤</v>
      </c>
      <c r="E146" s="9" t="str">
        <f t="shared" si="0"/>
        <v>挑战精英复仇靓坤</v>
      </c>
      <c r="F146" s="9" t="s">
        <v>0</v>
      </c>
      <c r="G146" s="9">
        <v>29</v>
      </c>
      <c r="H146" s="9">
        <v>400</v>
      </c>
      <c r="I146" s="9">
        <v>140</v>
      </c>
      <c r="J146" s="9">
        <v>200</v>
      </c>
      <c r="K146" s="9">
        <v>140</v>
      </c>
      <c r="L146" s="9" t="s">
        <v>210</v>
      </c>
      <c r="M146" s="9">
        <v>0</v>
      </c>
      <c r="R146" s="9" t="s">
        <v>163</v>
      </c>
      <c r="S146" s="11">
        <f>VLOOKUP($A146,地图配置辅助表!$A$3:$AP$245,地图配置辅助表!E$1,FALSE)</f>
        <v>14</v>
      </c>
      <c r="T146" s="9">
        <f>VLOOKUP($A146,地图配置辅助表!$A$3:$AP$245,地图配置辅助表!F$1,FALSE)</f>
        <v>190924</v>
      </c>
      <c r="U146" s="9">
        <f>VLOOKUP($A146,地图配置辅助表!$A$3:$AP$245,地图配置辅助表!G$1,FALSE)</f>
        <v>1</v>
      </c>
      <c r="V146" s="9">
        <f>VLOOKUP($A146,地图配置辅助表!$A$3:$AP$245,地图配置辅助表!H$1,FALSE)</f>
        <v>1</v>
      </c>
      <c r="W146" s="9">
        <f>VLOOKUP($A146,地图配置辅助表!$A$3:$AP$245,地图配置辅助表!I$1,FALSE)</f>
        <v>6</v>
      </c>
      <c r="X146" s="9">
        <f>VLOOKUP($A146,地图配置辅助表!$A$3:$AP$245,地图配置辅助表!J$1,FALSE)</f>
        <v>0</v>
      </c>
      <c r="Y146" s="9">
        <f>VLOOKUP($A146,地图配置辅助表!$A$3:$AP$245,地图配置辅助表!K$1,FALSE)</f>
        <v>0</v>
      </c>
      <c r="Z146" s="9">
        <f>VLOOKUP($A146,地图配置辅助表!$A$3:$AP$245,地图配置辅助表!L$1,FALSE)</f>
        <v>0</v>
      </c>
      <c r="AA146" s="9">
        <f>VLOOKUP($A146,地图配置辅助表!$A$3:$AP$245,地图配置辅助表!M$1,FALSE)</f>
        <v>2</v>
      </c>
      <c r="AB146">
        <f>VLOOKUP($A146,地图配置辅助表!$A$3:$AP$245,地图配置辅助表!N$1,FALSE)</f>
        <v>1</v>
      </c>
      <c r="AC146" s="9">
        <f>VLOOKUP($A146,地图配置辅助表!$A$3:$AP$245,地图配置辅助表!O$1,FALSE)</f>
        <v>3</v>
      </c>
      <c r="AD146">
        <f>VLOOKUP($A146,地图配置辅助表!$A$3:$AP$245,地图配置辅助表!P$1,FALSE)</f>
        <v>7209</v>
      </c>
      <c r="AE146" s="8">
        <f>VLOOKUP($A146,地图配置辅助表!$A$3:$AP$245,地图配置辅助表!Q$1,FALSE)</f>
        <v>3</v>
      </c>
      <c r="AF146" s="8">
        <f>VLOOKUP($A146,地图配置辅助表!$A$3:$AP$245,地图配置辅助表!R$1,FALSE)</f>
        <v>8001</v>
      </c>
      <c r="AG146" s="11">
        <f>VLOOKUP($A146,地图配置辅助表!$A$3:$AP$245,地图配置辅助表!S$1,FALSE)</f>
        <v>508201</v>
      </c>
      <c r="AH146" s="11">
        <f>VLOOKUP($A146,地图配置辅助表!$A$3:$AP$245,地图配置辅助表!T$1,FALSE)</f>
        <v>281004</v>
      </c>
      <c r="AI146" s="9">
        <f>VLOOKUP($A146,地图配置辅助表!$A$3:$AP$245,地图配置辅助表!U$1,FALSE)</f>
        <v>3</v>
      </c>
      <c r="AJ146" s="9">
        <f>VLOOKUP($A146,地图配置辅助表!$A$3:$AP$245,地图配置辅助表!V$1,FALSE)</f>
        <v>281001</v>
      </c>
      <c r="AK146" s="9">
        <f>VLOOKUP($A146,地图配置辅助表!$A$3:$AP$245,地图配置辅助表!W$1,FALSE)</f>
        <v>281002</v>
      </c>
      <c r="AL146" s="9">
        <f>VLOOKUP($A146,地图配置辅助表!$A$3:$AP$245,地图配置辅助表!X$1,FALSE)</f>
        <v>281003</v>
      </c>
      <c r="AM146" s="9">
        <f>VLOOKUP($A146,地图配置辅助表!$A$3:$AP$245,地图配置辅助表!Y$1,FALSE)</f>
        <v>0</v>
      </c>
      <c r="AN146" s="9">
        <f>VLOOKUP($A146,地图配置辅助表!$A$3:$AP$245,地图配置辅助表!Z$1,FALSE)</f>
        <v>0</v>
      </c>
      <c r="AO146" s="9">
        <f>VLOOKUP($A146,地图配置辅助表!$A$3:$AP$245,地图配置辅助表!AA$1,FALSE)</f>
        <v>0</v>
      </c>
      <c r="AP146" s="9">
        <f>VLOOKUP($A146,地图配置辅助表!$A$3:$AP$245,地图配置辅助表!AB$1,FALSE)</f>
        <v>0</v>
      </c>
      <c r="AQ146" s="9">
        <f>VLOOKUP($A146,地图配置辅助表!$A$3:$AP$245,地图配置辅助表!AC$1,FALSE)</f>
        <v>0</v>
      </c>
      <c r="AR146" s="9">
        <f>VLOOKUP($A146,地图配置辅助表!$A$3:$AP$245,地图配置辅助表!AD$1,FALSE)</f>
        <v>0</v>
      </c>
      <c r="AS146" s="9">
        <f>VLOOKUP($A146,地图配置辅助表!$A$3:$AP$245,地图配置辅助表!AE$1,FALSE)</f>
        <v>0</v>
      </c>
      <c r="AT146" s="9">
        <f>VLOOKUP($A146,地图配置辅助表!$A$3:$AP$245,地图配置辅助表!AF$1,FALSE)</f>
        <v>3</v>
      </c>
      <c r="AU146" s="9">
        <f>VLOOKUP($A146,地图配置辅助表!$A$3:$AP$245,地图配置辅助表!AG$1,FALSE)</f>
        <v>920</v>
      </c>
      <c r="AV146" s="9">
        <f>VLOOKUP($A146,地图配置辅助表!$A$3:$AP$245,地图配置辅助表!AH$1,FALSE)</f>
        <v>921</v>
      </c>
      <c r="AW146" s="9">
        <f>VLOOKUP($A146,地图配置辅助表!$A$3:$AP$245,地图配置辅助表!AI$1,FALSE)</f>
        <v>922</v>
      </c>
      <c r="AX146" s="9">
        <f>VLOOKUP($A146,地图配置辅助表!$A$3:$AP$245,地图配置辅助表!AJ$1,FALSE)</f>
        <v>0</v>
      </c>
      <c r="AY146" s="9">
        <f>VLOOKUP($A146,地图配置辅助表!$A$3:$AP$245,地图配置辅助表!AK$1,FALSE)</f>
        <v>0</v>
      </c>
      <c r="AZ146" s="9">
        <f>VLOOKUP($A146,地图配置辅助表!$A$3:$AP$245,地图配置辅助表!AL$1,FALSE)</f>
        <v>0</v>
      </c>
      <c r="BA146" s="9">
        <f>VLOOKUP($A146,地图配置辅助表!$A$3:$AP$245,地图配置辅助表!AM$1,FALSE)</f>
        <v>0</v>
      </c>
      <c r="BB146" s="9">
        <f>VLOOKUP($A146,地图配置辅助表!$A$3:$AP$245,地图配置辅助表!AN$1,FALSE)</f>
        <v>0</v>
      </c>
      <c r="BC146" s="9">
        <f>VLOOKUP($A146,地图配置辅助表!$A$3:$AP$245,地图配置辅助表!AO$1,FALSE)</f>
        <v>0</v>
      </c>
      <c r="BD146" s="9">
        <f>VLOOKUP($A146,地图配置辅助表!$A$3:$AP$245,地图配置辅助表!AP$1,FALSE)</f>
        <v>0</v>
      </c>
    </row>
    <row r="147" spans="1:56" s="9" customFormat="1" x14ac:dyDescent="0.15">
      <c r="A147">
        <f>地图配置辅助表!A148</f>
        <v>8202</v>
      </c>
      <c r="B147" s="8">
        <f>地图配置辅助表!B148</f>
        <v>2</v>
      </c>
      <c r="C147" s="9">
        <f>地图配置辅助表!C148</f>
        <v>8</v>
      </c>
      <c r="D147" s="9" t="str">
        <f>地图配置辅助表!D148</f>
        <v>精英复仇乌鸦</v>
      </c>
      <c r="E147" s="9" t="str">
        <f t="shared" si="0"/>
        <v>挑战精英复仇乌鸦</v>
      </c>
      <c r="F147" s="9" t="s">
        <v>0</v>
      </c>
      <c r="G147" s="9">
        <v>29</v>
      </c>
      <c r="H147" s="9">
        <v>200</v>
      </c>
      <c r="I147" s="9">
        <v>140</v>
      </c>
      <c r="J147" s="9">
        <v>200</v>
      </c>
      <c r="K147" s="9">
        <v>140</v>
      </c>
      <c r="L147" s="9" t="s">
        <v>211</v>
      </c>
      <c r="M147" s="9">
        <v>0</v>
      </c>
      <c r="R147" s="9" t="s">
        <v>164</v>
      </c>
      <c r="S147" s="11">
        <f>VLOOKUP($A147,地图配置辅助表!$A$3:$AP$245,地图配置辅助表!E$1,FALSE)</f>
        <v>14</v>
      </c>
      <c r="T147" s="9">
        <f>VLOOKUP($A147,地图配置辅助表!$A$3:$AP$245,地图配置辅助表!F$1,FALSE)</f>
        <v>204662</v>
      </c>
      <c r="U147" s="9">
        <f>VLOOKUP($A147,地图配置辅助表!$A$3:$AP$245,地图配置辅助表!G$1,FALSE)</f>
        <v>1</v>
      </c>
      <c r="V147" s="9">
        <f>VLOOKUP($A147,地图配置辅助表!$A$3:$AP$245,地图配置辅助表!H$1,FALSE)</f>
        <v>1</v>
      </c>
      <c r="W147" s="9">
        <f>VLOOKUP($A147,地图配置辅助表!$A$3:$AP$245,地图配置辅助表!I$1,FALSE)</f>
        <v>6</v>
      </c>
      <c r="X147" s="9">
        <f>VLOOKUP($A147,地图配置辅助表!$A$3:$AP$245,地图配置辅助表!J$1,FALSE)</f>
        <v>0</v>
      </c>
      <c r="Y147" s="9">
        <f>VLOOKUP($A147,地图配置辅助表!$A$3:$AP$245,地图配置辅助表!K$1,FALSE)</f>
        <v>0</v>
      </c>
      <c r="Z147" s="9">
        <f>VLOOKUP($A147,地图配置辅助表!$A$3:$AP$245,地图配置辅助表!L$1,FALSE)</f>
        <v>0</v>
      </c>
      <c r="AA147" s="9">
        <f>VLOOKUP($A147,地图配置辅助表!$A$3:$AP$245,地图配置辅助表!M$1,FALSE)</f>
        <v>2</v>
      </c>
      <c r="AB147">
        <f>VLOOKUP($A147,地图配置辅助表!$A$3:$AP$245,地图配置辅助表!N$1,FALSE)</f>
        <v>1</v>
      </c>
      <c r="AC147" s="9">
        <f>VLOOKUP($A147,地图配置辅助表!$A$3:$AP$245,地图配置辅助表!O$1,FALSE)</f>
        <v>3</v>
      </c>
      <c r="AD147">
        <f>VLOOKUP($A147,地图配置辅助表!$A$3:$AP$245,地图配置辅助表!P$1,FALSE)</f>
        <v>8201</v>
      </c>
      <c r="AE147" s="8">
        <f>VLOOKUP($A147,地图配置辅助表!$A$3:$AP$245,地图配置辅助表!Q$1,FALSE)</f>
        <v>3</v>
      </c>
      <c r="AF147" s="8">
        <f>VLOOKUP($A147,地图配置辅助表!$A$3:$AP$245,地图配置辅助表!R$1,FALSE)</f>
        <v>8002</v>
      </c>
      <c r="AG147" s="11">
        <f>VLOOKUP($A147,地图配置辅助表!$A$3:$AP$245,地图配置辅助表!S$1,FALSE)</f>
        <v>508202</v>
      </c>
      <c r="AH147" s="11">
        <f>VLOOKUP($A147,地图配置辅助表!$A$3:$AP$245,地图配置辅助表!T$1,FALSE)</f>
        <v>282004</v>
      </c>
      <c r="AI147" s="9">
        <f>VLOOKUP($A147,地图配置辅助表!$A$3:$AP$245,地图配置辅助表!U$1,FALSE)</f>
        <v>3</v>
      </c>
      <c r="AJ147" s="9">
        <f>VLOOKUP($A147,地图配置辅助表!$A$3:$AP$245,地图配置辅助表!V$1,FALSE)</f>
        <v>282001</v>
      </c>
      <c r="AK147" s="9">
        <f>VLOOKUP($A147,地图配置辅助表!$A$3:$AP$245,地图配置辅助表!W$1,FALSE)</f>
        <v>282002</v>
      </c>
      <c r="AL147" s="9">
        <f>VLOOKUP($A147,地图配置辅助表!$A$3:$AP$245,地图配置辅助表!X$1,FALSE)</f>
        <v>282003</v>
      </c>
      <c r="AM147" s="9">
        <f>VLOOKUP($A147,地图配置辅助表!$A$3:$AP$245,地图配置辅助表!Y$1,FALSE)</f>
        <v>0</v>
      </c>
      <c r="AN147" s="9">
        <f>VLOOKUP($A147,地图配置辅助表!$A$3:$AP$245,地图配置辅助表!Z$1,FALSE)</f>
        <v>0</v>
      </c>
      <c r="AO147" s="9">
        <f>VLOOKUP($A147,地图配置辅助表!$A$3:$AP$245,地图配置辅助表!AA$1,FALSE)</f>
        <v>0</v>
      </c>
      <c r="AP147" s="9">
        <f>VLOOKUP($A147,地图配置辅助表!$A$3:$AP$245,地图配置辅助表!AB$1,FALSE)</f>
        <v>0</v>
      </c>
      <c r="AQ147" s="9">
        <f>VLOOKUP($A147,地图配置辅助表!$A$3:$AP$245,地图配置辅助表!AC$1,FALSE)</f>
        <v>0</v>
      </c>
      <c r="AR147" s="9">
        <f>VLOOKUP($A147,地图配置辅助表!$A$3:$AP$245,地图配置辅助表!AD$1,FALSE)</f>
        <v>0</v>
      </c>
      <c r="AS147" s="9">
        <f>VLOOKUP($A147,地图配置辅助表!$A$3:$AP$245,地图配置辅助表!AE$1,FALSE)</f>
        <v>0</v>
      </c>
      <c r="AT147" s="9">
        <f>VLOOKUP($A147,地图配置辅助表!$A$3:$AP$245,地图配置辅助表!AF$1,FALSE)</f>
        <v>3</v>
      </c>
      <c r="AU147" s="9">
        <f>VLOOKUP($A147,地图配置辅助表!$A$3:$AP$245,地图配置辅助表!AG$1,FALSE)</f>
        <v>513</v>
      </c>
      <c r="AV147" s="9">
        <f>VLOOKUP($A147,地图配置辅助表!$A$3:$AP$245,地图配置辅助表!AH$1,FALSE)</f>
        <v>514</v>
      </c>
      <c r="AW147" s="9">
        <f>VLOOKUP($A147,地图配置辅助表!$A$3:$AP$245,地图配置辅助表!AI$1,FALSE)</f>
        <v>515</v>
      </c>
      <c r="AX147" s="9">
        <f>VLOOKUP($A147,地图配置辅助表!$A$3:$AP$245,地图配置辅助表!AJ$1,FALSE)</f>
        <v>0</v>
      </c>
      <c r="AY147" s="9">
        <f>VLOOKUP($A147,地图配置辅助表!$A$3:$AP$245,地图配置辅助表!AK$1,FALSE)</f>
        <v>0</v>
      </c>
      <c r="AZ147" s="9">
        <f>VLOOKUP($A147,地图配置辅助表!$A$3:$AP$245,地图配置辅助表!AL$1,FALSE)</f>
        <v>0</v>
      </c>
      <c r="BA147" s="9">
        <f>VLOOKUP($A147,地图配置辅助表!$A$3:$AP$245,地图配置辅助表!AM$1,FALSE)</f>
        <v>0</v>
      </c>
      <c r="BB147" s="9">
        <f>VLOOKUP($A147,地图配置辅助表!$A$3:$AP$245,地图配置辅助表!AN$1,FALSE)</f>
        <v>0</v>
      </c>
      <c r="BC147" s="9">
        <f>VLOOKUP($A147,地图配置辅助表!$A$3:$AP$245,地图配置辅助表!AO$1,FALSE)</f>
        <v>0</v>
      </c>
      <c r="BD147" s="9">
        <f>VLOOKUP($A147,地图配置辅助表!$A$3:$AP$245,地图配置辅助表!AP$1,FALSE)</f>
        <v>0</v>
      </c>
    </row>
    <row r="148" spans="1:56" s="9" customFormat="1" x14ac:dyDescent="0.15">
      <c r="A148">
        <f>地图配置辅助表!A149</f>
        <v>8203</v>
      </c>
      <c r="B148" s="8">
        <f>地图配置辅助表!B149</f>
        <v>2</v>
      </c>
      <c r="C148" s="9">
        <f>地图配置辅助表!C149</f>
        <v>8</v>
      </c>
      <c r="D148" s="9" t="str">
        <f>地图配置辅助表!D149</f>
        <v>精英复仇司徒</v>
      </c>
      <c r="E148" s="9" t="str">
        <f t="shared" ref="E148:E154" si="1">"挑战"&amp;D148</f>
        <v>挑战精英复仇司徒</v>
      </c>
      <c r="F148" s="9" t="s">
        <v>0</v>
      </c>
      <c r="G148" s="9">
        <v>29</v>
      </c>
      <c r="H148" s="9">
        <v>200</v>
      </c>
      <c r="I148" s="9">
        <v>140</v>
      </c>
      <c r="J148" s="9">
        <v>200</v>
      </c>
      <c r="K148" s="9">
        <v>140</v>
      </c>
      <c r="L148" s="9" t="s">
        <v>212</v>
      </c>
      <c r="M148" s="9">
        <v>0</v>
      </c>
      <c r="R148" s="9" t="s">
        <v>165</v>
      </c>
      <c r="S148" s="11">
        <f>VLOOKUP($A148,地图配置辅助表!$A$3:$AP$245,地图配置辅助表!E$1,FALSE)</f>
        <v>14</v>
      </c>
      <c r="T148" s="9">
        <f>VLOOKUP($A148,地图配置辅助表!$A$3:$AP$245,地图配置辅助表!F$1,FALSE)</f>
        <v>219484</v>
      </c>
      <c r="U148" s="9">
        <f>VLOOKUP($A148,地图配置辅助表!$A$3:$AP$245,地图配置辅助表!G$1,FALSE)</f>
        <v>1</v>
      </c>
      <c r="V148" s="9">
        <f>VLOOKUP($A148,地图配置辅助表!$A$3:$AP$245,地图配置辅助表!H$1,FALSE)</f>
        <v>1</v>
      </c>
      <c r="W148" s="9">
        <f>VLOOKUP($A148,地图配置辅助表!$A$3:$AP$245,地图配置辅助表!I$1,FALSE)</f>
        <v>6</v>
      </c>
      <c r="X148" s="9">
        <f>VLOOKUP($A148,地图配置辅助表!$A$3:$AP$245,地图配置辅助表!J$1,FALSE)</f>
        <v>0</v>
      </c>
      <c r="Y148" s="9">
        <f>VLOOKUP($A148,地图配置辅助表!$A$3:$AP$245,地图配置辅助表!K$1,FALSE)</f>
        <v>0</v>
      </c>
      <c r="Z148" s="9">
        <f>VLOOKUP($A148,地图配置辅助表!$A$3:$AP$245,地图配置辅助表!L$1,FALSE)</f>
        <v>0</v>
      </c>
      <c r="AA148" s="9">
        <f>VLOOKUP($A148,地图配置辅助表!$A$3:$AP$245,地图配置辅助表!M$1,FALSE)</f>
        <v>2</v>
      </c>
      <c r="AB148">
        <f>VLOOKUP($A148,地图配置辅助表!$A$3:$AP$245,地图配置辅助表!N$1,FALSE)</f>
        <v>1</v>
      </c>
      <c r="AC148" s="9">
        <f>VLOOKUP($A148,地图配置辅助表!$A$3:$AP$245,地图配置辅助表!O$1,FALSE)</f>
        <v>3</v>
      </c>
      <c r="AD148">
        <f>VLOOKUP($A148,地图配置辅助表!$A$3:$AP$245,地图配置辅助表!P$1,FALSE)</f>
        <v>8202</v>
      </c>
      <c r="AE148" s="8">
        <f>VLOOKUP($A148,地图配置辅助表!$A$3:$AP$245,地图配置辅助表!Q$1,FALSE)</f>
        <v>3</v>
      </c>
      <c r="AF148" s="8">
        <f>VLOOKUP($A148,地图配置辅助表!$A$3:$AP$245,地图配置辅助表!R$1,FALSE)</f>
        <v>8003</v>
      </c>
      <c r="AG148" s="11">
        <f>VLOOKUP($A148,地图配置辅助表!$A$3:$AP$245,地图配置辅助表!S$1,FALSE)</f>
        <v>508203</v>
      </c>
      <c r="AH148" s="11">
        <f>VLOOKUP($A148,地图配置辅助表!$A$3:$AP$245,地图配置辅助表!T$1,FALSE)</f>
        <v>283004</v>
      </c>
      <c r="AI148" s="9">
        <f>VLOOKUP($A148,地图配置辅助表!$A$3:$AP$245,地图配置辅助表!U$1,FALSE)</f>
        <v>3</v>
      </c>
      <c r="AJ148" s="9">
        <f>VLOOKUP($A148,地图配置辅助表!$A$3:$AP$245,地图配置辅助表!V$1,FALSE)</f>
        <v>283001</v>
      </c>
      <c r="AK148" s="9">
        <f>VLOOKUP($A148,地图配置辅助表!$A$3:$AP$245,地图配置辅助表!W$1,FALSE)</f>
        <v>283002</v>
      </c>
      <c r="AL148" s="9">
        <f>VLOOKUP($A148,地图配置辅助表!$A$3:$AP$245,地图配置辅助表!X$1,FALSE)</f>
        <v>283003</v>
      </c>
      <c r="AM148" s="9">
        <f>VLOOKUP($A148,地图配置辅助表!$A$3:$AP$245,地图配置辅助表!Y$1,FALSE)</f>
        <v>0</v>
      </c>
      <c r="AN148" s="9">
        <f>VLOOKUP($A148,地图配置辅助表!$A$3:$AP$245,地图配置辅助表!Z$1,FALSE)</f>
        <v>0</v>
      </c>
      <c r="AO148" s="9">
        <f>VLOOKUP($A148,地图配置辅助表!$A$3:$AP$245,地图配置辅助表!AA$1,FALSE)</f>
        <v>0</v>
      </c>
      <c r="AP148" s="9">
        <f>VLOOKUP($A148,地图配置辅助表!$A$3:$AP$245,地图配置辅助表!AB$1,FALSE)</f>
        <v>0</v>
      </c>
      <c r="AQ148" s="9">
        <f>VLOOKUP($A148,地图配置辅助表!$A$3:$AP$245,地图配置辅助表!AC$1,FALSE)</f>
        <v>0</v>
      </c>
      <c r="AR148" s="9">
        <f>VLOOKUP($A148,地图配置辅助表!$A$3:$AP$245,地图配置辅助表!AD$1,FALSE)</f>
        <v>0</v>
      </c>
      <c r="AS148" s="9">
        <f>VLOOKUP($A148,地图配置辅助表!$A$3:$AP$245,地图配置辅助表!AE$1,FALSE)</f>
        <v>0</v>
      </c>
      <c r="AT148" s="9">
        <f>VLOOKUP($A148,地图配置辅助表!$A$3:$AP$245,地图配置辅助表!AF$1,FALSE)</f>
        <v>3</v>
      </c>
      <c r="AU148" s="9">
        <f>VLOOKUP($A148,地图配置辅助表!$A$3:$AP$245,地图配置辅助表!AG$1,FALSE)</f>
        <v>366</v>
      </c>
      <c r="AV148" s="9">
        <f>VLOOKUP($A148,地图配置辅助表!$A$3:$AP$245,地图配置辅助表!AH$1,FALSE)</f>
        <v>367</v>
      </c>
      <c r="AW148" s="9">
        <f>VLOOKUP($A148,地图配置辅助表!$A$3:$AP$245,地图配置辅助表!AI$1,FALSE)</f>
        <v>368</v>
      </c>
      <c r="AX148" s="9">
        <f>VLOOKUP($A148,地图配置辅助表!$A$3:$AP$245,地图配置辅助表!AJ$1,FALSE)</f>
        <v>0</v>
      </c>
      <c r="AY148" s="9">
        <f>VLOOKUP($A148,地图配置辅助表!$A$3:$AP$245,地图配置辅助表!AK$1,FALSE)</f>
        <v>0</v>
      </c>
      <c r="AZ148" s="9">
        <f>VLOOKUP($A148,地图配置辅助表!$A$3:$AP$245,地图配置辅助表!AL$1,FALSE)</f>
        <v>0</v>
      </c>
      <c r="BA148" s="9">
        <f>VLOOKUP($A148,地图配置辅助表!$A$3:$AP$245,地图配置辅助表!AM$1,FALSE)</f>
        <v>0</v>
      </c>
      <c r="BB148" s="9">
        <f>VLOOKUP($A148,地图配置辅助表!$A$3:$AP$245,地图配置辅助表!AN$1,FALSE)</f>
        <v>0</v>
      </c>
      <c r="BC148" s="9">
        <f>VLOOKUP($A148,地图配置辅助表!$A$3:$AP$245,地图配置辅助表!AO$1,FALSE)</f>
        <v>0</v>
      </c>
      <c r="BD148" s="9">
        <f>VLOOKUP($A148,地图配置辅助表!$A$3:$AP$245,地图配置辅助表!AP$1,FALSE)</f>
        <v>0</v>
      </c>
    </row>
    <row r="149" spans="1:56" s="9" customFormat="1" x14ac:dyDescent="0.15">
      <c r="A149">
        <f>地图配置辅助表!A150</f>
        <v>8204</v>
      </c>
      <c r="B149" s="8">
        <f>地图配置辅助表!B150</f>
        <v>2</v>
      </c>
      <c r="C149" s="9">
        <f>地图配置辅助表!C150</f>
        <v>8</v>
      </c>
      <c r="D149" s="9" t="str">
        <f>地图配置辅助表!D150</f>
        <v>精英生番</v>
      </c>
      <c r="E149" s="9" t="str">
        <f t="shared" si="1"/>
        <v>挑战精英生番</v>
      </c>
      <c r="F149" s="9" t="s">
        <v>0</v>
      </c>
      <c r="G149" s="9">
        <v>29</v>
      </c>
      <c r="H149" s="9">
        <v>200</v>
      </c>
      <c r="I149" s="9">
        <v>140</v>
      </c>
      <c r="J149" s="9">
        <v>200</v>
      </c>
      <c r="K149" s="9">
        <v>140</v>
      </c>
      <c r="L149" s="9" t="s">
        <v>213</v>
      </c>
      <c r="M149" s="9">
        <v>0</v>
      </c>
      <c r="R149" s="9" t="s">
        <v>166</v>
      </c>
      <c r="S149" s="11">
        <f>VLOOKUP($A149,地图配置辅助表!$A$3:$AP$245,地图配置辅助表!E$1,FALSE)</f>
        <v>14</v>
      </c>
      <c r="T149" s="9">
        <f>VLOOKUP($A149,地图配置辅助表!$A$3:$AP$245,地图配置辅助表!F$1,FALSE)</f>
        <v>235432</v>
      </c>
      <c r="U149" s="9">
        <f>VLOOKUP($A149,地图配置辅助表!$A$3:$AP$245,地图配置辅助表!G$1,FALSE)</f>
        <v>1</v>
      </c>
      <c r="V149" s="9">
        <f>VLOOKUP($A149,地图配置辅助表!$A$3:$AP$245,地图配置辅助表!H$1,FALSE)</f>
        <v>1</v>
      </c>
      <c r="W149" s="9">
        <f>VLOOKUP($A149,地图配置辅助表!$A$3:$AP$245,地图配置辅助表!I$1,FALSE)</f>
        <v>6</v>
      </c>
      <c r="X149" s="9">
        <f>VLOOKUP($A149,地图配置辅助表!$A$3:$AP$245,地图配置辅助表!J$1,FALSE)</f>
        <v>0</v>
      </c>
      <c r="Y149" s="9">
        <f>VLOOKUP($A149,地图配置辅助表!$A$3:$AP$245,地图配置辅助表!K$1,FALSE)</f>
        <v>0</v>
      </c>
      <c r="Z149" s="9">
        <f>VLOOKUP($A149,地图配置辅助表!$A$3:$AP$245,地图配置辅助表!L$1,FALSE)</f>
        <v>0</v>
      </c>
      <c r="AA149" s="9">
        <f>VLOOKUP($A149,地图配置辅助表!$A$3:$AP$245,地图配置辅助表!M$1,FALSE)</f>
        <v>2</v>
      </c>
      <c r="AB149">
        <f>VLOOKUP($A149,地图配置辅助表!$A$3:$AP$245,地图配置辅助表!N$1,FALSE)</f>
        <v>1</v>
      </c>
      <c r="AC149" s="9">
        <f>VLOOKUP($A149,地图配置辅助表!$A$3:$AP$245,地图配置辅助表!O$1,FALSE)</f>
        <v>3</v>
      </c>
      <c r="AD149">
        <f>VLOOKUP($A149,地图配置辅助表!$A$3:$AP$245,地图配置辅助表!P$1,FALSE)</f>
        <v>8203</v>
      </c>
      <c r="AE149" s="8">
        <f>VLOOKUP($A149,地图配置辅助表!$A$3:$AP$245,地图配置辅助表!Q$1,FALSE)</f>
        <v>3</v>
      </c>
      <c r="AF149" s="8">
        <f>VLOOKUP($A149,地图配置辅助表!$A$3:$AP$245,地图配置辅助表!R$1,FALSE)</f>
        <v>8004</v>
      </c>
      <c r="AG149" s="11">
        <f>VLOOKUP($A149,地图配置辅助表!$A$3:$AP$245,地图配置辅助表!S$1,FALSE)</f>
        <v>508204</v>
      </c>
      <c r="AH149" s="11">
        <f>VLOOKUP($A149,地图配置辅助表!$A$3:$AP$245,地图配置辅助表!T$1,FALSE)</f>
        <v>284004</v>
      </c>
      <c r="AI149" s="9">
        <f>VLOOKUP($A149,地图配置辅助表!$A$3:$AP$245,地图配置辅助表!U$1,FALSE)</f>
        <v>3</v>
      </c>
      <c r="AJ149" s="9">
        <f>VLOOKUP($A149,地图配置辅助表!$A$3:$AP$245,地图配置辅助表!V$1,FALSE)</f>
        <v>284001</v>
      </c>
      <c r="AK149" s="9">
        <f>VLOOKUP($A149,地图配置辅助表!$A$3:$AP$245,地图配置辅助表!W$1,FALSE)</f>
        <v>284002</v>
      </c>
      <c r="AL149" s="9">
        <f>VLOOKUP($A149,地图配置辅助表!$A$3:$AP$245,地图配置辅助表!X$1,FALSE)</f>
        <v>284003</v>
      </c>
      <c r="AM149" s="9">
        <f>VLOOKUP($A149,地图配置辅助表!$A$3:$AP$245,地图配置辅助表!Y$1,FALSE)</f>
        <v>0</v>
      </c>
      <c r="AN149" s="9">
        <f>VLOOKUP($A149,地图配置辅助表!$A$3:$AP$245,地图配置辅助表!Z$1,FALSE)</f>
        <v>0</v>
      </c>
      <c r="AO149" s="9">
        <f>VLOOKUP($A149,地图配置辅助表!$A$3:$AP$245,地图配置辅助表!AA$1,FALSE)</f>
        <v>0</v>
      </c>
      <c r="AP149" s="9">
        <f>VLOOKUP($A149,地图配置辅助表!$A$3:$AP$245,地图配置辅助表!AB$1,FALSE)</f>
        <v>0</v>
      </c>
      <c r="AQ149" s="9">
        <f>VLOOKUP($A149,地图配置辅助表!$A$3:$AP$245,地图配置辅助表!AC$1,FALSE)</f>
        <v>0</v>
      </c>
      <c r="AR149" s="9">
        <f>VLOOKUP($A149,地图配置辅助表!$A$3:$AP$245,地图配置辅助表!AD$1,FALSE)</f>
        <v>0</v>
      </c>
      <c r="AS149" s="9">
        <f>VLOOKUP($A149,地图配置辅助表!$A$3:$AP$245,地图配置辅助表!AE$1,FALSE)</f>
        <v>0</v>
      </c>
      <c r="AT149" s="9">
        <f>VLOOKUP($A149,地图配置辅助表!$A$3:$AP$245,地图配置辅助表!AF$1,FALSE)</f>
        <v>3</v>
      </c>
      <c r="AU149" s="9">
        <f>VLOOKUP($A149,地图配置辅助表!$A$3:$AP$245,地图配置辅助表!AG$1,FALSE)</f>
        <v>198</v>
      </c>
      <c r="AV149" s="9">
        <f>VLOOKUP($A149,地图配置辅助表!$A$3:$AP$245,地图配置辅助表!AH$1,FALSE)</f>
        <v>199</v>
      </c>
      <c r="AW149" s="9">
        <f>VLOOKUP($A149,地图配置辅助表!$A$3:$AP$245,地图配置辅助表!AI$1,FALSE)</f>
        <v>200</v>
      </c>
      <c r="AX149" s="9">
        <f>VLOOKUP($A149,地图配置辅助表!$A$3:$AP$245,地图配置辅助表!AJ$1,FALSE)</f>
        <v>0</v>
      </c>
      <c r="AY149" s="9">
        <f>VLOOKUP($A149,地图配置辅助表!$A$3:$AP$245,地图配置辅助表!AK$1,FALSE)</f>
        <v>0</v>
      </c>
      <c r="AZ149" s="9">
        <f>VLOOKUP($A149,地图配置辅助表!$A$3:$AP$245,地图配置辅助表!AL$1,FALSE)</f>
        <v>0</v>
      </c>
      <c r="BA149" s="9">
        <f>VLOOKUP($A149,地图配置辅助表!$A$3:$AP$245,地图配置辅助表!AM$1,FALSE)</f>
        <v>0</v>
      </c>
      <c r="BB149" s="9">
        <f>VLOOKUP($A149,地图配置辅助表!$A$3:$AP$245,地图配置辅助表!AN$1,FALSE)</f>
        <v>0</v>
      </c>
      <c r="BC149" s="9">
        <f>VLOOKUP($A149,地图配置辅助表!$A$3:$AP$245,地图配置辅助表!AO$1,FALSE)</f>
        <v>0</v>
      </c>
      <c r="BD149" s="9">
        <f>VLOOKUP($A149,地图配置辅助表!$A$3:$AP$245,地图配置辅助表!AP$1,FALSE)</f>
        <v>0</v>
      </c>
    </row>
    <row r="150" spans="1:56" s="9" customFormat="1" x14ac:dyDescent="0.15">
      <c r="A150">
        <f>地图配置辅助表!A151</f>
        <v>8205</v>
      </c>
      <c r="B150" s="8">
        <f>地图配置辅助表!B151</f>
        <v>2</v>
      </c>
      <c r="C150" s="9">
        <f>地图配置辅助表!C151</f>
        <v>8</v>
      </c>
      <c r="D150" s="9" t="str">
        <f>地图配置辅助表!D151</f>
        <v>精英耀阳</v>
      </c>
      <c r="E150" s="9" t="str">
        <f t="shared" si="1"/>
        <v>挑战精英耀阳</v>
      </c>
      <c r="F150" s="9" t="s">
        <v>0</v>
      </c>
      <c r="G150" s="9">
        <v>29</v>
      </c>
      <c r="H150" s="9">
        <v>200</v>
      </c>
      <c r="I150" s="9">
        <v>140</v>
      </c>
      <c r="J150" s="9">
        <v>200</v>
      </c>
      <c r="K150" s="9">
        <v>140</v>
      </c>
      <c r="L150" s="9" t="s">
        <v>214</v>
      </c>
      <c r="M150" s="9">
        <v>0</v>
      </c>
      <c r="R150" s="9" t="s">
        <v>167</v>
      </c>
      <c r="S150" s="11">
        <f>VLOOKUP($A150,地图配置辅助表!$A$3:$AP$245,地图配置辅助表!E$1,FALSE)</f>
        <v>14</v>
      </c>
      <c r="T150" s="9">
        <f>VLOOKUP($A150,地图配置辅助表!$A$3:$AP$245,地图配置辅助表!F$1,FALSE)</f>
        <v>252122</v>
      </c>
      <c r="U150" s="9">
        <f>VLOOKUP($A150,地图配置辅助表!$A$3:$AP$245,地图配置辅助表!G$1,FALSE)</f>
        <v>1</v>
      </c>
      <c r="V150" s="9">
        <f>VLOOKUP($A150,地图配置辅助表!$A$3:$AP$245,地图配置辅助表!H$1,FALSE)</f>
        <v>1</v>
      </c>
      <c r="W150" s="9">
        <f>VLOOKUP($A150,地图配置辅助表!$A$3:$AP$245,地图配置辅助表!I$1,FALSE)</f>
        <v>6</v>
      </c>
      <c r="X150" s="9">
        <f>VLOOKUP($A150,地图配置辅助表!$A$3:$AP$245,地图配置辅助表!J$1,FALSE)</f>
        <v>0</v>
      </c>
      <c r="Y150" s="9">
        <f>VLOOKUP($A150,地图配置辅助表!$A$3:$AP$245,地图配置辅助表!K$1,FALSE)</f>
        <v>0</v>
      </c>
      <c r="Z150" s="9">
        <f>VLOOKUP($A150,地图配置辅助表!$A$3:$AP$245,地图配置辅助表!L$1,FALSE)</f>
        <v>0</v>
      </c>
      <c r="AA150" s="9">
        <f>VLOOKUP($A150,地图配置辅助表!$A$3:$AP$245,地图配置辅助表!M$1,FALSE)</f>
        <v>2</v>
      </c>
      <c r="AB150">
        <f>VLOOKUP($A150,地图配置辅助表!$A$3:$AP$245,地图配置辅助表!N$1,FALSE)</f>
        <v>1</v>
      </c>
      <c r="AC150" s="9">
        <f>VLOOKUP($A150,地图配置辅助表!$A$3:$AP$245,地图配置辅助表!O$1,FALSE)</f>
        <v>3</v>
      </c>
      <c r="AD150">
        <f>VLOOKUP($A150,地图配置辅助表!$A$3:$AP$245,地图配置辅助表!P$1,FALSE)</f>
        <v>8204</v>
      </c>
      <c r="AE150" s="8">
        <f>VLOOKUP($A150,地图配置辅助表!$A$3:$AP$245,地图配置辅助表!Q$1,FALSE)</f>
        <v>3</v>
      </c>
      <c r="AF150" s="8">
        <f>VLOOKUP($A150,地图配置辅助表!$A$3:$AP$245,地图配置辅助表!R$1,FALSE)</f>
        <v>8005</v>
      </c>
      <c r="AG150" s="11">
        <f>VLOOKUP($A150,地图配置辅助表!$A$3:$AP$245,地图配置辅助表!S$1,FALSE)</f>
        <v>508205</v>
      </c>
      <c r="AH150" s="11">
        <f>VLOOKUP($A150,地图配置辅助表!$A$3:$AP$245,地图配置辅助表!T$1,FALSE)</f>
        <v>285004</v>
      </c>
      <c r="AI150" s="9">
        <f>VLOOKUP($A150,地图配置辅助表!$A$3:$AP$245,地图配置辅助表!U$1,FALSE)</f>
        <v>3</v>
      </c>
      <c r="AJ150" s="9">
        <f>VLOOKUP($A150,地图配置辅助表!$A$3:$AP$245,地图配置辅助表!V$1,FALSE)</f>
        <v>285001</v>
      </c>
      <c r="AK150" s="9">
        <f>VLOOKUP($A150,地图配置辅助表!$A$3:$AP$245,地图配置辅助表!W$1,FALSE)</f>
        <v>285002</v>
      </c>
      <c r="AL150" s="9">
        <f>VLOOKUP($A150,地图配置辅助表!$A$3:$AP$245,地图配置辅助表!X$1,FALSE)</f>
        <v>285003</v>
      </c>
      <c r="AM150" s="9">
        <f>VLOOKUP($A150,地图配置辅助表!$A$3:$AP$245,地图配置辅助表!Y$1,FALSE)</f>
        <v>0</v>
      </c>
      <c r="AN150" s="9">
        <f>VLOOKUP($A150,地图配置辅助表!$A$3:$AP$245,地图配置辅助表!Z$1,FALSE)</f>
        <v>0</v>
      </c>
      <c r="AO150" s="9">
        <f>VLOOKUP($A150,地图配置辅助表!$A$3:$AP$245,地图配置辅助表!AA$1,FALSE)</f>
        <v>0</v>
      </c>
      <c r="AP150" s="9">
        <f>VLOOKUP($A150,地图配置辅助表!$A$3:$AP$245,地图配置辅助表!AB$1,FALSE)</f>
        <v>0</v>
      </c>
      <c r="AQ150" s="9">
        <f>VLOOKUP($A150,地图配置辅助表!$A$3:$AP$245,地图配置辅助表!AC$1,FALSE)</f>
        <v>0</v>
      </c>
      <c r="AR150" s="9">
        <f>VLOOKUP($A150,地图配置辅助表!$A$3:$AP$245,地图配置辅助表!AD$1,FALSE)</f>
        <v>0</v>
      </c>
      <c r="AS150" s="9">
        <f>VLOOKUP($A150,地图配置辅助表!$A$3:$AP$245,地图配置辅助表!AE$1,FALSE)</f>
        <v>0</v>
      </c>
      <c r="AT150" s="9">
        <f>VLOOKUP($A150,地图配置辅助表!$A$3:$AP$245,地图配置辅助表!AF$1,FALSE)</f>
        <v>3</v>
      </c>
      <c r="AU150" s="9">
        <f>VLOOKUP($A150,地图配置辅助表!$A$3:$AP$245,地图配置辅助表!AG$1,FALSE)</f>
        <v>274</v>
      </c>
      <c r="AV150" s="9">
        <f>VLOOKUP($A150,地图配置辅助表!$A$3:$AP$245,地图配置辅助表!AH$1,FALSE)</f>
        <v>275</v>
      </c>
      <c r="AW150" s="9">
        <f>VLOOKUP($A150,地图配置辅助表!$A$3:$AP$245,地图配置辅助表!AI$1,FALSE)</f>
        <v>276</v>
      </c>
      <c r="AX150" s="9">
        <f>VLOOKUP($A150,地图配置辅助表!$A$3:$AP$245,地图配置辅助表!AJ$1,FALSE)</f>
        <v>0</v>
      </c>
      <c r="AY150" s="9">
        <f>VLOOKUP($A150,地图配置辅助表!$A$3:$AP$245,地图配置辅助表!AK$1,FALSE)</f>
        <v>0</v>
      </c>
      <c r="AZ150" s="9">
        <f>VLOOKUP($A150,地图配置辅助表!$A$3:$AP$245,地图配置辅助表!AL$1,FALSE)</f>
        <v>0</v>
      </c>
      <c r="BA150" s="9">
        <f>VLOOKUP($A150,地图配置辅助表!$A$3:$AP$245,地图配置辅助表!AM$1,FALSE)</f>
        <v>0</v>
      </c>
      <c r="BB150" s="9">
        <f>VLOOKUP($A150,地图配置辅助表!$A$3:$AP$245,地图配置辅助表!AN$1,FALSE)</f>
        <v>0</v>
      </c>
      <c r="BC150" s="9">
        <f>VLOOKUP($A150,地图配置辅助表!$A$3:$AP$245,地图配置辅助表!AO$1,FALSE)</f>
        <v>0</v>
      </c>
      <c r="BD150" s="9">
        <f>VLOOKUP($A150,地图配置辅助表!$A$3:$AP$245,地图配置辅助表!AP$1,FALSE)</f>
        <v>0</v>
      </c>
    </row>
    <row r="151" spans="1:56" s="9" customFormat="1" x14ac:dyDescent="0.15">
      <c r="A151">
        <f>地图配置辅助表!A152</f>
        <v>8206</v>
      </c>
      <c r="B151" s="8">
        <f>地图配置辅助表!B152</f>
        <v>2</v>
      </c>
      <c r="C151" s="9">
        <f>地图配置辅助表!C152</f>
        <v>8</v>
      </c>
      <c r="D151" s="9" t="str">
        <f>地图配置辅助表!D152</f>
        <v>精英赌王</v>
      </c>
      <c r="E151" s="9" t="str">
        <f t="shared" si="1"/>
        <v>挑战精英赌王</v>
      </c>
      <c r="F151" s="9" t="s">
        <v>0</v>
      </c>
      <c r="G151" s="9">
        <v>29</v>
      </c>
      <c r="H151" s="9">
        <v>200</v>
      </c>
      <c r="I151" s="9">
        <v>140</v>
      </c>
      <c r="J151" s="9">
        <v>200</v>
      </c>
      <c r="K151" s="9">
        <v>140</v>
      </c>
      <c r="L151" s="9" t="s">
        <v>215</v>
      </c>
      <c r="M151" s="9">
        <v>0</v>
      </c>
      <c r="R151" s="9" t="s">
        <v>168</v>
      </c>
      <c r="S151" s="11">
        <f>VLOOKUP($A151,地图配置辅助表!$A$3:$AP$245,地图配置辅助表!E$1,FALSE)</f>
        <v>14</v>
      </c>
      <c r="T151" s="9">
        <f>VLOOKUP($A151,地图配置辅助表!$A$3:$AP$245,地图配置辅助表!F$1,FALSE)</f>
        <v>286675</v>
      </c>
      <c r="U151" s="9">
        <f>VLOOKUP($A151,地图配置辅助表!$A$3:$AP$245,地图配置辅助表!G$1,FALSE)</f>
        <v>1</v>
      </c>
      <c r="V151" s="9">
        <f>VLOOKUP($A151,地图配置辅助表!$A$3:$AP$245,地图配置辅助表!H$1,FALSE)</f>
        <v>1</v>
      </c>
      <c r="W151" s="9">
        <f>VLOOKUP($A151,地图配置辅助表!$A$3:$AP$245,地图配置辅助表!I$1,FALSE)</f>
        <v>6</v>
      </c>
      <c r="X151" s="9">
        <f>VLOOKUP($A151,地图配置辅助表!$A$3:$AP$245,地图配置辅助表!J$1,FALSE)</f>
        <v>0</v>
      </c>
      <c r="Y151" s="9">
        <f>VLOOKUP($A151,地图配置辅助表!$A$3:$AP$245,地图配置辅助表!K$1,FALSE)</f>
        <v>0</v>
      </c>
      <c r="Z151" s="9">
        <f>VLOOKUP($A151,地图配置辅助表!$A$3:$AP$245,地图配置辅助表!L$1,FALSE)</f>
        <v>0</v>
      </c>
      <c r="AA151" s="9">
        <f>VLOOKUP($A151,地图配置辅助表!$A$3:$AP$245,地图配置辅助表!M$1,FALSE)</f>
        <v>2</v>
      </c>
      <c r="AB151">
        <f>VLOOKUP($A151,地图配置辅助表!$A$3:$AP$245,地图配置辅助表!N$1,FALSE)</f>
        <v>1</v>
      </c>
      <c r="AC151" s="9">
        <f>VLOOKUP($A151,地图配置辅助表!$A$3:$AP$245,地图配置辅助表!O$1,FALSE)</f>
        <v>3</v>
      </c>
      <c r="AD151">
        <f>VLOOKUP($A151,地图配置辅助表!$A$3:$AP$245,地图配置辅助表!P$1,FALSE)</f>
        <v>8205</v>
      </c>
      <c r="AE151" s="8">
        <f>VLOOKUP($A151,地图配置辅助表!$A$3:$AP$245,地图配置辅助表!Q$1,FALSE)</f>
        <v>3</v>
      </c>
      <c r="AF151" s="8">
        <f>VLOOKUP($A151,地图配置辅助表!$A$3:$AP$245,地图配置辅助表!R$1,FALSE)</f>
        <v>8006</v>
      </c>
      <c r="AG151" s="11">
        <f>VLOOKUP($A151,地图配置辅助表!$A$3:$AP$245,地图配置辅助表!S$1,FALSE)</f>
        <v>508206</v>
      </c>
      <c r="AH151" s="11">
        <f>VLOOKUP($A151,地图配置辅助表!$A$3:$AP$245,地图配置辅助表!T$1,FALSE)</f>
        <v>286004</v>
      </c>
      <c r="AI151" s="9">
        <f>VLOOKUP($A151,地图配置辅助表!$A$3:$AP$245,地图配置辅助表!U$1,FALSE)</f>
        <v>3</v>
      </c>
      <c r="AJ151" s="9">
        <f>VLOOKUP($A151,地图配置辅助表!$A$3:$AP$245,地图配置辅助表!V$1,FALSE)</f>
        <v>286001</v>
      </c>
      <c r="AK151" s="9">
        <f>VLOOKUP($A151,地图配置辅助表!$A$3:$AP$245,地图配置辅助表!W$1,FALSE)</f>
        <v>286002</v>
      </c>
      <c r="AL151" s="9">
        <f>VLOOKUP($A151,地图配置辅助表!$A$3:$AP$245,地图配置辅助表!X$1,FALSE)</f>
        <v>286003</v>
      </c>
      <c r="AM151" s="9">
        <f>VLOOKUP($A151,地图配置辅助表!$A$3:$AP$245,地图配置辅助表!Y$1,FALSE)</f>
        <v>0</v>
      </c>
      <c r="AN151" s="9">
        <f>VLOOKUP($A151,地图配置辅助表!$A$3:$AP$245,地图配置辅助表!Z$1,FALSE)</f>
        <v>0</v>
      </c>
      <c r="AO151" s="9">
        <f>VLOOKUP($A151,地图配置辅助表!$A$3:$AP$245,地图配置辅助表!AA$1,FALSE)</f>
        <v>0</v>
      </c>
      <c r="AP151" s="9">
        <f>VLOOKUP($A151,地图配置辅助表!$A$3:$AP$245,地图配置辅助表!AB$1,FALSE)</f>
        <v>0</v>
      </c>
      <c r="AQ151" s="9">
        <f>VLOOKUP($A151,地图配置辅助表!$A$3:$AP$245,地图配置辅助表!AC$1,FALSE)</f>
        <v>0</v>
      </c>
      <c r="AR151" s="9">
        <f>VLOOKUP($A151,地图配置辅助表!$A$3:$AP$245,地图配置辅助表!AD$1,FALSE)</f>
        <v>0</v>
      </c>
      <c r="AS151" s="9">
        <f>VLOOKUP($A151,地图配置辅助表!$A$3:$AP$245,地图配置辅助表!AE$1,FALSE)</f>
        <v>0</v>
      </c>
      <c r="AT151" s="9">
        <f>VLOOKUP($A151,地图配置辅助表!$A$3:$AP$245,地图配置辅助表!AF$1,FALSE)</f>
        <v>3</v>
      </c>
      <c r="AU151" s="9">
        <f>VLOOKUP($A151,地图配置辅助表!$A$3:$AP$245,地图配置辅助表!AG$1,FALSE)</f>
        <v>246</v>
      </c>
      <c r="AV151" s="9">
        <f>VLOOKUP($A151,地图配置辅助表!$A$3:$AP$245,地图配置辅助表!AH$1,FALSE)</f>
        <v>247</v>
      </c>
      <c r="AW151" s="9">
        <f>VLOOKUP($A151,地图配置辅助表!$A$3:$AP$245,地图配置辅助表!AI$1,FALSE)</f>
        <v>248</v>
      </c>
      <c r="AX151" s="9">
        <f>VLOOKUP($A151,地图配置辅助表!$A$3:$AP$245,地图配置辅助表!AJ$1,FALSE)</f>
        <v>0</v>
      </c>
      <c r="AY151" s="9">
        <f>VLOOKUP($A151,地图配置辅助表!$A$3:$AP$245,地图配置辅助表!AK$1,FALSE)</f>
        <v>0</v>
      </c>
      <c r="AZ151" s="9">
        <f>VLOOKUP($A151,地图配置辅助表!$A$3:$AP$245,地图配置辅助表!AL$1,FALSE)</f>
        <v>0</v>
      </c>
      <c r="BA151" s="9">
        <f>VLOOKUP($A151,地图配置辅助表!$A$3:$AP$245,地图配置辅助表!AM$1,FALSE)</f>
        <v>0</v>
      </c>
      <c r="BB151" s="9">
        <f>VLOOKUP($A151,地图配置辅助表!$A$3:$AP$245,地图配置辅助表!AN$1,FALSE)</f>
        <v>0</v>
      </c>
      <c r="BC151" s="9">
        <f>VLOOKUP($A151,地图配置辅助表!$A$3:$AP$245,地图配置辅助表!AO$1,FALSE)</f>
        <v>0</v>
      </c>
      <c r="BD151" s="9">
        <f>VLOOKUP($A151,地图配置辅助表!$A$3:$AP$245,地图配置辅助表!AP$1,FALSE)</f>
        <v>0</v>
      </c>
    </row>
    <row r="152" spans="1:56" s="9" customFormat="1" x14ac:dyDescent="0.15">
      <c r="A152">
        <f>地图配置辅助表!A153</f>
        <v>8207</v>
      </c>
      <c r="B152" s="8">
        <f>地图配置辅助表!B153</f>
        <v>2</v>
      </c>
      <c r="C152" s="9">
        <f>地图配置辅助表!C153</f>
        <v>8</v>
      </c>
      <c r="D152" s="9" t="str">
        <f>地图配置辅助表!D153</f>
        <v>精英地中海</v>
      </c>
      <c r="E152" s="9" t="str">
        <f t="shared" si="1"/>
        <v>挑战精英地中海</v>
      </c>
      <c r="F152" s="9" t="s">
        <v>0</v>
      </c>
      <c r="G152" s="9">
        <v>29</v>
      </c>
      <c r="H152" s="9">
        <v>200</v>
      </c>
      <c r="I152" s="9">
        <v>140</v>
      </c>
      <c r="J152" s="9">
        <v>200</v>
      </c>
      <c r="K152" s="9">
        <v>140</v>
      </c>
      <c r="L152" s="9" t="s">
        <v>518</v>
      </c>
      <c r="M152" s="9">
        <v>0</v>
      </c>
      <c r="R152" s="9" t="s">
        <v>527</v>
      </c>
      <c r="S152" s="11">
        <f>VLOOKUP($A152,地图配置辅助表!$A$3:$AP$245,地图配置辅助表!E$1,FALSE)</f>
        <v>14</v>
      </c>
      <c r="T152" s="9">
        <f>VLOOKUP($A152,地图配置辅助表!$A$3:$AP$245,地图配置辅助表!F$1,FALSE)</f>
        <v>305992</v>
      </c>
      <c r="U152" s="9">
        <f>VLOOKUP($A152,地图配置辅助表!$A$3:$AP$245,地图配置辅助表!G$1,FALSE)</f>
        <v>1</v>
      </c>
      <c r="V152" s="9">
        <f>VLOOKUP($A152,地图配置辅助表!$A$3:$AP$245,地图配置辅助表!H$1,FALSE)</f>
        <v>1</v>
      </c>
      <c r="W152" s="9">
        <f>VLOOKUP($A152,地图配置辅助表!$A$3:$AP$245,地图配置辅助表!I$1,FALSE)</f>
        <v>6</v>
      </c>
      <c r="X152" s="9">
        <f>VLOOKUP($A152,地图配置辅助表!$A$3:$AP$245,地图配置辅助表!J$1,FALSE)</f>
        <v>0</v>
      </c>
      <c r="Y152" s="9">
        <f>VLOOKUP($A152,地图配置辅助表!$A$3:$AP$245,地图配置辅助表!K$1,FALSE)</f>
        <v>0</v>
      </c>
      <c r="Z152" s="9">
        <f>VLOOKUP($A152,地图配置辅助表!$A$3:$AP$245,地图配置辅助表!L$1,FALSE)</f>
        <v>0</v>
      </c>
      <c r="AA152" s="9">
        <f>VLOOKUP($A152,地图配置辅助表!$A$3:$AP$245,地图配置辅助表!M$1,FALSE)</f>
        <v>2</v>
      </c>
      <c r="AB152">
        <f>VLOOKUP($A152,地图配置辅助表!$A$3:$AP$245,地图配置辅助表!N$1,FALSE)</f>
        <v>1</v>
      </c>
      <c r="AC152" s="9">
        <f>VLOOKUP($A152,地图配置辅助表!$A$3:$AP$245,地图配置辅助表!O$1,FALSE)</f>
        <v>3</v>
      </c>
      <c r="AD152">
        <f>VLOOKUP($A152,地图配置辅助表!$A$3:$AP$245,地图配置辅助表!P$1,FALSE)</f>
        <v>8206</v>
      </c>
      <c r="AE152" s="8">
        <f>VLOOKUP($A152,地图配置辅助表!$A$3:$AP$245,地图配置辅助表!Q$1,FALSE)</f>
        <v>3</v>
      </c>
      <c r="AF152" s="8">
        <f>VLOOKUP($A152,地图配置辅助表!$A$3:$AP$245,地图配置辅助表!R$1,FALSE)</f>
        <v>8007</v>
      </c>
      <c r="AG152" s="11">
        <f>VLOOKUP($A152,地图配置辅助表!$A$3:$AP$245,地图配置辅助表!S$1,FALSE)</f>
        <v>508207</v>
      </c>
      <c r="AH152" s="11">
        <f>VLOOKUP($A152,地图配置辅助表!$A$3:$AP$245,地图配置辅助表!T$1,FALSE)</f>
        <v>287004</v>
      </c>
      <c r="AI152" s="9">
        <f>VLOOKUP($A152,地图配置辅助表!$A$3:$AP$245,地图配置辅助表!U$1,FALSE)</f>
        <v>3</v>
      </c>
      <c r="AJ152" s="9">
        <f>VLOOKUP($A152,地图配置辅助表!$A$3:$AP$245,地图配置辅助表!V$1,FALSE)</f>
        <v>287001</v>
      </c>
      <c r="AK152" s="9">
        <f>VLOOKUP($A152,地图配置辅助表!$A$3:$AP$245,地图配置辅助表!W$1,FALSE)</f>
        <v>287002</v>
      </c>
      <c r="AL152" s="9">
        <f>VLOOKUP($A152,地图配置辅助表!$A$3:$AP$245,地图配置辅助表!X$1,FALSE)</f>
        <v>287003</v>
      </c>
      <c r="AM152" s="9">
        <f>VLOOKUP($A152,地图配置辅助表!$A$3:$AP$245,地图配置辅助表!Y$1,FALSE)</f>
        <v>0</v>
      </c>
      <c r="AN152" s="9">
        <f>VLOOKUP($A152,地图配置辅助表!$A$3:$AP$245,地图配置辅助表!Z$1,FALSE)</f>
        <v>0</v>
      </c>
      <c r="AO152" s="9">
        <f>VLOOKUP($A152,地图配置辅助表!$A$3:$AP$245,地图配置辅助表!AA$1,FALSE)</f>
        <v>0</v>
      </c>
      <c r="AP152" s="9">
        <f>VLOOKUP($A152,地图配置辅助表!$A$3:$AP$245,地图配置辅助表!AB$1,FALSE)</f>
        <v>0</v>
      </c>
      <c r="AQ152" s="9">
        <f>VLOOKUP($A152,地图配置辅助表!$A$3:$AP$245,地图配置辅助表!AC$1,FALSE)</f>
        <v>0</v>
      </c>
      <c r="AR152" s="9">
        <f>VLOOKUP($A152,地图配置辅助表!$A$3:$AP$245,地图配置辅助表!AD$1,FALSE)</f>
        <v>0</v>
      </c>
      <c r="AS152" s="9">
        <f>VLOOKUP($A152,地图配置辅助表!$A$3:$AP$245,地图配置辅助表!AE$1,FALSE)</f>
        <v>0</v>
      </c>
      <c r="AT152" s="9">
        <f>VLOOKUP($A152,地图配置辅助表!$A$3:$AP$245,地图配置辅助表!AF$1,FALSE)</f>
        <v>3</v>
      </c>
      <c r="AU152" s="9">
        <f>VLOOKUP($A152,地图配置辅助表!$A$3:$AP$245,地图配置辅助表!AG$1,FALSE)</f>
        <v>920</v>
      </c>
      <c r="AV152" s="9">
        <f>VLOOKUP($A152,地图配置辅助表!$A$3:$AP$245,地图配置辅助表!AH$1,FALSE)</f>
        <v>921</v>
      </c>
      <c r="AW152" s="9">
        <f>VLOOKUP($A152,地图配置辅助表!$A$3:$AP$245,地图配置辅助表!AI$1,FALSE)</f>
        <v>922</v>
      </c>
      <c r="AX152" s="9">
        <f>VLOOKUP($A152,地图配置辅助表!$A$3:$AP$245,地图配置辅助表!AJ$1,FALSE)</f>
        <v>0</v>
      </c>
      <c r="AY152" s="9">
        <f>VLOOKUP($A152,地图配置辅助表!$A$3:$AP$245,地图配置辅助表!AK$1,FALSE)</f>
        <v>0</v>
      </c>
      <c r="AZ152" s="9">
        <f>VLOOKUP($A152,地图配置辅助表!$A$3:$AP$245,地图配置辅助表!AL$1,FALSE)</f>
        <v>0</v>
      </c>
      <c r="BA152" s="9">
        <f>VLOOKUP($A152,地图配置辅助表!$A$3:$AP$245,地图配置辅助表!AM$1,FALSE)</f>
        <v>0</v>
      </c>
      <c r="BB152" s="9">
        <f>VLOOKUP($A152,地图配置辅助表!$A$3:$AP$245,地图配置辅助表!AN$1,FALSE)</f>
        <v>0</v>
      </c>
      <c r="BC152" s="9">
        <f>VLOOKUP($A152,地图配置辅助表!$A$3:$AP$245,地图配置辅助表!AO$1,FALSE)</f>
        <v>0</v>
      </c>
      <c r="BD152" s="9">
        <f>VLOOKUP($A152,地图配置辅助表!$A$3:$AP$245,地图配置辅助表!AP$1,FALSE)</f>
        <v>0</v>
      </c>
    </row>
    <row r="153" spans="1:56" s="9" customFormat="1" x14ac:dyDescent="0.15">
      <c r="A153">
        <f>地图配置辅助表!A154</f>
        <v>8208</v>
      </c>
      <c r="B153" s="8">
        <f>地图配置辅助表!B154</f>
        <v>2</v>
      </c>
      <c r="C153" s="9">
        <f>地图配置辅助表!C154</f>
        <v>8</v>
      </c>
      <c r="D153" s="9" t="str">
        <f>地图配置辅助表!D154</f>
        <v>精英山鸡</v>
      </c>
      <c r="E153" s="9" t="str">
        <f t="shared" si="1"/>
        <v>挑战精英山鸡</v>
      </c>
      <c r="F153" s="9" t="s">
        <v>0</v>
      </c>
      <c r="G153" s="9">
        <v>29</v>
      </c>
      <c r="H153" s="9">
        <v>200</v>
      </c>
      <c r="I153" s="9">
        <v>140</v>
      </c>
      <c r="J153" s="9">
        <v>200</v>
      </c>
      <c r="K153" s="9">
        <v>140</v>
      </c>
      <c r="L153" s="9" t="s">
        <v>519</v>
      </c>
      <c r="M153" s="9">
        <v>0</v>
      </c>
      <c r="R153" s="9" t="s">
        <v>528</v>
      </c>
      <c r="S153" s="11">
        <f>VLOOKUP($A153,地图配置辅助表!$A$3:$AP$245,地图配置辅助表!E$1,FALSE)</f>
        <v>14</v>
      </c>
      <c r="T153" s="9">
        <f>VLOOKUP($A153,地图配置辅助表!$A$3:$AP$245,地图配置辅助表!F$1,FALSE)</f>
        <v>336618</v>
      </c>
      <c r="U153" s="9">
        <f>VLOOKUP($A153,地图配置辅助表!$A$3:$AP$245,地图配置辅助表!G$1,FALSE)</f>
        <v>1</v>
      </c>
      <c r="V153" s="9">
        <f>VLOOKUP($A153,地图配置辅助表!$A$3:$AP$245,地图配置辅助表!H$1,FALSE)</f>
        <v>1</v>
      </c>
      <c r="W153" s="9">
        <f>VLOOKUP($A153,地图配置辅助表!$A$3:$AP$245,地图配置辅助表!I$1,FALSE)</f>
        <v>6</v>
      </c>
      <c r="X153" s="9">
        <f>VLOOKUP($A153,地图配置辅助表!$A$3:$AP$245,地图配置辅助表!J$1,FALSE)</f>
        <v>0</v>
      </c>
      <c r="Y153" s="9">
        <f>VLOOKUP($A153,地图配置辅助表!$A$3:$AP$245,地图配置辅助表!K$1,FALSE)</f>
        <v>0</v>
      </c>
      <c r="Z153" s="9">
        <f>VLOOKUP($A153,地图配置辅助表!$A$3:$AP$245,地图配置辅助表!L$1,FALSE)</f>
        <v>0</v>
      </c>
      <c r="AA153" s="9">
        <f>VLOOKUP($A153,地图配置辅助表!$A$3:$AP$245,地图配置辅助表!M$1,FALSE)</f>
        <v>2</v>
      </c>
      <c r="AB153">
        <f>VLOOKUP($A153,地图配置辅助表!$A$3:$AP$245,地图配置辅助表!N$1,FALSE)</f>
        <v>1</v>
      </c>
      <c r="AC153" s="9">
        <f>VLOOKUP($A153,地图配置辅助表!$A$3:$AP$245,地图配置辅助表!O$1,FALSE)</f>
        <v>3</v>
      </c>
      <c r="AD153">
        <f>VLOOKUP($A153,地图配置辅助表!$A$3:$AP$245,地图配置辅助表!P$1,FALSE)</f>
        <v>8207</v>
      </c>
      <c r="AE153" s="8">
        <f>VLOOKUP($A153,地图配置辅助表!$A$3:$AP$245,地图配置辅助表!Q$1,FALSE)</f>
        <v>3</v>
      </c>
      <c r="AF153" s="8">
        <f>VLOOKUP($A153,地图配置辅助表!$A$3:$AP$245,地图配置辅助表!R$1,FALSE)</f>
        <v>8008</v>
      </c>
      <c r="AG153" s="11">
        <f>VLOOKUP($A153,地图配置辅助表!$A$3:$AP$245,地图配置辅助表!S$1,FALSE)</f>
        <v>508208</v>
      </c>
      <c r="AH153" s="11">
        <f>VLOOKUP($A153,地图配置辅助表!$A$3:$AP$245,地图配置辅助表!T$1,FALSE)</f>
        <v>288004</v>
      </c>
      <c r="AI153" s="9">
        <f>VLOOKUP($A153,地图配置辅助表!$A$3:$AP$245,地图配置辅助表!U$1,FALSE)</f>
        <v>3</v>
      </c>
      <c r="AJ153" s="9">
        <f>VLOOKUP($A153,地图配置辅助表!$A$3:$AP$245,地图配置辅助表!V$1,FALSE)</f>
        <v>288001</v>
      </c>
      <c r="AK153" s="9">
        <f>VLOOKUP($A153,地图配置辅助表!$A$3:$AP$245,地图配置辅助表!W$1,FALSE)</f>
        <v>288002</v>
      </c>
      <c r="AL153" s="9">
        <f>VLOOKUP($A153,地图配置辅助表!$A$3:$AP$245,地图配置辅助表!X$1,FALSE)</f>
        <v>288003</v>
      </c>
      <c r="AM153" s="9">
        <f>VLOOKUP($A153,地图配置辅助表!$A$3:$AP$245,地图配置辅助表!Y$1,FALSE)</f>
        <v>0</v>
      </c>
      <c r="AN153" s="9">
        <f>VLOOKUP($A153,地图配置辅助表!$A$3:$AP$245,地图配置辅助表!Z$1,FALSE)</f>
        <v>0</v>
      </c>
      <c r="AO153" s="9">
        <f>VLOOKUP($A153,地图配置辅助表!$A$3:$AP$245,地图配置辅助表!AA$1,FALSE)</f>
        <v>0</v>
      </c>
      <c r="AP153" s="9">
        <f>VLOOKUP($A153,地图配置辅助表!$A$3:$AP$245,地图配置辅助表!AB$1,FALSE)</f>
        <v>0</v>
      </c>
      <c r="AQ153" s="9">
        <f>VLOOKUP($A153,地图配置辅助表!$A$3:$AP$245,地图配置辅助表!AC$1,FALSE)</f>
        <v>0</v>
      </c>
      <c r="AR153" s="9">
        <f>VLOOKUP($A153,地图配置辅助表!$A$3:$AP$245,地图配置辅助表!AD$1,FALSE)</f>
        <v>0</v>
      </c>
      <c r="AS153" s="9">
        <f>VLOOKUP($A153,地图配置辅助表!$A$3:$AP$245,地图配置辅助表!AE$1,FALSE)</f>
        <v>0</v>
      </c>
      <c r="AT153" s="9">
        <f>VLOOKUP($A153,地图配置辅助表!$A$3:$AP$245,地图配置辅助表!AF$1,FALSE)</f>
        <v>3</v>
      </c>
      <c r="AU153" s="9">
        <f>VLOOKUP($A153,地图配置辅助表!$A$3:$AP$245,地图配置辅助表!AG$1,FALSE)</f>
        <v>513</v>
      </c>
      <c r="AV153" s="9">
        <f>VLOOKUP($A153,地图配置辅助表!$A$3:$AP$245,地图配置辅助表!AH$1,FALSE)</f>
        <v>514</v>
      </c>
      <c r="AW153" s="9">
        <f>VLOOKUP($A153,地图配置辅助表!$A$3:$AP$245,地图配置辅助表!AI$1,FALSE)</f>
        <v>515</v>
      </c>
      <c r="AX153" s="9">
        <f>VLOOKUP($A153,地图配置辅助表!$A$3:$AP$245,地图配置辅助表!AJ$1,FALSE)</f>
        <v>0</v>
      </c>
      <c r="AY153" s="9">
        <f>VLOOKUP($A153,地图配置辅助表!$A$3:$AP$245,地图配置辅助表!AK$1,FALSE)</f>
        <v>0</v>
      </c>
      <c r="AZ153" s="9">
        <f>VLOOKUP($A153,地图配置辅助表!$A$3:$AP$245,地图配置辅助表!AL$1,FALSE)</f>
        <v>0</v>
      </c>
      <c r="BA153" s="9">
        <f>VLOOKUP($A153,地图配置辅助表!$A$3:$AP$245,地图配置辅助表!AM$1,FALSE)</f>
        <v>0</v>
      </c>
      <c r="BB153" s="9">
        <f>VLOOKUP($A153,地图配置辅助表!$A$3:$AP$245,地图配置辅助表!AN$1,FALSE)</f>
        <v>0</v>
      </c>
      <c r="BC153" s="9">
        <f>VLOOKUP($A153,地图配置辅助表!$A$3:$AP$245,地图配置辅助表!AO$1,FALSE)</f>
        <v>0</v>
      </c>
      <c r="BD153" s="9">
        <f>VLOOKUP($A153,地图配置辅助表!$A$3:$AP$245,地图配置辅助表!AP$1,FALSE)</f>
        <v>0</v>
      </c>
    </row>
    <row r="154" spans="1:56" s="9" customFormat="1" x14ac:dyDescent="0.15">
      <c r="A154">
        <f>地图配置辅助表!A155</f>
        <v>8209</v>
      </c>
      <c r="B154" s="8">
        <f>地图配置辅助表!B155</f>
        <v>2</v>
      </c>
      <c r="C154" s="9">
        <f>地图配置辅助表!C155</f>
        <v>8</v>
      </c>
      <c r="D154" s="9" t="str">
        <f>地图配置辅助表!D155</f>
        <v>精英雷复轰</v>
      </c>
      <c r="E154" s="9" t="str">
        <f t="shared" si="1"/>
        <v>挑战精英雷复轰</v>
      </c>
      <c r="F154" s="9" t="s">
        <v>0</v>
      </c>
      <c r="G154" s="9">
        <v>29</v>
      </c>
      <c r="H154" s="9">
        <v>200</v>
      </c>
      <c r="I154" s="9">
        <v>140</v>
      </c>
      <c r="J154" s="9">
        <v>200</v>
      </c>
      <c r="K154" s="9">
        <v>140</v>
      </c>
      <c r="L154" s="9" t="s">
        <v>520</v>
      </c>
      <c r="M154" s="9">
        <v>0</v>
      </c>
      <c r="R154" s="9" t="s">
        <v>529</v>
      </c>
      <c r="S154" s="11">
        <f>VLOOKUP($A154,地图配置辅助表!$A$3:$AP$245,地图配置辅助表!E$1,FALSE)</f>
        <v>14</v>
      </c>
      <c r="T154" s="9">
        <f>VLOOKUP($A154,地图配置辅助表!$A$3:$AP$245,地图配置辅助表!F$1,FALSE)</f>
        <v>358836</v>
      </c>
      <c r="U154" s="9">
        <f>VLOOKUP($A154,地图配置辅助表!$A$3:$AP$245,地图配置辅助表!G$1,FALSE)</f>
        <v>1</v>
      </c>
      <c r="V154" s="9">
        <f>VLOOKUP($A154,地图配置辅助表!$A$3:$AP$245,地图配置辅助表!H$1,FALSE)</f>
        <v>1</v>
      </c>
      <c r="W154" s="9">
        <f>VLOOKUP($A154,地图配置辅助表!$A$3:$AP$245,地图配置辅助表!I$1,FALSE)</f>
        <v>6</v>
      </c>
      <c r="X154" s="9">
        <f>VLOOKUP($A154,地图配置辅助表!$A$3:$AP$245,地图配置辅助表!J$1,FALSE)</f>
        <v>0</v>
      </c>
      <c r="Y154" s="9">
        <f>VLOOKUP($A154,地图配置辅助表!$A$3:$AP$245,地图配置辅助表!K$1,FALSE)</f>
        <v>0</v>
      </c>
      <c r="Z154" s="9">
        <f>VLOOKUP($A154,地图配置辅助表!$A$3:$AP$245,地图配置辅助表!L$1,FALSE)</f>
        <v>0</v>
      </c>
      <c r="AA154" s="9">
        <f>VLOOKUP($A154,地图配置辅助表!$A$3:$AP$245,地图配置辅助表!M$1,FALSE)</f>
        <v>2</v>
      </c>
      <c r="AB154">
        <f>VLOOKUP($A154,地图配置辅助表!$A$3:$AP$245,地图配置辅助表!N$1,FALSE)</f>
        <v>1</v>
      </c>
      <c r="AC154" s="9">
        <f>VLOOKUP($A154,地图配置辅助表!$A$3:$AP$245,地图配置辅助表!O$1,FALSE)</f>
        <v>3</v>
      </c>
      <c r="AD154">
        <f>VLOOKUP($A154,地图配置辅助表!$A$3:$AP$245,地图配置辅助表!P$1,FALSE)</f>
        <v>8208</v>
      </c>
      <c r="AE154" s="8">
        <f>VLOOKUP($A154,地图配置辅助表!$A$3:$AP$245,地图配置辅助表!Q$1,FALSE)</f>
        <v>3</v>
      </c>
      <c r="AF154" s="8">
        <f>VLOOKUP($A154,地图配置辅助表!$A$3:$AP$245,地图配置辅助表!R$1,FALSE)</f>
        <v>8009</v>
      </c>
      <c r="AG154" s="11">
        <f>VLOOKUP($A154,地图配置辅助表!$A$3:$AP$245,地图配置辅助表!S$1,FALSE)</f>
        <v>508209</v>
      </c>
      <c r="AH154" s="11">
        <f>VLOOKUP($A154,地图配置辅助表!$A$3:$AP$245,地图配置辅助表!T$1,FALSE)</f>
        <v>289004</v>
      </c>
      <c r="AI154" s="9">
        <f>VLOOKUP($A154,地图配置辅助表!$A$3:$AP$245,地图配置辅助表!U$1,FALSE)</f>
        <v>3</v>
      </c>
      <c r="AJ154" s="9">
        <f>VLOOKUP($A154,地图配置辅助表!$A$3:$AP$245,地图配置辅助表!V$1,FALSE)</f>
        <v>289001</v>
      </c>
      <c r="AK154" s="9">
        <f>VLOOKUP($A154,地图配置辅助表!$A$3:$AP$245,地图配置辅助表!W$1,FALSE)</f>
        <v>289002</v>
      </c>
      <c r="AL154" s="9">
        <f>VLOOKUP($A154,地图配置辅助表!$A$3:$AP$245,地图配置辅助表!X$1,FALSE)</f>
        <v>289003</v>
      </c>
      <c r="AM154" s="9">
        <f>VLOOKUP($A154,地图配置辅助表!$A$3:$AP$245,地图配置辅助表!Y$1,FALSE)</f>
        <v>0</v>
      </c>
      <c r="AN154" s="9">
        <f>VLOOKUP($A154,地图配置辅助表!$A$3:$AP$245,地图配置辅助表!Z$1,FALSE)</f>
        <v>0</v>
      </c>
      <c r="AO154" s="9">
        <f>VLOOKUP($A154,地图配置辅助表!$A$3:$AP$245,地图配置辅助表!AA$1,FALSE)</f>
        <v>0</v>
      </c>
      <c r="AP154" s="9">
        <f>VLOOKUP($A154,地图配置辅助表!$A$3:$AP$245,地图配置辅助表!AB$1,FALSE)</f>
        <v>0</v>
      </c>
      <c r="AQ154" s="9">
        <f>VLOOKUP($A154,地图配置辅助表!$A$3:$AP$245,地图配置辅助表!AC$1,FALSE)</f>
        <v>0</v>
      </c>
      <c r="AR154" s="9">
        <f>VLOOKUP($A154,地图配置辅助表!$A$3:$AP$245,地图配置辅助表!AD$1,FALSE)</f>
        <v>0</v>
      </c>
      <c r="AS154" s="9">
        <f>VLOOKUP($A154,地图配置辅助表!$A$3:$AP$245,地图配置辅助表!AE$1,FALSE)</f>
        <v>0</v>
      </c>
      <c r="AT154" s="9">
        <f>VLOOKUP($A154,地图配置辅助表!$A$3:$AP$245,地图配置辅助表!AF$1,FALSE)</f>
        <v>3</v>
      </c>
      <c r="AU154" s="9">
        <f>VLOOKUP($A154,地图配置辅助表!$A$3:$AP$245,地图配置辅助表!AG$1,FALSE)</f>
        <v>366</v>
      </c>
      <c r="AV154" s="9">
        <f>VLOOKUP($A154,地图配置辅助表!$A$3:$AP$245,地图配置辅助表!AH$1,FALSE)</f>
        <v>367</v>
      </c>
      <c r="AW154" s="9">
        <f>VLOOKUP($A154,地图配置辅助表!$A$3:$AP$245,地图配置辅助表!AI$1,FALSE)</f>
        <v>368</v>
      </c>
      <c r="AX154" s="9">
        <f>VLOOKUP($A154,地图配置辅助表!$A$3:$AP$245,地图配置辅助表!AJ$1,FALSE)</f>
        <v>0</v>
      </c>
      <c r="AY154" s="9">
        <f>VLOOKUP($A154,地图配置辅助表!$A$3:$AP$245,地图配置辅助表!AK$1,FALSE)</f>
        <v>0</v>
      </c>
      <c r="AZ154" s="9">
        <f>VLOOKUP($A154,地图配置辅助表!$A$3:$AP$245,地图配置辅助表!AL$1,FALSE)</f>
        <v>0</v>
      </c>
      <c r="BA154" s="9">
        <f>VLOOKUP($A154,地图配置辅助表!$A$3:$AP$245,地图配置辅助表!AM$1,FALSE)</f>
        <v>0</v>
      </c>
      <c r="BB154" s="9">
        <f>VLOOKUP($A154,地图配置辅助表!$A$3:$AP$245,地图配置辅助表!AN$1,FALSE)</f>
        <v>0</v>
      </c>
      <c r="BC154" s="9">
        <f>VLOOKUP($A154,地图配置辅助表!$A$3:$AP$245,地图配置辅助表!AO$1,FALSE)</f>
        <v>0</v>
      </c>
      <c r="BD154" s="9">
        <f>VLOOKUP($A154,地图配置辅助表!$A$3:$AP$245,地图配置辅助表!AP$1,FALSE)</f>
        <v>0</v>
      </c>
    </row>
    <row r="155" spans="1:56" s="9" customFormat="1" x14ac:dyDescent="0.15">
      <c r="A155">
        <f>地图配置辅助表!A156</f>
        <v>1301</v>
      </c>
      <c r="B155" s="8">
        <f>地图配置辅助表!B156</f>
        <v>3</v>
      </c>
      <c r="C155" s="9">
        <f>地图配置辅助表!C156</f>
        <v>1</v>
      </c>
      <c r="D155" s="9" t="s">
        <v>588</v>
      </c>
      <c r="E155" s="9" t="s">
        <v>401</v>
      </c>
      <c r="F155" s="9" t="s">
        <v>540</v>
      </c>
      <c r="G155" s="9">
        <v>29</v>
      </c>
      <c r="H155" s="9">
        <v>160</v>
      </c>
      <c r="I155" s="9">
        <v>160</v>
      </c>
      <c r="J155" s="9">
        <v>200</v>
      </c>
      <c r="K155" s="9">
        <v>140</v>
      </c>
      <c r="L155" s="9" t="s">
        <v>216</v>
      </c>
      <c r="M155" s="9">
        <v>0</v>
      </c>
      <c r="R155" s="9" t="s">
        <v>250</v>
      </c>
      <c r="S155" s="11">
        <f>VLOOKUP($A155,地图配置辅助表!$A$3:$AP$245,地图配置辅助表!E$1,FALSE)</f>
        <v>12</v>
      </c>
      <c r="T155" s="9">
        <f>VLOOKUP($A155,地图配置辅助表!$A$3:$AP$245,地图配置辅助表!F$1,FALSE)</f>
        <v>2433</v>
      </c>
      <c r="U155" s="9">
        <f>VLOOKUP($A155,地图配置辅助表!$A$3:$AP$245,地图配置辅助表!G$1,FALSE)</f>
        <v>1</v>
      </c>
      <c r="V155" s="9">
        <f>VLOOKUP($A155,地图配置辅助表!$A$3:$AP$245,地图配置辅助表!H$1,FALSE)</f>
        <v>1</v>
      </c>
      <c r="W155" s="9">
        <f>VLOOKUP($A155,地图配置辅助表!$A$3:$AP$245,地图配置辅助表!I$1,FALSE)</f>
        <v>2</v>
      </c>
      <c r="X155" s="9">
        <f>VLOOKUP($A155,地图配置辅助表!$A$3:$AP$245,地图配置辅助表!J$1,FALSE)</f>
        <v>300</v>
      </c>
      <c r="Y155" s="9">
        <f>VLOOKUP($A155,地图配置辅助表!$A$3:$AP$245,地图配置辅助表!K$1,FALSE)</f>
        <v>0</v>
      </c>
      <c r="Z155" s="9">
        <f>VLOOKUP($A155,地图配置辅助表!$A$3:$AP$245,地图配置辅助表!L$1,FALSE)</f>
        <v>0</v>
      </c>
      <c r="AA155" s="9">
        <f>VLOOKUP($A155,地图配置辅助表!$A$3:$AP$245,地图配置辅助表!M$1,FALSE)</f>
        <v>2</v>
      </c>
      <c r="AB155">
        <f>VLOOKUP($A155,地图配置辅助表!$A$3:$AP$245,地图配置辅助表!N$1,FALSE)</f>
        <v>1</v>
      </c>
      <c r="AC155" s="9">
        <f>VLOOKUP($A155,地图配置辅助表!$A$3:$AP$245,地图配置辅助表!O$1,FALSE)</f>
        <v>1</v>
      </c>
      <c r="AD155">
        <f>VLOOKUP($A155,地图配置辅助表!$A$3:$AP$245,地图配置辅助表!P$1,FALSE)</f>
        <v>17</v>
      </c>
      <c r="AE155" s="8">
        <f>VLOOKUP($A155,地图配置辅助表!$A$3:$AP$245,地图配置辅助表!Q$1,FALSE)</f>
        <v>4</v>
      </c>
      <c r="AF155" s="8">
        <f>VLOOKUP($A155,地图配置辅助表!$A$3:$AP$245,地图配置辅助表!R$1,FALSE)</f>
        <v>1015</v>
      </c>
      <c r="AG155" s="11">
        <f>VLOOKUP($A155,地图配置辅助表!$A$3:$AP$245,地图配置辅助表!S$1,FALSE)</f>
        <v>501301</v>
      </c>
      <c r="AH155" s="11">
        <f>VLOOKUP($A155,地图配置辅助表!$A$3:$AP$245,地图配置辅助表!T$1,FALSE)</f>
        <v>301101</v>
      </c>
      <c r="AI155" s="9">
        <f>VLOOKUP($A155,地图配置辅助表!$A$3:$AP$245,地图配置辅助表!U$1,FALSE)</f>
        <v>0</v>
      </c>
      <c r="AJ155" s="9">
        <f>VLOOKUP($A155,地图配置辅助表!$A$3:$AP$245,地图配置辅助表!V$1,FALSE)</f>
        <v>0</v>
      </c>
      <c r="AK155" s="9">
        <f>VLOOKUP($A155,地图配置辅助表!$A$3:$AP$245,地图配置辅助表!W$1,FALSE)</f>
        <v>0</v>
      </c>
      <c r="AL155" s="9">
        <f>VLOOKUP($A155,地图配置辅助表!$A$3:$AP$245,地图配置辅助表!X$1,FALSE)</f>
        <v>0</v>
      </c>
      <c r="AM155" s="9">
        <f>VLOOKUP($A155,地图配置辅助表!$A$3:$AP$245,地图配置辅助表!Y$1,FALSE)</f>
        <v>0</v>
      </c>
      <c r="AN155" s="9">
        <f>VLOOKUP($A155,地图配置辅助表!$A$3:$AP$245,地图配置辅助表!Z$1,FALSE)</f>
        <v>0</v>
      </c>
      <c r="AO155" s="9">
        <f>VLOOKUP($A155,地图配置辅助表!$A$3:$AP$245,地图配置辅助表!AA$1,FALSE)</f>
        <v>0</v>
      </c>
      <c r="AP155" s="9">
        <f>VLOOKUP($A155,地图配置辅助表!$A$3:$AP$245,地图配置辅助表!AB$1,FALSE)</f>
        <v>0</v>
      </c>
      <c r="AQ155" s="9">
        <f>VLOOKUP($A155,地图配置辅助表!$A$3:$AP$245,地图配置辅助表!AC$1,FALSE)</f>
        <v>0</v>
      </c>
      <c r="AR155" s="9">
        <f>VLOOKUP($A155,地图配置辅助表!$A$3:$AP$245,地图配置辅助表!AD$1,FALSE)</f>
        <v>0</v>
      </c>
      <c r="AS155" s="9">
        <f>VLOOKUP($A155,地图配置辅助表!$A$3:$AP$245,地图配置辅助表!AE$1,FALSE)</f>
        <v>0</v>
      </c>
      <c r="AT155" s="9">
        <f>VLOOKUP($A155,地图配置辅助表!$A$3:$AP$245,地图配置辅助表!AF$1,FALSE)</f>
        <v>1</v>
      </c>
      <c r="AU155" s="9">
        <f>VLOOKUP($A155,地图配置辅助表!$A$3:$AP$245,地图配置辅助表!AG$1,FALSE)</f>
        <v>96</v>
      </c>
      <c r="AV155" s="9">
        <f>VLOOKUP($A155,地图配置辅助表!$A$3:$AP$245,地图配置辅助表!AH$1,FALSE)</f>
        <v>0</v>
      </c>
      <c r="AW155" s="9">
        <f>VLOOKUP($A155,地图配置辅助表!$A$3:$AP$245,地图配置辅助表!AI$1,FALSE)</f>
        <v>0</v>
      </c>
      <c r="AX155" s="9">
        <f>VLOOKUP($A155,地图配置辅助表!$A$3:$AP$245,地图配置辅助表!AJ$1,FALSE)</f>
        <v>0</v>
      </c>
      <c r="AY155" s="9">
        <f>VLOOKUP($A155,地图配置辅助表!$A$3:$AP$245,地图配置辅助表!AK$1,FALSE)</f>
        <v>0</v>
      </c>
      <c r="AZ155" s="9">
        <f>VLOOKUP($A155,地图配置辅助表!$A$3:$AP$245,地图配置辅助表!AL$1,FALSE)</f>
        <v>0</v>
      </c>
      <c r="BA155" s="9">
        <f>VLOOKUP($A155,地图配置辅助表!$A$3:$AP$245,地图配置辅助表!AM$1,FALSE)</f>
        <v>0</v>
      </c>
      <c r="BB155" s="9">
        <f>VLOOKUP($A155,地图配置辅助表!$A$3:$AP$245,地图配置辅助表!AN$1,FALSE)</f>
        <v>0</v>
      </c>
      <c r="BC155" s="9">
        <f>VLOOKUP($A155,地图配置辅助表!$A$3:$AP$245,地图配置辅助表!AO$1,FALSE)</f>
        <v>0</v>
      </c>
      <c r="BD155" s="9">
        <f>VLOOKUP($A155,地图配置辅助表!$A$3:$AP$245,地图配置辅助表!AP$1,FALSE)</f>
        <v>0</v>
      </c>
    </row>
    <row r="156" spans="1:56" s="9" customFormat="1" x14ac:dyDescent="0.15">
      <c r="A156">
        <f>地图配置辅助表!A157</f>
        <v>1302</v>
      </c>
      <c r="B156" s="8">
        <f>地图配置辅助表!B157</f>
        <v>3</v>
      </c>
      <c r="C156" s="9">
        <f>地图配置辅助表!C157</f>
        <v>2</v>
      </c>
      <c r="D156" s="9" t="s">
        <v>432</v>
      </c>
      <c r="E156" s="9" t="s">
        <v>401</v>
      </c>
      <c r="F156" s="9" t="s">
        <v>540</v>
      </c>
      <c r="G156" s="9">
        <v>29</v>
      </c>
      <c r="H156" s="9">
        <v>160</v>
      </c>
      <c r="I156" s="9">
        <v>160</v>
      </c>
      <c r="J156" s="9">
        <v>200</v>
      </c>
      <c r="K156" s="9">
        <v>140</v>
      </c>
      <c r="L156" s="9" t="s">
        <v>217</v>
      </c>
      <c r="M156" s="9">
        <v>0</v>
      </c>
      <c r="R156" s="9" t="s">
        <v>250</v>
      </c>
      <c r="S156" s="11">
        <f>VLOOKUP($A156,地图配置辅助表!$A$3:$AP$245,地图配置辅助表!E$1,FALSE)</f>
        <v>12</v>
      </c>
      <c r="T156" s="9">
        <f>VLOOKUP($A156,地图配置辅助表!$A$3:$AP$245,地图配置辅助表!F$1,FALSE)</f>
        <v>6472</v>
      </c>
      <c r="U156" s="9">
        <f>VLOOKUP($A156,地图配置辅助表!$A$3:$AP$245,地图配置辅助表!G$1,FALSE)</f>
        <v>1</v>
      </c>
      <c r="V156" s="9">
        <f>VLOOKUP($A156,地图配置辅助表!$A$3:$AP$245,地图配置辅助表!H$1,FALSE)</f>
        <v>1</v>
      </c>
      <c r="W156" s="9">
        <f>VLOOKUP($A156,地图配置辅助表!$A$3:$AP$245,地图配置辅助表!I$1,FALSE)</f>
        <v>2</v>
      </c>
      <c r="X156" s="9">
        <f>VLOOKUP($A156,地图配置辅助表!$A$3:$AP$245,地图配置辅助表!J$1,FALSE)</f>
        <v>300</v>
      </c>
      <c r="Y156" s="9">
        <f>VLOOKUP($A156,地图配置辅助表!$A$3:$AP$245,地图配置辅助表!K$1,FALSE)</f>
        <v>0</v>
      </c>
      <c r="Z156" s="9">
        <f>VLOOKUP($A156,地图配置辅助表!$A$3:$AP$245,地图配置辅助表!L$1,FALSE)</f>
        <v>0</v>
      </c>
      <c r="AA156" s="9">
        <f>VLOOKUP($A156,地图配置辅助表!$A$3:$AP$245,地图配置辅助表!M$1,FALSE)</f>
        <v>2</v>
      </c>
      <c r="AB156">
        <f>VLOOKUP($A156,地图配置辅助表!$A$3:$AP$245,地图配置辅助表!N$1,FALSE)</f>
        <v>1</v>
      </c>
      <c r="AC156" s="9">
        <f>VLOOKUP($A156,地图配置辅助表!$A$3:$AP$245,地图配置辅助表!O$1,FALSE)</f>
        <v>1</v>
      </c>
      <c r="AD156">
        <f>VLOOKUP($A156,地图配置辅助表!$A$3:$AP$245,地图配置辅助表!P$1,FALSE)</f>
        <v>29</v>
      </c>
      <c r="AE156" s="8">
        <f>VLOOKUP($A156,地图配置辅助表!$A$3:$AP$245,地图配置辅助表!Q$1,FALSE)</f>
        <v>3</v>
      </c>
      <c r="AF156" s="8">
        <f>VLOOKUP($A156,地图配置辅助表!$A$3:$AP$245,地图配置辅助表!R$1,FALSE)</f>
        <v>1301</v>
      </c>
      <c r="AG156" s="11">
        <f>VLOOKUP($A156,地图配置辅助表!$A$3:$AP$245,地图配置辅助表!S$1,FALSE)</f>
        <v>501302</v>
      </c>
      <c r="AH156" s="11">
        <f>VLOOKUP($A156,地图配置辅助表!$A$3:$AP$245,地图配置辅助表!T$1,FALSE)</f>
        <v>302101</v>
      </c>
      <c r="AI156" s="9">
        <f>VLOOKUP($A156,地图配置辅助表!$A$3:$AP$245,地图配置辅助表!U$1,FALSE)</f>
        <v>0</v>
      </c>
      <c r="AJ156" s="9">
        <f>VLOOKUP($A156,地图配置辅助表!$A$3:$AP$245,地图配置辅助表!V$1,FALSE)</f>
        <v>0</v>
      </c>
      <c r="AK156" s="9">
        <f>VLOOKUP($A156,地图配置辅助表!$A$3:$AP$245,地图配置辅助表!W$1,FALSE)</f>
        <v>0</v>
      </c>
      <c r="AL156" s="9">
        <f>VLOOKUP($A156,地图配置辅助表!$A$3:$AP$245,地图配置辅助表!X$1,FALSE)</f>
        <v>0</v>
      </c>
      <c r="AM156" s="9">
        <f>VLOOKUP($A156,地图配置辅助表!$A$3:$AP$245,地图配置辅助表!Y$1,FALSE)</f>
        <v>0</v>
      </c>
      <c r="AN156" s="9">
        <f>VLOOKUP($A156,地图配置辅助表!$A$3:$AP$245,地图配置辅助表!Z$1,FALSE)</f>
        <v>0</v>
      </c>
      <c r="AO156" s="9">
        <f>VLOOKUP($A156,地图配置辅助表!$A$3:$AP$245,地图配置辅助表!AA$1,FALSE)</f>
        <v>0</v>
      </c>
      <c r="AP156" s="9">
        <f>VLOOKUP($A156,地图配置辅助表!$A$3:$AP$245,地图配置辅助表!AB$1,FALSE)</f>
        <v>0</v>
      </c>
      <c r="AQ156" s="9">
        <f>VLOOKUP($A156,地图配置辅助表!$A$3:$AP$245,地图配置辅助表!AC$1,FALSE)</f>
        <v>0</v>
      </c>
      <c r="AR156" s="9">
        <f>VLOOKUP($A156,地图配置辅助表!$A$3:$AP$245,地图配置辅助表!AD$1,FALSE)</f>
        <v>0</v>
      </c>
      <c r="AS156" s="9">
        <f>VLOOKUP($A156,地图配置辅助表!$A$3:$AP$245,地图配置辅助表!AE$1,FALSE)</f>
        <v>0</v>
      </c>
      <c r="AT156" s="9">
        <f>VLOOKUP($A156,地图配置辅助表!$A$3:$AP$245,地图配置辅助表!AF$1,FALSE)</f>
        <v>1</v>
      </c>
      <c r="AU156" s="9">
        <f>VLOOKUP($A156,地图配置辅助表!$A$3:$AP$245,地图配置辅助表!AG$1,FALSE)</f>
        <v>99</v>
      </c>
      <c r="AV156" s="9">
        <f>VLOOKUP($A156,地图配置辅助表!$A$3:$AP$245,地图配置辅助表!AH$1,FALSE)</f>
        <v>0</v>
      </c>
      <c r="AW156" s="9">
        <f>VLOOKUP($A156,地图配置辅助表!$A$3:$AP$245,地图配置辅助表!AI$1,FALSE)</f>
        <v>0</v>
      </c>
      <c r="AX156" s="9">
        <f>VLOOKUP($A156,地图配置辅助表!$A$3:$AP$245,地图配置辅助表!AJ$1,FALSE)</f>
        <v>0</v>
      </c>
      <c r="AY156" s="9">
        <f>VLOOKUP($A156,地图配置辅助表!$A$3:$AP$245,地图配置辅助表!AK$1,FALSE)</f>
        <v>0</v>
      </c>
      <c r="AZ156" s="9">
        <f>VLOOKUP($A156,地图配置辅助表!$A$3:$AP$245,地图配置辅助表!AL$1,FALSE)</f>
        <v>0</v>
      </c>
      <c r="BA156" s="9">
        <f>VLOOKUP($A156,地图配置辅助表!$A$3:$AP$245,地图配置辅助表!AM$1,FALSE)</f>
        <v>0</v>
      </c>
      <c r="BB156" s="9">
        <f>VLOOKUP($A156,地图配置辅助表!$A$3:$AP$245,地图配置辅助表!AN$1,FALSE)</f>
        <v>0</v>
      </c>
      <c r="BC156" s="9">
        <f>VLOOKUP($A156,地图配置辅助表!$A$3:$AP$245,地图配置辅助表!AO$1,FALSE)</f>
        <v>0</v>
      </c>
      <c r="BD156" s="9">
        <f>VLOOKUP($A156,地图配置辅助表!$A$3:$AP$245,地图配置辅助表!AP$1,FALSE)</f>
        <v>0</v>
      </c>
    </row>
    <row r="157" spans="1:56" s="9" customFormat="1" x14ac:dyDescent="0.15">
      <c r="A157">
        <f>地图配置辅助表!A158</f>
        <v>1303</v>
      </c>
      <c r="B157" s="8">
        <f>地图配置辅助表!B158</f>
        <v>3</v>
      </c>
      <c r="C157" s="9">
        <f>地图配置辅助表!C158</f>
        <v>3</v>
      </c>
      <c r="D157" s="9" t="s">
        <v>433</v>
      </c>
      <c r="E157" s="9" t="s">
        <v>402</v>
      </c>
      <c r="F157" s="9" t="s">
        <v>540</v>
      </c>
      <c r="G157" s="9">
        <v>29</v>
      </c>
      <c r="H157" s="9">
        <v>160</v>
      </c>
      <c r="I157" s="9">
        <v>160</v>
      </c>
      <c r="J157" s="9">
        <v>200</v>
      </c>
      <c r="K157" s="9">
        <v>140</v>
      </c>
      <c r="L157" s="9" t="s">
        <v>218</v>
      </c>
      <c r="M157" s="9">
        <v>0</v>
      </c>
      <c r="R157" s="9" t="s">
        <v>250</v>
      </c>
      <c r="S157" s="11">
        <f>VLOOKUP($A157,地图配置辅助表!$A$3:$AP$245,地图配置辅助表!E$1,FALSE)</f>
        <v>12</v>
      </c>
      <c r="T157" s="9">
        <f>VLOOKUP($A157,地图配置辅助表!$A$3:$AP$245,地图配置辅助表!F$1,FALSE)</f>
        <v>15994</v>
      </c>
      <c r="U157" s="9">
        <f>VLOOKUP($A157,地图配置辅助表!$A$3:$AP$245,地图配置辅助表!G$1,FALSE)</f>
        <v>1</v>
      </c>
      <c r="V157" s="9">
        <f>VLOOKUP($A157,地图配置辅助表!$A$3:$AP$245,地图配置辅助表!H$1,FALSE)</f>
        <v>1</v>
      </c>
      <c r="W157" s="9">
        <f>VLOOKUP($A157,地图配置辅助表!$A$3:$AP$245,地图配置辅助表!I$1,FALSE)</f>
        <v>2</v>
      </c>
      <c r="X157" s="9">
        <f>VLOOKUP($A157,地图配置辅助表!$A$3:$AP$245,地图配置辅助表!J$1,FALSE)</f>
        <v>300</v>
      </c>
      <c r="Y157" s="9">
        <f>VLOOKUP($A157,地图配置辅助表!$A$3:$AP$245,地图配置辅助表!K$1,FALSE)</f>
        <v>0</v>
      </c>
      <c r="Z157" s="9">
        <f>VLOOKUP($A157,地图配置辅助表!$A$3:$AP$245,地图配置辅助表!L$1,FALSE)</f>
        <v>0</v>
      </c>
      <c r="AA157" s="9">
        <f>VLOOKUP($A157,地图配置辅助表!$A$3:$AP$245,地图配置辅助表!M$1,FALSE)</f>
        <v>2</v>
      </c>
      <c r="AB157">
        <f>VLOOKUP($A157,地图配置辅助表!$A$3:$AP$245,地图配置辅助表!N$1,FALSE)</f>
        <v>1</v>
      </c>
      <c r="AC157" s="9">
        <f>VLOOKUP($A157,地图配置辅助表!$A$3:$AP$245,地图配置辅助表!O$1,FALSE)</f>
        <v>1</v>
      </c>
      <c r="AD157">
        <f>VLOOKUP($A157,地图配置辅助表!$A$3:$AP$245,地图配置辅助表!P$1,FALSE)</f>
        <v>39</v>
      </c>
      <c r="AE157" s="8">
        <f>VLOOKUP($A157,地图配置辅助表!$A$3:$AP$245,地图配置辅助表!Q$1,FALSE)</f>
        <v>3</v>
      </c>
      <c r="AF157" s="8">
        <f>VLOOKUP($A157,地图配置辅助表!$A$3:$AP$245,地图配置辅助表!R$1,FALSE)</f>
        <v>1302</v>
      </c>
      <c r="AG157" s="11">
        <f>VLOOKUP($A157,地图配置辅助表!$A$3:$AP$245,地图配置辅助表!S$1,FALSE)</f>
        <v>501303</v>
      </c>
      <c r="AH157" s="11">
        <f>VLOOKUP($A157,地图配置辅助表!$A$3:$AP$245,地图配置辅助表!T$1,FALSE)</f>
        <v>303101</v>
      </c>
      <c r="AI157" s="9">
        <f>VLOOKUP($A157,地图配置辅助表!$A$3:$AP$245,地图配置辅助表!U$1,FALSE)</f>
        <v>0</v>
      </c>
      <c r="AJ157" s="9">
        <f>VLOOKUP($A157,地图配置辅助表!$A$3:$AP$245,地图配置辅助表!V$1,FALSE)</f>
        <v>0</v>
      </c>
      <c r="AK157" s="9">
        <f>VLOOKUP($A157,地图配置辅助表!$A$3:$AP$245,地图配置辅助表!W$1,FALSE)</f>
        <v>0</v>
      </c>
      <c r="AL157" s="9">
        <f>VLOOKUP($A157,地图配置辅助表!$A$3:$AP$245,地图配置辅助表!X$1,FALSE)</f>
        <v>0</v>
      </c>
      <c r="AM157" s="9">
        <f>VLOOKUP($A157,地图配置辅助表!$A$3:$AP$245,地图配置辅助表!Y$1,FALSE)</f>
        <v>0</v>
      </c>
      <c r="AN157" s="9">
        <f>VLOOKUP($A157,地图配置辅助表!$A$3:$AP$245,地图配置辅助表!Z$1,FALSE)</f>
        <v>0</v>
      </c>
      <c r="AO157" s="9">
        <f>VLOOKUP($A157,地图配置辅助表!$A$3:$AP$245,地图配置辅助表!AA$1,FALSE)</f>
        <v>0</v>
      </c>
      <c r="AP157" s="9">
        <f>VLOOKUP($A157,地图配置辅助表!$A$3:$AP$245,地图配置辅助表!AB$1,FALSE)</f>
        <v>0</v>
      </c>
      <c r="AQ157" s="9">
        <f>VLOOKUP($A157,地图配置辅助表!$A$3:$AP$245,地图配置辅助表!AC$1,FALSE)</f>
        <v>0</v>
      </c>
      <c r="AR157" s="9">
        <f>VLOOKUP($A157,地图配置辅助表!$A$3:$AP$245,地图配置辅助表!AD$1,FALSE)</f>
        <v>0</v>
      </c>
      <c r="AS157" s="9">
        <f>VLOOKUP($A157,地图配置辅助表!$A$3:$AP$245,地图配置辅助表!AE$1,FALSE)</f>
        <v>0</v>
      </c>
      <c r="AT157" s="9">
        <f>VLOOKUP($A157,地图配置辅助表!$A$3:$AP$245,地图配置辅助表!AF$1,FALSE)</f>
        <v>1</v>
      </c>
      <c r="AU157" s="9">
        <f>VLOOKUP($A157,地图配置辅助表!$A$3:$AP$245,地图配置辅助表!AG$1,FALSE)</f>
        <v>100</v>
      </c>
      <c r="AV157" s="9">
        <f>VLOOKUP($A157,地图配置辅助表!$A$3:$AP$245,地图配置辅助表!AH$1,FALSE)</f>
        <v>0</v>
      </c>
      <c r="AW157" s="9">
        <f>VLOOKUP($A157,地图配置辅助表!$A$3:$AP$245,地图配置辅助表!AI$1,FALSE)</f>
        <v>0</v>
      </c>
      <c r="AX157" s="9">
        <f>VLOOKUP($A157,地图配置辅助表!$A$3:$AP$245,地图配置辅助表!AJ$1,FALSE)</f>
        <v>0</v>
      </c>
      <c r="AY157" s="9">
        <f>VLOOKUP($A157,地图配置辅助表!$A$3:$AP$245,地图配置辅助表!AK$1,FALSE)</f>
        <v>0</v>
      </c>
      <c r="AZ157" s="9">
        <f>VLOOKUP($A157,地图配置辅助表!$A$3:$AP$245,地图配置辅助表!AL$1,FALSE)</f>
        <v>0</v>
      </c>
      <c r="BA157" s="9">
        <f>VLOOKUP($A157,地图配置辅助表!$A$3:$AP$245,地图配置辅助表!AM$1,FALSE)</f>
        <v>0</v>
      </c>
      <c r="BB157" s="9">
        <f>VLOOKUP($A157,地图配置辅助表!$A$3:$AP$245,地图配置辅助表!AN$1,FALSE)</f>
        <v>0</v>
      </c>
      <c r="BC157" s="9">
        <f>VLOOKUP($A157,地图配置辅助表!$A$3:$AP$245,地图配置辅助表!AO$1,FALSE)</f>
        <v>0</v>
      </c>
      <c r="BD157" s="9">
        <f>VLOOKUP($A157,地图配置辅助表!$A$3:$AP$245,地图配置辅助表!AP$1,FALSE)</f>
        <v>0</v>
      </c>
    </row>
    <row r="158" spans="1:56" s="9" customFormat="1" x14ac:dyDescent="0.15">
      <c r="A158">
        <f>地图配置辅助表!A159</f>
        <v>1304</v>
      </c>
      <c r="B158" s="8">
        <f>地图配置辅助表!B159</f>
        <v>3</v>
      </c>
      <c r="C158" s="9">
        <f>地图配置辅助表!C159</f>
        <v>4</v>
      </c>
      <c r="D158" s="9" t="s">
        <v>434</v>
      </c>
      <c r="E158" s="9" t="s">
        <v>402</v>
      </c>
      <c r="F158" s="9" t="s">
        <v>540</v>
      </c>
      <c r="G158" s="9">
        <v>29</v>
      </c>
      <c r="H158" s="9">
        <v>160</v>
      </c>
      <c r="I158" s="9">
        <v>160</v>
      </c>
      <c r="J158" s="9">
        <v>200</v>
      </c>
      <c r="K158" s="9">
        <v>140</v>
      </c>
      <c r="L158" s="9" t="s">
        <v>219</v>
      </c>
      <c r="M158" s="9">
        <v>0</v>
      </c>
      <c r="R158" s="9" t="s">
        <v>250</v>
      </c>
      <c r="S158" s="11">
        <f>VLOOKUP($A158,地图配置辅助表!$A$3:$AP$245,地图配置辅助表!E$1,FALSE)</f>
        <v>12</v>
      </c>
      <c r="T158" s="9">
        <f>VLOOKUP($A158,地图配置辅助表!$A$3:$AP$245,地图配置辅助表!F$1,FALSE)</f>
        <v>43030</v>
      </c>
      <c r="U158" s="9">
        <f>VLOOKUP($A158,地图配置辅助表!$A$3:$AP$245,地图配置辅助表!G$1,FALSE)</f>
        <v>1</v>
      </c>
      <c r="V158" s="9">
        <f>VLOOKUP($A158,地图配置辅助表!$A$3:$AP$245,地图配置辅助表!H$1,FALSE)</f>
        <v>1</v>
      </c>
      <c r="W158" s="9">
        <f>VLOOKUP($A158,地图配置辅助表!$A$3:$AP$245,地图配置辅助表!I$1,FALSE)</f>
        <v>2</v>
      </c>
      <c r="X158" s="9">
        <f>VLOOKUP($A158,地图配置辅助表!$A$3:$AP$245,地图配置辅助表!J$1,FALSE)</f>
        <v>300</v>
      </c>
      <c r="Y158" s="9">
        <f>VLOOKUP($A158,地图配置辅助表!$A$3:$AP$245,地图配置辅助表!K$1,FALSE)</f>
        <v>0</v>
      </c>
      <c r="Z158" s="9">
        <f>VLOOKUP($A158,地图配置辅助表!$A$3:$AP$245,地图配置辅助表!L$1,FALSE)</f>
        <v>0</v>
      </c>
      <c r="AA158" s="9">
        <f>VLOOKUP($A158,地图配置辅助表!$A$3:$AP$245,地图配置辅助表!M$1,FALSE)</f>
        <v>2</v>
      </c>
      <c r="AB158">
        <f>VLOOKUP($A158,地图配置辅助表!$A$3:$AP$245,地图配置辅助表!N$1,FALSE)</f>
        <v>1</v>
      </c>
      <c r="AC158" s="9">
        <f>VLOOKUP($A158,地图配置辅助表!$A$3:$AP$245,地图配置辅助表!O$1,FALSE)</f>
        <v>1</v>
      </c>
      <c r="AD158">
        <f>VLOOKUP($A158,地图配置辅助表!$A$3:$AP$245,地图配置辅助表!P$1,FALSE)</f>
        <v>49</v>
      </c>
      <c r="AE158" s="8">
        <f>VLOOKUP($A158,地图配置辅助表!$A$3:$AP$245,地图配置辅助表!Q$1,FALSE)</f>
        <v>3</v>
      </c>
      <c r="AF158" s="8">
        <f>VLOOKUP($A158,地图配置辅助表!$A$3:$AP$245,地图配置辅助表!R$1,FALSE)</f>
        <v>1303</v>
      </c>
      <c r="AG158" s="11">
        <f>VLOOKUP($A158,地图配置辅助表!$A$3:$AP$245,地图配置辅助表!S$1,FALSE)</f>
        <v>501304</v>
      </c>
      <c r="AH158" s="11">
        <f>VLOOKUP($A158,地图配置辅助表!$A$3:$AP$245,地图配置辅助表!T$1,FALSE)</f>
        <v>304101</v>
      </c>
      <c r="AI158" s="9">
        <f>VLOOKUP($A158,地图配置辅助表!$A$3:$AP$245,地图配置辅助表!U$1,FALSE)</f>
        <v>0</v>
      </c>
      <c r="AJ158" s="9">
        <f>VLOOKUP($A158,地图配置辅助表!$A$3:$AP$245,地图配置辅助表!V$1,FALSE)</f>
        <v>0</v>
      </c>
      <c r="AK158" s="9">
        <f>VLOOKUP($A158,地图配置辅助表!$A$3:$AP$245,地图配置辅助表!W$1,FALSE)</f>
        <v>0</v>
      </c>
      <c r="AL158" s="9">
        <f>VLOOKUP($A158,地图配置辅助表!$A$3:$AP$245,地图配置辅助表!X$1,FALSE)</f>
        <v>0</v>
      </c>
      <c r="AM158" s="9">
        <f>VLOOKUP($A158,地图配置辅助表!$A$3:$AP$245,地图配置辅助表!Y$1,FALSE)</f>
        <v>0</v>
      </c>
      <c r="AN158" s="9">
        <f>VLOOKUP($A158,地图配置辅助表!$A$3:$AP$245,地图配置辅助表!Z$1,FALSE)</f>
        <v>0</v>
      </c>
      <c r="AO158" s="9">
        <f>VLOOKUP($A158,地图配置辅助表!$A$3:$AP$245,地图配置辅助表!AA$1,FALSE)</f>
        <v>0</v>
      </c>
      <c r="AP158" s="9">
        <f>VLOOKUP($A158,地图配置辅助表!$A$3:$AP$245,地图配置辅助表!AB$1,FALSE)</f>
        <v>0</v>
      </c>
      <c r="AQ158" s="9">
        <f>VLOOKUP($A158,地图配置辅助表!$A$3:$AP$245,地图配置辅助表!AC$1,FALSE)</f>
        <v>0</v>
      </c>
      <c r="AR158" s="9">
        <f>VLOOKUP($A158,地图配置辅助表!$A$3:$AP$245,地图配置辅助表!AD$1,FALSE)</f>
        <v>0</v>
      </c>
      <c r="AS158" s="9">
        <f>VLOOKUP($A158,地图配置辅助表!$A$3:$AP$245,地图配置辅助表!AE$1,FALSE)</f>
        <v>0</v>
      </c>
      <c r="AT158" s="9">
        <f>VLOOKUP($A158,地图配置辅助表!$A$3:$AP$245,地图配置辅助表!AF$1,FALSE)</f>
        <v>1</v>
      </c>
      <c r="AU158" s="9">
        <f>VLOOKUP($A158,地图配置辅助表!$A$3:$AP$245,地图配置辅助表!AG$1,FALSE)</f>
        <v>101</v>
      </c>
      <c r="AV158" s="9">
        <f>VLOOKUP($A158,地图配置辅助表!$A$3:$AP$245,地图配置辅助表!AH$1,FALSE)</f>
        <v>0</v>
      </c>
      <c r="AW158" s="9">
        <f>VLOOKUP($A158,地图配置辅助表!$A$3:$AP$245,地图配置辅助表!AI$1,FALSE)</f>
        <v>0</v>
      </c>
      <c r="AX158" s="9">
        <f>VLOOKUP($A158,地图配置辅助表!$A$3:$AP$245,地图配置辅助表!AJ$1,FALSE)</f>
        <v>0</v>
      </c>
      <c r="AY158" s="9">
        <f>VLOOKUP($A158,地图配置辅助表!$A$3:$AP$245,地图配置辅助表!AK$1,FALSE)</f>
        <v>0</v>
      </c>
      <c r="AZ158" s="9">
        <f>VLOOKUP($A158,地图配置辅助表!$A$3:$AP$245,地图配置辅助表!AL$1,FALSE)</f>
        <v>0</v>
      </c>
      <c r="BA158" s="9">
        <f>VLOOKUP($A158,地图配置辅助表!$A$3:$AP$245,地图配置辅助表!AM$1,FALSE)</f>
        <v>0</v>
      </c>
      <c r="BB158" s="9">
        <f>VLOOKUP($A158,地图配置辅助表!$A$3:$AP$245,地图配置辅助表!AN$1,FALSE)</f>
        <v>0</v>
      </c>
      <c r="BC158" s="9">
        <f>VLOOKUP($A158,地图配置辅助表!$A$3:$AP$245,地图配置辅助表!AO$1,FALSE)</f>
        <v>0</v>
      </c>
      <c r="BD158" s="9">
        <f>VLOOKUP($A158,地图配置辅助表!$A$3:$AP$245,地图配置辅助表!AP$1,FALSE)</f>
        <v>0</v>
      </c>
    </row>
    <row r="159" spans="1:56" s="9" customFormat="1" x14ac:dyDescent="0.15">
      <c r="A159">
        <f>地图配置辅助表!A160</f>
        <v>1305</v>
      </c>
      <c r="B159" s="8">
        <f>地图配置辅助表!B160</f>
        <v>3</v>
      </c>
      <c r="C159" s="9">
        <f>地图配置辅助表!C160</f>
        <v>5</v>
      </c>
      <c r="D159" s="9" t="s">
        <v>435</v>
      </c>
      <c r="E159" s="9" t="s">
        <v>402</v>
      </c>
      <c r="F159" s="9" t="s">
        <v>540</v>
      </c>
      <c r="G159" s="9">
        <v>29</v>
      </c>
      <c r="H159" s="9">
        <v>160</v>
      </c>
      <c r="I159" s="9">
        <v>160</v>
      </c>
      <c r="J159" s="9">
        <v>200</v>
      </c>
      <c r="K159" s="9">
        <v>140</v>
      </c>
      <c r="L159" s="9" t="s">
        <v>220</v>
      </c>
      <c r="M159" s="9">
        <v>0</v>
      </c>
      <c r="R159" s="9" t="s">
        <v>250</v>
      </c>
      <c r="S159" s="11">
        <f>VLOOKUP($A159,地图配置辅助表!$A$3:$AP$245,地图配置辅助表!E$1,FALSE)</f>
        <v>12</v>
      </c>
      <c r="T159" s="9">
        <f>VLOOKUP($A159,地图配置辅助表!$A$3:$AP$245,地图配置辅助表!F$1,FALSE)</f>
        <v>114181</v>
      </c>
      <c r="U159" s="9">
        <f>VLOOKUP($A159,地图配置辅助表!$A$3:$AP$245,地图配置辅助表!G$1,FALSE)</f>
        <v>1</v>
      </c>
      <c r="V159" s="9">
        <f>VLOOKUP($A159,地图配置辅助表!$A$3:$AP$245,地图配置辅助表!H$1,FALSE)</f>
        <v>1</v>
      </c>
      <c r="W159" s="9">
        <f>VLOOKUP($A159,地图配置辅助表!$A$3:$AP$245,地图配置辅助表!I$1,FALSE)</f>
        <v>2</v>
      </c>
      <c r="X159" s="9">
        <f>VLOOKUP($A159,地图配置辅助表!$A$3:$AP$245,地图配置辅助表!J$1,FALSE)</f>
        <v>300</v>
      </c>
      <c r="Y159" s="9">
        <f>VLOOKUP($A159,地图配置辅助表!$A$3:$AP$245,地图配置辅助表!K$1,FALSE)</f>
        <v>0</v>
      </c>
      <c r="Z159" s="9">
        <f>VLOOKUP($A159,地图配置辅助表!$A$3:$AP$245,地图配置辅助表!L$1,FALSE)</f>
        <v>0</v>
      </c>
      <c r="AA159" s="9">
        <f>VLOOKUP($A159,地图配置辅助表!$A$3:$AP$245,地图配置辅助表!M$1,FALSE)</f>
        <v>2</v>
      </c>
      <c r="AB159">
        <f>VLOOKUP($A159,地图配置辅助表!$A$3:$AP$245,地图配置辅助表!N$1,FALSE)</f>
        <v>1</v>
      </c>
      <c r="AC159" s="9">
        <f>VLOOKUP($A159,地图配置辅助表!$A$3:$AP$245,地图配置辅助表!O$1,FALSE)</f>
        <v>1</v>
      </c>
      <c r="AD159">
        <f>VLOOKUP($A159,地图配置辅助表!$A$3:$AP$245,地图配置辅助表!P$1,FALSE)</f>
        <v>59</v>
      </c>
      <c r="AE159" s="8">
        <f>VLOOKUP($A159,地图配置辅助表!$A$3:$AP$245,地图配置辅助表!Q$1,FALSE)</f>
        <v>3</v>
      </c>
      <c r="AF159" s="8">
        <f>VLOOKUP($A159,地图配置辅助表!$A$3:$AP$245,地图配置辅助表!R$1,FALSE)</f>
        <v>1304</v>
      </c>
      <c r="AG159" s="11">
        <f>VLOOKUP($A159,地图配置辅助表!$A$3:$AP$245,地图配置辅助表!S$1,FALSE)</f>
        <v>501305</v>
      </c>
      <c r="AH159" s="11">
        <f>VLOOKUP($A159,地图配置辅助表!$A$3:$AP$245,地图配置辅助表!T$1,FALSE)</f>
        <v>305101</v>
      </c>
      <c r="AI159" s="9">
        <f>VLOOKUP($A159,地图配置辅助表!$A$3:$AP$245,地图配置辅助表!U$1,FALSE)</f>
        <v>0</v>
      </c>
      <c r="AJ159" s="9">
        <f>VLOOKUP($A159,地图配置辅助表!$A$3:$AP$245,地图配置辅助表!V$1,FALSE)</f>
        <v>0</v>
      </c>
      <c r="AK159" s="9">
        <f>VLOOKUP($A159,地图配置辅助表!$A$3:$AP$245,地图配置辅助表!W$1,FALSE)</f>
        <v>0</v>
      </c>
      <c r="AL159" s="9">
        <f>VLOOKUP($A159,地图配置辅助表!$A$3:$AP$245,地图配置辅助表!X$1,FALSE)</f>
        <v>0</v>
      </c>
      <c r="AM159" s="9">
        <f>VLOOKUP($A159,地图配置辅助表!$A$3:$AP$245,地图配置辅助表!Y$1,FALSE)</f>
        <v>0</v>
      </c>
      <c r="AN159" s="9">
        <f>VLOOKUP($A159,地图配置辅助表!$A$3:$AP$245,地图配置辅助表!Z$1,FALSE)</f>
        <v>0</v>
      </c>
      <c r="AO159" s="9">
        <f>VLOOKUP($A159,地图配置辅助表!$A$3:$AP$245,地图配置辅助表!AA$1,FALSE)</f>
        <v>0</v>
      </c>
      <c r="AP159" s="9">
        <f>VLOOKUP($A159,地图配置辅助表!$A$3:$AP$245,地图配置辅助表!AB$1,FALSE)</f>
        <v>0</v>
      </c>
      <c r="AQ159" s="9">
        <f>VLOOKUP($A159,地图配置辅助表!$A$3:$AP$245,地图配置辅助表!AC$1,FALSE)</f>
        <v>0</v>
      </c>
      <c r="AR159" s="9">
        <f>VLOOKUP($A159,地图配置辅助表!$A$3:$AP$245,地图配置辅助表!AD$1,FALSE)</f>
        <v>0</v>
      </c>
      <c r="AS159" s="9">
        <f>VLOOKUP($A159,地图配置辅助表!$A$3:$AP$245,地图配置辅助表!AE$1,FALSE)</f>
        <v>0</v>
      </c>
      <c r="AT159" s="9">
        <f>VLOOKUP($A159,地图配置辅助表!$A$3:$AP$245,地图配置辅助表!AF$1,FALSE)</f>
        <v>1</v>
      </c>
      <c r="AU159" s="9">
        <f>VLOOKUP($A159,地图配置辅助表!$A$3:$AP$245,地图配置辅助表!AG$1,FALSE)</f>
        <v>102</v>
      </c>
      <c r="AV159" s="9">
        <f>VLOOKUP($A159,地图配置辅助表!$A$3:$AP$245,地图配置辅助表!AH$1,FALSE)</f>
        <v>0</v>
      </c>
      <c r="AW159" s="9">
        <f>VLOOKUP($A159,地图配置辅助表!$A$3:$AP$245,地图配置辅助表!AI$1,FALSE)</f>
        <v>0</v>
      </c>
      <c r="AX159" s="9">
        <f>VLOOKUP($A159,地图配置辅助表!$A$3:$AP$245,地图配置辅助表!AJ$1,FALSE)</f>
        <v>0</v>
      </c>
      <c r="AY159" s="9">
        <f>VLOOKUP($A159,地图配置辅助表!$A$3:$AP$245,地图配置辅助表!AK$1,FALSE)</f>
        <v>0</v>
      </c>
      <c r="AZ159" s="9">
        <f>VLOOKUP($A159,地图配置辅助表!$A$3:$AP$245,地图配置辅助表!AL$1,FALSE)</f>
        <v>0</v>
      </c>
      <c r="BA159" s="9">
        <f>VLOOKUP($A159,地图配置辅助表!$A$3:$AP$245,地图配置辅助表!AM$1,FALSE)</f>
        <v>0</v>
      </c>
      <c r="BB159" s="9">
        <f>VLOOKUP($A159,地图配置辅助表!$A$3:$AP$245,地图配置辅助表!AN$1,FALSE)</f>
        <v>0</v>
      </c>
      <c r="BC159" s="9">
        <f>VLOOKUP($A159,地图配置辅助表!$A$3:$AP$245,地图配置辅助表!AO$1,FALSE)</f>
        <v>0</v>
      </c>
      <c r="BD159" s="9">
        <f>VLOOKUP($A159,地图配置辅助表!$A$3:$AP$245,地图配置辅助表!AP$1,FALSE)</f>
        <v>0</v>
      </c>
    </row>
    <row r="160" spans="1:56" s="9" customFormat="1" x14ac:dyDescent="0.15">
      <c r="A160">
        <f>地图配置辅助表!A161</f>
        <v>1306</v>
      </c>
      <c r="B160" s="8">
        <f>地图配置辅助表!B161</f>
        <v>3</v>
      </c>
      <c r="C160" s="9">
        <f>地图配置辅助表!C161</f>
        <v>6</v>
      </c>
      <c r="D160" s="9" t="s">
        <v>436</v>
      </c>
      <c r="E160" s="9" t="s">
        <v>402</v>
      </c>
      <c r="F160" s="9" t="s">
        <v>540</v>
      </c>
      <c r="G160" s="9">
        <v>29</v>
      </c>
      <c r="H160" s="9">
        <v>160</v>
      </c>
      <c r="I160" s="9">
        <v>160</v>
      </c>
      <c r="J160" s="9">
        <v>200</v>
      </c>
      <c r="K160" s="9">
        <v>140</v>
      </c>
      <c r="L160" s="9" t="s">
        <v>221</v>
      </c>
      <c r="M160" s="9">
        <v>0</v>
      </c>
      <c r="R160" s="9" t="s">
        <v>250</v>
      </c>
      <c r="S160" s="11">
        <f>VLOOKUP($A160,地图配置辅助表!$A$3:$AP$245,地图配置辅助表!E$1,FALSE)</f>
        <v>12</v>
      </c>
      <c r="T160" s="9">
        <f>VLOOKUP($A160,地图配置辅助表!$A$3:$AP$245,地图配置辅助表!F$1,FALSE)</f>
        <v>287686</v>
      </c>
      <c r="U160" s="9">
        <f>VLOOKUP($A160,地图配置辅助表!$A$3:$AP$245,地图配置辅助表!G$1,FALSE)</f>
        <v>1</v>
      </c>
      <c r="V160" s="9">
        <f>VLOOKUP($A160,地图配置辅助表!$A$3:$AP$245,地图配置辅助表!H$1,FALSE)</f>
        <v>1</v>
      </c>
      <c r="W160" s="9">
        <f>VLOOKUP($A160,地图配置辅助表!$A$3:$AP$245,地图配置辅助表!I$1,FALSE)</f>
        <v>2</v>
      </c>
      <c r="X160" s="9">
        <f>VLOOKUP($A160,地图配置辅助表!$A$3:$AP$245,地图配置辅助表!J$1,FALSE)</f>
        <v>300</v>
      </c>
      <c r="Y160" s="9">
        <f>VLOOKUP($A160,地图配置辅助表!$A$3:$AP$245,地图配置辅助表!K$1,FALSE)</f>
        <v>0</v>
      </c>
      <c r="Z160" s="9">
        <f>VLOOKUP($A160,地图配置辅助表!$A$3:$AP$245,地图配置辅助表!L$1,FALSE)</f>
        <v>0</v>
      </c>
      <c r="AA160" s="9">
        <f>VLOOKUP($A160,地图配置辅助表!$A$3:$AP$245,地图配置辅助表!M$1,FALSE)</f>
        <v>2</v>
      </c>
      <c r="AB160">
        <f>VLOOKUP($A160,地图配置辅助表!$A$3:$AP$245,地图配置辅助表!N$1,FALSE)</f>
        <v>1</v>
      </c>
      <c r="AC160" s="9">
        <f>VLOOKUP($A160,地图配置辅助表!$A$3:$AP$245,地图配置辅助表!O$1,FALSE)</f>
        <v>1</v>
      </c>
      <c r="AD160">
        <f>VLOOKUP($A160,地图配置辅助表!$A$3:$AP$245,地图配置辅助表!P$1,FALSE)</f>
        <v>69</v>
      </c>
      <c r="AE160" s="8">
        <f>VLOOKUP($A160,地图配置辅助表!$A$3:$AP$245,地图配置辅助表!Q$1,FALSE)</f>
        <v>3</v>
      </c>
      <c r="AF160" s="8">
        <f>VLOOKUP($A160,地图配置辅助表!$A$3:$AP$245,地图配置辅助表!R$1,FALSE)</f>
        <v>1305</v>
      </c>
      <c r="AG160" s="11">
        <f>VLOOKUP($A160,地图配置辅助表!$A$3:$AP$245,地图配置辅助表!S$1,FALSE)</f>
        <v>501306</v>
      </c>
      <c r="AH160" s="11">
        <f>VLOOKUP($A160,地图配置辅助表!$A$3:$AP$245,地图配置辅助表!T$1,FALSE)</f>
        <v>306101</v>
      </c>
      <c r="AI160" s="9">
        <f>VLOOKUP($A160,地图配置辅助表!$A$3:$AP$245,地图配置辅助表!U$1,FALSE)</f>
        <v>0</v>
      </c>
      <c r="AJ160" s="9">
        <f>VLOOKUP($A160,地图配置辅助表!$A$3:$AP$245,地图配置辅助表!V$1,FALSE)</f>
        <v>0</v>
      </c>
      <c r="AK160" s="9">
        <f>VLOOKUP($A160,地图配置辅助表!$A$3:$AP$245,地图配置辅助表!W$1,FALSE)</f>
        <v>0</v>
      </c>
      <c r="AL160" s="9">
        <f>VLOOKUP($A160,地图配置辅助表!$A$3:$AP$245,地图配置辅助表!X$1,FALSE)</f>
        <v>0</v>
      </c>
      <c r="AM160" s="9">
        <f>VLOOKUP($A160,地图配置辅助表!$A$3:$AP$245,地图配置辅助表!Y$1,FALSE)</f>
        <v>0</v>
      </c>
      <c r="AN160" s="9">
        <f>VLOOKUP($A160,地图配置辅助表!$A$3:$AP$245,地图配置辅助表!Z$1,FALSE)</f>
        <v>0</v>
      </c>
      <c r="AO160" s="9">
        <f>VLOOKUP($A160,地图配置辅助表!$A$3:$AP$245,地图配置辅助表!AA$1,FALSE)</f>
        <v>0</v>
      </c>
      <c r="AP160" s="9">
        <f>VLOOKUP($A160,地图配置辅助表!$A$3:$AP$245,地图配置辅助表!AB$1,FALSE)</f>
        <v>0</v>
      </c>
      <c r="AQ160" s="9">
        <f>VLOOKUP($A160,地图配置辅助表!$A$3:$AP$245,地图配置辅助表!AC$1,FALSE)</f>
        <v>0</v>
      </c>
      <c r="AR160" s="9">
        <f>VLOOKUP($A160,地图配置辅助表!$A$3:$AP$245,地图配置辅助表!AD$1,FALSE)</f>
        <v>0</v>
      </c>
      <c r="AS160" s="9">
        <f>VLOOKUP($A160,地图配置辅助表!$A$3:$AP$245,地图配置辅助表!AE$1,FALSE)</f>
        <v>0</v>
      </c>
      <c r="AT160" s="9">
        <f>VLOOKUP($A160,地图配置辅助表!$A$3:$AP$245,地图配置辅助表!AF$1,FALSE)</f>
        <v>1</v>
      </c>
      <c r="AU160" s="9">
        <f>VLOOKUP($A160,地图配置辅助表!$A$3:$AP$245,地图配置辅助表!AG$1,FALSE)</f>
        <v>103</v>
      </c>
      <c r="AV160" s="9">
        <f>VLOOKUP($A160,地图配置辅助表!$A$3:$AP$245,地图配置辅助表!AH$1,FALSE)</f>
        <v>0</v>
      </c>
      <c r="AW160" s="9">
        <f>VLOOKUP($A160,地图配置辅助表!$A$3:$AP$245,地图配置辅助表!AI$1,FALSE)</f>
        <v>0</v>
      </c>
      <c r="AX160" s="9">
        <f>VLOOKUP($A160,地图配置辅助表!$A$3:$AP$245,地图配置辅助表!AJ$1,FALSE)</f>
        <v>0</v>
      </c>
      <c r="AY160" s="9">
        <f>VLOOKUP($A160,地图配置辅助表!$A$3:$AP$245,地图配置辅助表!AK$1,FALSE)</f>
        <v>0</v>
      </c>
      <c r="AZ160" s="9">
        <f>VLOOKUP($A160,地图配置辅助表!$A$3:$AP$245,地图配置辅助表!AL$1,FALSE)</f>
        <v>0</v>
      </c>
      <c r="BA160" s="9">
        <f>VLOOKUP($A160,地图配置辅助表!$A$3:$AP$245,地图配置辅助表!AM$1,FALSE)</f>
        <v>0</v>
      </c>
      <c r="BB160" s="9">
        <f>VLOOKUP($A160,地图配置辅助表!$A$3:$AP$245,地图配置辅助表!AN$1,FALSE)</f>
        <v>0</v>
      </c>
      <c r="BC160" s="9">
        <f>VLOOKUP($A160,地图配置辅助表!$A$3:$AP$245,地图配置辅助表!AO$1,FALSE)</f>
        <v>0</v>
      </c>
      <c r="BD160" s="9">
        <f>VLOOKUP($A160,地图配置辅助表!$A$3:$AP$245,地图配置辅助表!AP$1,FALSE)</f>
        <v>0</v>
      </c>
    </row>
    <row r="161" spans="1:56" s="9" customFormat="1" x14ac:dyDescent="0.15">
      <c r="A161">
        <f>地图配置辅助表!A162</f>
        <v>1401</v>
      </c>
      <c r="B161" s="8">
        <f>地图配置辅助表!B162</f>
        <v>3</v>
      </c>
      <c r="C161" s="9">
        <f>地图配置辅助表!C162</f>
        <v>1</v>
      </c>
      <c r="D161" s="9" t="s">
        <v>589</v>
      </c>
      <c r="E161" s="9" t="s">
        <v>403</v>
      </c>
      <c r="F161" s="9" t="s">
        <v>532</v>
      </c>
      <c r="G161" s="9">
        <v>29</v>
      </c>
      <c r="H161" s="9">
        <v>200</v>
      </c>
      <c r="I161" s="9">
        <v>140</v>
      </c>
      <c r="J161" s="9">
        <v>200</v>
      </c>
      <c r="K161" s="9">
        <v>140</v>
      </c>
      <c r="L161" s="9" t="s">
        <v>222</v>
      </c>
      <c r="M161" s="9">
        <v>0</v>
      </c>
      <c r="R161" s="9" t="s">
        <v>122</v>
      </c>
      <c r="S161" s="11">
        <f>VLOOKUP($A161,地图配置辅助表!$A$3:$AP$245,地图配置辅助表!E$1,FALSE)</f>
        <v>12</v>
      </c>
      <c r="T161" s="9">
        <f>VLOOKUP($A161,地图配置辅助表!$A$3:$AP$245,地图配置辅助表!F$1,FALSE)</f>
        <v>7319</v>
      </c>
      <c r="U161" s="9">
        <f>VLOOKUP($A161,地图配置辅助表!$A$3:$AP$245,地图配置辅助表!G$1,FALSE)</f>
        <v>1</v>
      </c>
      <c r="V161" s="9">
        <f>VLOOKUP($A161,地图配置辅助表!$A$3:$AP$245,地图配置辅助表!H$1,FALSE)</f>
        <v>1</v>
      </c>
      <c r="W161" s="9">
        <f>VLOOKUP($A161,地图配置辅助表!$A$3:$AP$245,地图配置辅助表!I$1,FALSE)</f>
        <v>2</v>
      </c>
      <c r="X161" s="9">
        <f>VLOOKUP($A161,地图配置辅助表!$A$3:$AP$245,地图配置辅助表!J$1,FALSE)</f>
        <v>300</v>
      </c>
      <c r="Y161" s="9">
        <f>VLOOKUP($A161,地图配置辅助表!$A$3:$AP$245,地图配置辅助表!K$1,FALSE)</f>
        <v>0</v>
      </c>
      <c r="Z161" s="9">
        <f>VLOOKUP($A161,地图配置辅助表!$A$3:$AP$245,地图配置辅助表!L$1,FALSE)</f>
        <v>0</v>
      </c>
      <c r="AA161" s="9">
        <f>VLOOKUP($A161,地图配置辅助表!$A$3:$AP$245,地图配置辅助表!M$1,FALSE)</f>
        <v>2</v>
      </c>
      <c r="AB161">
        <f>VLOOKUP($A161,地图配置辅助表!$A$3:$AP$245,地图配置辅助表!N$1,FALSE)</f>
        <v>1</v>
      </c>
      <c r="AC161" s="9">
        <f>VLOOKUP($A161,地图配置辅助表!$A$3:$AP$245,地图配置辅助表!O$1,FALSE)</f>
        <v>1</v>
      </c>
      <c r="AD161">
        <f>VLOOKUP($A161,地图配置辅助表!$A$3:$AP$245,地图配置辅助表!P$1,FALSE)</f>
        <v>35</v>
      </c>
      <c r="AE161" s="8">
        <f>VLOOKUP($A161,地图配置辅助表!$A$3:$AP$245,地图配置辅助表!Q$1,FALSE)</f>
        <v>4</v>
      </c>
      <c r="AF161" s="8">
        <f>VLOOKUP($A161,地图配置辅助表!$A$3:$AP$245,地图配置辅助表!R$1,FALSE)</f>
        <v>1015</v>
      </c>
      <c r="AG161" s="11">
        <f>VLOOKUP($A161,地图配置辅助表!$A$3:$AP$245,地图配置辅助表!S$1,FALSE)</f>
        <v>501401</v>
      </c>
      <c r="AH161" s="11">
        <f>VLOOKUP($A161,地图配置辅助表!$A$3:$AP$245,地图配置辅助表!T$1,FALSE)</f>
        <v>401103</v>
      </c>
      <c r="AI161" s="9">
        <f>VLOOKUP($A161,地图配置辅助表!$A$3:$AP$245,地图配置辅助表!U$1,FALSE)</f>
        <v>0</v>
      </c>
      <c r="AJ161" s="9">
        <f>VLOOKUP($A161,地图配置辅助表!$A$3:$AP$245,地图配置辅助表!V$1,FALSE)</f>
        <v>0</v>
      </c>
      <c r="AK161" s="9">
        <f>VLOOKUP($A161,地图配置辅助表!$A$3:$AP$245,地图配置辅助表!W$1,FALSE)</f>
        <v>0</v>
      </c>
      <c r="AL161" s="9">
        <f>VLOOKUP($A161,地图配置辅助表!$A$3:$AP$245,地图配置辅助表!X$1,FALSE)</f>
        <v>0</v>
      </c>
      <c r="AM161" s="9">
        <f>VLOOKUP($A161,地图配置辅助表!$A$3:$AP$245,地图配置辅助表!Y$1,FALSE)</f>
        <v>0</v>
      </c>
      <c r="AN161" s="9">
        <f>VLOOKUP($A161,地图配置辅助表!$A$3:$AP$245,地图配置辅助表!Z$1,FALSE)</f>
        <v>0</v>
      </c>
      <c r="AO161" s="9">
        <f>VLOOKUP($A161,地图配置辅助表!$A$3:$AP$245,地图配置辅助表!AA$1,FALSE)</f>
        <v>0</v>
      </c>
      <c r="AP161" s="9">
        <f>VLOOKUP($A161,地图配置辅助表!$A$3:$AP$245,地图配置辅助表!AB$1,FALSE)</f>
        <v>0</v>
      </c>
      <c r="AQ161" s="9">
        <f>VLOOKUP($A161,地图配置辅助表!$A$3:$AP$245,地图配置辅助表!AC$1,FALSE)</f>
        <v>0</v>
      </c>
      <c r="AR161" s="9">
        <f>VLOOKUP($A161,地图配置辅助表!$A$3:$AP$245,地图配置辅助表!AD$1,FALSE)</f>
        <v>0</v>
      </c>
      <c r="AS161" s="9">
        <f>VLOOKUP($A161,地图配置辅助表!$A$3:$AP$245,地图配置辅助表!AE$1,FALSE)</f>
        <v>0</v>
      </c>
      <c r="AT161" s="9">
        <f>VLOOKUP($A161,地图配置辅助表!$A$3:$AP$245,地图配置辅助表!AF$1,FALSE)</f>
        <v>3</v>
      </c>
      <c r="AU161" s="9">
        <f>VLOOKUP($A161,地图配置辅助表!$A$3:$AP$245,地图配置辅助表!AG$1,FALSE)</f>
        <v>340</v>
      </c>
      <c r="AV161" s="9">
        <f>VLOOKUP($A161,地图配置辅助表!$A$3:$AP$245,地图配置辅助表!AH$1,FALSE)</f>
        <v>341</v>
      </c>
      <c r="AW161" s="9">
        <f>VLOOKUP($A161,地图配置辅助表!$A$3:$AP$245,地图配置辅助表!AI$1,FALSE)</f>
        <v>342</v>
      </c>
      <c r="AX161" s="9">
        <f>VLOOKUP($A161,地图配置辅助表!$A$3:$AP$245,地图配置辅助表!AJ$1,FALSE)</f>
        <v>0</v>
      </c>
      <c r="AY161" s="9">
        <f>VLOOKUP($A161,地图配置辅助表!$A$3:$AP$245,地图配置辅助表!AK$1,FALSE)</f>
        <v>0</v>
      </c>
      <c r="AZ161" s="9">
        <f>VLOOKUP($A161,地图配置辅助表!$A$3:$AP$245,地图配置辅助表!AL$1,FALSE)</f>
        <v>0</v>
      </c>
      <c r="BA161" s="9">
        <f>VLOOKUP($A161,地图配置辅助表!$A$3:$AP$245,地图配置辅助表!AM$1,FALSE)</f>
        <v>0</v>
      </c>
      <c r="BB161" s="9">
        <f>VLOOKUP($A161,地图配置辅助表!$A$3:$AP$245,地图配置辅助表!AN$1,FALSE)</f>
        <v>0</v>
      </c>
      <c r="BC161" s="9">
        <f>VLOOKUP($A161,地图配置辅助表!$A$3:$AP$245,地图配置辅助表!AO$1,FALSE)</f>
        <v>0</v>
      </c>
      <c r="BD161" s="9">
        <f>VLOOKUP($A161,地图配置辅助表!$A$3:$AP$245,地图配置辅助表!AP$1,FALSE)</f>
        <v>0</v>
      </c>
    </row>
    <row r="162" spans="1:56" s="9" customFormat="1" x14ac:dyDescent="0.15">
      <c r="A162">
        <f>地图配置辅助表!A163</f>
        <v>1402</v>
      </c>
      <c r="B162" s="8">
        <f>地图配置辅助表!B163</f>
        <v>3</v>
      </c>
      <c r="C162" s="9">
        <f>地图配置辅助表!C163</f>
        <v>2</v>
      </c>
      <c r="D162" s="9" t="s">
        <v>437</v>
      </c>
      <c r="E162" s="9" t="s">
        <v>403</v>
      </c>
      <c r="F162" s="9" t="s">
        <v>533</v>
      </c>
      <c r="G162" s="9">
        <v>29</v>
      </c>
      <c r="H162" s="9">
        <v>200</v>
      </c>
      <c r="I162" s="9">
        <v>140</v>
      </c>
      <c r="J162" s="9">
        <v>200</v>
      </c>
      <c r="K162" s="9">
        <v>140</v>
      </c>
      <c r="L162" s="9" t="s">
        <v>223</v>
      </c>
      <c r="M162" s="9">
        <v>0</v>
      </c>
      <c r="R162" s="9" t="s">
        <v>124</v>
      </c>
      <c r="S162" s="11">
        <f>VLOOKUP($A162,地图配置辅助表!$A$3:$AP$245,地图配置辅助表!E$1,FALSE)</f>
        <v>12</v>
      </c>
      <c r="T162" s="9">
        <f>VLOOKUP($A162,地图配置辅助表!$A$3:$AP$245,地图配置辅助表!F$1,FALSE)</f>
        <v>13029</v>
      </c>
      <c r="U162" s="9">
        <f>VLOOKUP($A162,地图配置辅助表!$A$3:$AP$245,地图配置辅助表!G$1,FALSE)</f>
        <v>1</v>
      </c>
      <c r="V162" s="9">
        <f>VLOOKUP($A162,地图配置辅助表!$A$3:$AP$245,地图配置辅助表!H$1,FALSE)</f>
        <v>1</v>
      </c>
      <c r="W162" s="9">
        <f>VLOOKUP($A162,地图配置辅助表!$A$3:$AP$245,地图配置辅助表!I$1,FALSE)</f>
        <v>2</v>
      </c>
      <c r="X162" s="9">
        <f>VLOOKUP($A162,地图配置辅助表!$A$3:$AP$245,地图配置辅助表!J$1,FALSE)</f>
        <v>300</v>
      </c>
      <c r="Y162" s="9">
        <f>VLOOKUP($A162,地图配置辅助表!$A$3:$AP$245,地图配置辅助表!K$1,FALSE)</f>
        <v>0</v>
      </c>
      <c r="Z162" s="9">
        <f>VLOOKUP($A162,地图配置辅助表!$A$3:$AP$245,地图配置辅助表!L$1,FALSE)</f>
        <v>0</v>
      </c>
      <c r="AA162" s="9">
        <f>VLOOKUP($A162,地图配置辅助表!$A$3:$AP$245,地图配置辅助表!M$1,FALSE)</f>
        <v>2</v>
      </c>
      <c r="AB162">
        <f>VLOOKUP($A162,地图配置辅助表!$A$3:$AP$245,地图配置辅助表!N$1,FALSE)</f>
        <v>1</v>
      </c>
      <c r="AC162" s="9">
        <f>VLOOKUP($A162,地图配置辅助表!$A$3:$AP$245,地图配置辅助表!O$1,FALSE)</f>
        <v>1</v>
      </c>
      <c r="AD162">
        <f>VLOOKUP($A162,地图配置辅助表!$A$3:$AP$245,地图配置辅助表!P$1,FALSE)</f>
        <v>40</v>
      </c>
      <c r="AE162" s="8">
        <f>VLOOKUP($A162,地图配置辅助表!$A$3:$AP$245,地图配置辅助表!Q$1,FALSE)</f>
        <v>3</v>
      </c>
      <c r="AF162" s="8">
        <f>VLOOKUP($A162,地图配置辅助表!$A$3:$AP$245,地图配置辅助表!R$1,FALSE)</f>
        <v>1401</v>
      </c>
      <c r="AG162" s="11">
        <f>VLOOKUP($A162,地图配置辅助表!$A$3:$AP$245,地图配置辅助表!S$1,FALSE)</f>
        <v>501402</v>
      </c>
      <c r="AH162" s="11">
        <f>VLOOKUP($A162,地图配置辅助表!$A$3:$AP$245,地图配置辅助表!T$1,FALSE)</f>
        <v>402103</v>
      </c>
      <c r="AI162" s="9">
        <f>VLOOKUP($A162,地图配置辅助表!$A$3:$AP$245,地图配置辅助表!U$1,FALSE)</f>
        <v>0</v>
      </c>
      <c r="AJ162" s="9">
        <f>VLOOKUP($A162,地图配置辅助表!$A$3:$AP$245,地图配置辅助表!V$1,FALSE)</f>
        <v>0</v>
      </c>
      <c r="AK162" s="9">
        <f>VLOOKUP($A162,地图配置辅助表!$A$3:$AP$245,地图配置辅助表!W$1,FALSE)</f>
        <v>0</v>
      </c>
      <c r="AL162" s="9">
        <f>VLOOKUP($A162,地图配置辅助表!$A$3:$AP$245,地图配置辅助表!X$1,FALSE)</f>
        <v>0</v>
      </c>
      <c r="AM162" s="9">
        <f>VLOOKUP($A162,地图配置辅助表!$A$3:$AP$245,地图配置辅助表!Y$1,FALSE)</f>
        <v>0</v>
      </c>
      <c r="AN162" s="9">
        <f>VLOOKUP($A162,地图配置辅助表!$A$3:$AP$245,地图配置辅助表!Z$1,FALSE)</f>
        <v>0</v>
      </c>
      <c r="AO162" s="9">
        <f>VLOOKUP($A162,地图配置辅助表!$A$3:$AP$245,地图配置辅助表!AA$1,FALSE)</f>
        <v>0</v>
      </c>
      <c r="AP162" s="9">
        <f>VLOOKUP($A162,地图配置辅助表!$A$3:$AP$245,地图配置辅助表!AB$1,FALSE)</f>
        <v>0</v>
      </c>
      <c r="AQ162" s="9">
        <f>VLOOKUP($A162,地图配置辅助表!$A$3:$AP$245,地图配置辅助表!AC$1,FALSE)</f>
        <v>0</v>
      </c>
      <c r="AR162" s="9">
        <f>VLOOKUP($A162,地图配置辅助表!$A$3:$AP$245,地图配置辅助表!AD$1,FALSE)</f>
        <v>0</v>
      </c>
      <c r="AS162" s="9">
        <f>VLOOKUP($A162,地图配置辅助表!$A$3:$AP$245,地图配置辅助表!AE$1,FALSE)</f>
        <v>0</v>
      </c>
      <c r="AT162" s="9">
        <f>VLOOKUP($A162,地图配置辅助表!$A$3:$AP$245,地图配置辅助表!AF$1,FALSE)</f>
        <v>3</v>
      </c>
      <c r="AU162" s="9">
        <f>VLOOKUP($A162,地图配置辅助表!$A$3:$AP$245,地图配置辅助表!AG$1,FALSE)</f>
        <v>146</v>
      </c>
      <c r="AV162" s="9">
        <f>VLOOKUP($A162,地图配置辅助表!$A$3:$AP$245,地图配置辅助表!AH$1,FALSE)</f>
        <v>147</v>
      </c>
      <c r="AW162" s="9">
        <f>VLOOKUP($A162,地图配置辅助表!$A$3:$AP$245,地图配置辅助表!AI$1,FALSE)</f>
        <v>148</v>
      </c>
      <c r="AX162" s="9">
        <f>VLOOKUP($A162,地图配置辅助表!$A$3:$AP$245,地图配置辅助表!AJ$1,FALSE)</f>
        <v>0</v>
      </c>
      <c r="AY162" s="9">
        <f>VLOOKUP($A162,地图配置辅助表!$A$3:$AP$245,地图配置辅助表!AK$1,FALSE)</f>
        <v>0</v>
      </c>
      <c r="AZ162" s="9">
        <f>VLOOKUP($A162,地图配置辅助表!$A$3:$AP$245,地图配置辅助表!AL$1,FALSE)</f>
        <v>0</v>
      </c>
      <c r="BA162" s="9">
        <f>VLOOKUP($A162,地图配置辅助表!$A$3:$AP$245,地图配置辅助表!AM$1,FALSE)</f>
        <v>0</v>
      </c>
      <c r="BB162" s="9">
        <f>VLOOKUP($A162,地图配置辅助表!$A$3:$AP$245,地图配置辅助表!AN$1,FALSE)</f>
        <v>0</v>
      </c>
      <c r="BC162" s="9">
        <f>VLOOKUP($A162,地图配置辅助表!$A$3:$AP$245,地图配置辅助表!AO$1,FALSE)</f>
        <v>0</v>
      </c>
      <c r="BD162" s="9">
        <f>VLOOKUP($A162,地图配置辅助表!$A$3:$AP$245,地图配置辅助表!AP$1,FALSE)</f>
        <v>0</v>
      </c>
    </row>
    <row r="163" spans="1:56" s="9" customFormat="1" x14ac:dyDescent="0.15">
      <c r="A163">
        <f>地图配置辅助表!A164</f>
        <v>1403</v>
      </c>
      <c r="B163" s="8">
        <f>地图配置辅助表!B164</f>
        <v>3</v>
      </c>
      <c r="C163" s="9">
        <f>地图配置辅助表!C164</f>
        <v>3</v>
      </c>
      <c r="D163" s="9" t="s">
        <v>438</v>
      </c>
      <c r="E163" s="9" t="s">
        <v>403</v>
      </c>
      <c r="F163" s="9" t="s">
        <v>534</v>
      </c>
      <c r="G163" s="9">
        <v>29</v>
      </c>
      <c r="H163" s="9">
        <v>200</v>
      </c>
      <c r="I163" s="9">
        <v>140</v>
      </c>
      <c r="J163" s="9">
        <v>200</v>
      </c>
      <c r="K163" s="9">
        <v>140</v>
      </c>
      <c r="L163" s="9" t="s">
        <v>224</v>
      </c>
      <c r="M163" s="9">
        <v>0</v>
      </c>
      <c r="R163" s="9" t="s">
        <v>126</v>
      </c>
      <c r="S163" s="11">
        <f>VLOOKUP($A163,地图配置辅助表!$A$3:$AP$245,地图配置辅助表!E$1,FALSE)</f>
        <v>12</v>
      </c>
      <c r="T163" s="9">
        <f>VLOOKUP($A163,地图配置辅助表!$A$3:$AP$245,地图配置辅助表!F$1,FALSE)</f>
        <v>26515</v>
      </c>
      <c r="U163" s="9">
        <f>VLOOKUP($A163,地图配置辅助表!$A$3:$AP$245,地图配置辅助表!G$1,FALSE)</f>
        <v>1</v>
      </c>
      <c r="V163" s="9">
        <f>VLOOKUP($A163,地图配置辅助表!$A$3:$AP$245,地图配置辅助表!H$1,FALSE)</f>
        <v>1</v>
      </c>
      <c r="W163" s="9">
        <f>VLOOKUP($A163,地图配置辅助表!$A$3:$AP$245,地图配置辅助表!I$1,FALSE)</f>
        <v>2</v>
      </c>
      <c r="X163" s="9">
        <f>VLOOKUP($A163,地图配置辅助表!$A$3:$AP$245,地图配置辅助表!J$1,FALSE)</f>
        <v>300</v>
      </c>
      <c r="Y163" s="9">
        <f>VLOOKUP($A163,地图配置辅助表!$A$3:$AP$245,地图配置辅助表!K$1,FALSE)</f>
        <v>0</v>
      </c>
      <c r="Z163" s="9">
        <f>VLOOKUP($A163,地图配置辅助表!$A$3:$AP$245,地图配置辅助表!L$1,FALSE)</f>
        <v>0</v>
      </c>
      <c r="AA163" s="9">
        <f>VLOOKUP($A163,地图配置辅助表!$A$3:$AP$245,地图配置辅助表!M$1,FALSE)</f>
        <v>2</v>
      </c>
      <c r="AB163">
        <f>VLOOKUP($A163,地图配置辅助表!$A$3:$AP$245,地图配置辅助表!N$1,FALSE)</f>
        <v>1</v>
      </c>
      <c r="AC163" s="9">
        <f>VLOOKUP($A163,地图配置辅助表!$A$3:$AP$245,地图配置辅助表!O$1,FALSE)</f>
        <v>1</v>
      </c>
      <c r="AD163">
        <f>VLOOKUP($A163,地图配置辅助表!$A$3:$AP$245,地图配置辅助表!P$1,FALSE)</f>
        <v>47</v>
      </c>
      <c r="AE163" s="8">
        <f>VLOOKUP($A163,地图配置辅助表!$A$3:$AP$245,地图配置辅助表!Q$1,FALSE)</f>
        <v>3</v>
      </c>
      <c r="AF163" s="8">
        <f>VLOOKUP($A163,地图配置辅助表!$A$3:$AP$245,地图配置辅助表!R$1,FALSE)</f>
        <v>1402</v>
      </c>
      <c r="AG163" s="11">
        <f>VLOOKUP($A163,地图配置辅助表!$A$3:$AP$245,地图配置辅助表!S$1,FALSE)</f>
        <v>501403</v>
      </c>
      <c r="AH163" s="11">
        <f>VLOOKUP($A163,地图配置辅助表!$A$3:$AP$245,地图配置辅助表!T$1,FALSE)</f>
        <v>403103</v>
      </c>
      <c r="AI163" s="9">
        <f>VLOOKUP($A163,地图配置辅助表!$A$3:$AP$245,地图配置辅助表!U$1,FALSE)</f>
        <v>0</v>
      </c>
      <c r="AJ163" s="9">
        <f>VLOOKUP($A163,地图配置辅助表!$A$3:$AP$245,地图配置辅助表!V$1,FALSE)</f>
        <v>0</v>
      </c>
      <c r="AK163" s="9">
        <f>VLOOKUP($A163,地图配置辅助表!$A$3:$AP$245,地图配置辅助表!W$1,FALSE)</f>
        <v>0</v>
      </c>
      <c r="AL163" s="9">
        <f>VLOOKUP($A163,地图配置辅助表!$A$3:$AP$245,地图配置辅助表!X$1,FALSE)</f>
        <v>0</v>
      </c>
      <c r="AM163" s="9">
        <f>VLOOKUP($A163,地图配置辅助表!$A$3:$AP$245,地图配置辅助表!Y$1,FALSE)</f>
        <v>0</v>
      </c>
      <c r="AN163" s="9">
        <f>VLOOKUP($A163,地图配置辅助表!$A$3:$AP$245,地图配置辅助表!Z$1,FALSE)</f>
        <v>0</v>
      </c>
      <c r="AO163" s="9">
        <f>VLOOKUP($A163,地图配置辅助表!$A$3:$AP$245,地图配置辅助表!AA$1,FALSE)</f>
        <v>0</v>
      </c>
      <c r="AP163" s="9">
        <f>VLOOKUP($A163,地图配置辅助表!$A$3:$AP$245,地图配置辅助表!AB$1,FALSE)</f>
        <v>0</v>
      </c>
      <c r="AQ163" s="9">
        <f>VLOOKUP($A163,地图配置辅助表!$A$3:$AP$245,地图配置辅助表!AC$1,FALSE)</f>
        <v>0</v>
      </c>
      <c r="AR163" s="9">
        <f>VLOOKUP($A163,地图配置辅助表!$A$3:$AP$245,地图配置辅助表!AD$1,FALSE)</f>
        <v>0</v>
      </c>
      <c r="AS163" s="9">
        <f>VLOOKUP($A163,地图配置辅助表!$A$3:$AP$245,地图配置辅助表!AE$1,FALSE)</f>
        <v>0</v>
      </c>
      <c r="AT163" s="9">
        <f>VLOOKUP($A163,地图配置辅助表!$A$3:$AP$245,地图配置辅助表!AF$1,FALSE)</f>
        <v>3</v>
      </c>
      <c r="AU163" s="9">
        <f>VLOOKUP($A163,地图配置辅助表!$A$3:$AP$245,地图配置辅助表!AG$1,FALSE)</f>
        <v>169</v>
      </c>
      <c r="AV163" s="9">
        <f>VLOOKUP($A163,地图配置辅助表!$A$3:$AP$245,地图配置辅助表!AH$1,FALSE)</f>
        <v>170</v>
      </c>
      <c r="AW163" s="9">
        <f>VLOOKUP($A163,地图配置辅助表!$A$3:$AP$245,地图配置辅助表!AI$1,FALSE)</f>
        <v>171</v>
      </c>
      <c r="AX163" s="9">
        <f>VLOOKUP($A163,地图配置辅助表!$A$3:$AP$245,地图配置辅助表!AJ$1,FALSE)</f>
        <v>0</v>
      </c>
      <c r="AY163" s="9">
        <f>VLOOKUP($A163,地图配置辅助表!$A$3:$AP$245,地图配置辅助表!AK$1,FALSE)</f>
        <v>0</v>
      </c>
      <c r="AZ163" s="9">
        <f>VLOOKUP($A163,地图配置辅助表!$A$3:$AP$245,地图配置辅助表!AL$1,FALSE)</f>
        <v>0</v>
      </c>
      <c r="BA163" s="9">
        <f>VLOOKUP($A163,地图配置辅助表!$A$3:$AP$245,地图配置辅助表!AM$1,FALSE)</f>
        <v>0</v>
      </c>
      <c r="BB163" s="9">
        <f>VLOOKUP($A163,地图配置辅助表!$A$3:$AP$245,地图配置辅助表!AN$1,FALSE)</f>
        <v>0</v>
      </c>
      <c r="BC163" s="9">
        <f>VLOOKUP($A163,地图配置辅助表!$A$3:$AP$245,地图配置辅助表!AO$1,FALSE)</f>
        <v>0</v>
      </c>
      <c r="BD163" s="9">
        <f>VLOOKUP($A163,地图配置辅助表!$A$3:$AP$245,地图配置辅助表!AP$1,FALSE)</f>
        <v>0</v>
      </c>
    </row>
    <row r="164" spans="1:56" s="9" customFormat="1" x14ac:dyDescent="0.15">
      <c r="A164">
        <f>地图配置辅助表!A165</f>
        <v>1404</v>
      </c>
      <c r="B164" s="8">
        <f>地图配置辅助表!B165</f>
        <v>3</v>
      </c>
      <c r="C164" s="9">
        <f>地图配置辅助表!C165</f>
        <v>4</v>
      </c>
      <c r="D164" s="9" t="s">
        <v>439</v>
      </c>
      <c r="E164" s="9" t="s">
        <v>403</v>
      </c>
      <c r="F164" s="9" t="s">
        <v>535</v>
      </c>
      <c r="G164" s="9">
        <v>29</v>
      </c>
      <c r="H164" s="9">
        <v>200</v>
      </c>
      <c r="I164" s="9">
        <v>140</v>
      </c>
      <c r="J164" s="9">
        <v>200</v>
      </c>
      <c r="K164" s="9">
        <v>140</v>
      </c>
      <c r="L164" s="9" t="s">
        <v>225</v>
      </c>
      <c r="M164" s="9">
        <v>0</v>
      </c>
      <c r="R164" s="9" t="s">
        <v>142</v>
      </c>
      <c r="S164" s="11">
        <f>VLOOKUP($A164,地图配置辅助表!$A$3:$AP$245,地图配置辅助表!E$1,FALSE)</f>
        <v>12</v>
      </c>
      <c r="T164" s="9">
        <f>VLOOKUP($A164,地图配置辅助表!$A$3:$AP$245,地图配置辅助表!F$1,FALSE)</f>
        <v>48892</v>
      </c>
      <c r="U164" s="9">
        <f>VLOOKUP($A164,地图配置辅助表!$A$3:$AP$245,地图配置辅助表!G$1,FALSE)</f>
        <v>1</v>
      </c>
      <c r="V164" s="9">
        <f>VLOOKUP($A164,地图配置辅助表!$A$3:$AP$245,地图配置辅助表!H$1,FALSE)</f>
        <v>1</v>
      </c>
      <c r="W164" s="9">
        <f>VLOOKUP($A164,地图配置辅助表!$A$3:$AP$245,地图配置辅助表!I$1,FALSE)</f>
        <v>2</v>
      </c>
      <c r="X164" s="9">
        <f>VLOOKUP($A164,地图配置辅助表!$A$3:$AP$245,地图配置辅助表!J$1,FALSE)</f>
        <v>300</v>
      </c>
      <c r="Y164" s="9">
        <f>VLOOKUP($A164,地图配置辅助表!$A$3:$AP$245,地图配置辅助表!K$1,FALSE)</f>
        <v>0</v>
      </c>
      <c r="Z164" s="9">
        <f>VLOOKUP($A164,地图配置辅助表!$A$3:$AP$245,地图配置辅助表!L$1,FALSE)</f>
        <v>0</v>
      </c>
      <c r="AA164" s="9">
        <f>VLOOKUP($A164,地图配置辅助表!$A$3:$AP$245,地图配置辅助表!M$1,FALSE)</f>
        <v>2</v>
      </c>
      <c r="AB164">
        <f>VLOOKUP($A164,地图配置辅助表!$A$3:$AP$245,地图配置辅助表!N$1,FALSE)</f>
        <v>1</v>
      </c>
      <c r="AC164" s="9">
        <f>VLOOKUP($A164,地图配置辅助表!$A$3:$AP$245,地图配置辅助表!O$1,FALSE)</f>
        <v>1</v>
      </c>
      <c r="AD164">
        <f>VLOOKUP($A164,地图配置辅助表!$A$3:$AP$245,地图配置辅助表!P$1,FALSE)</f>
        <v>55</v>
      </c>
      <c r="AE164" s="8">
        <f>VLOOKUP($A164,地图配置辅助表!$A$3:$AP$245,地图配置辅助表!Q$1,FALSE)</f>
        <v>3</v>
      </c>
      <c r="AF164" s="8">
        <f>VLOOKUP($A164,地图配置辅助表!$A$3:$AP$245,地图配置辅助表!R$1,FALSE)</f>
        <v>1403</v>
      </c>
      <c r="AG164" s="11">
        <f>VLOOKUP($A164,地图配置辅助表!$A$3:$AP$245,地图配置辅助表!S$1,FALSE)</f>
        <v>501404</v>
      </c>
      <c r="AH164" s="11">
        <f>VLOOKUP($A164,地图配置辅助表!$A$3:$AP$245,地图配置辅助表!T$1,FALSE)</f>
        <v>404103</v>
      </c>
      <c r="AI164" s="9">
        <f>VLOOKUP($A164,地图配置辅助表!$A$3:$AP$245,地图配置辅助表!U$1,FALSE)</f>
        <v>0</v>
      </c>
      <c r="AJ164" s="9">
        <f>VLOOKUP($A164,地图配置辅助表!$A$3:$AP$245,地图配置辅助表!V$1,FALSE)</f>
        <v>0</v>
      </c>
      <c r="AK164" s="9">
        <f>VLOOKUP($A164,地图配置辅助表!$A$3:$AP$245,地图配置辅助表!W$1,FALSE)</f>
        <v>0</v>
      </c>
      <c r="AL164" s="9">
        <f>VLOOKUP($A164,地图配置辅助表!$A$3:$AP$245,地图配置辅助表!X$1,FALSE)</f>
        <v>0</v>
      </c>
      <c r="AM164" s="9">
        <f>VLOOKUP($A164,地图配置辅助表!$A$3:$AP$245,地图配置辅助表!Y$1,FALSE)</f>
        <v>0</v>
      </c>
      <c r="AN164" s="9">
        <f>VLOOKUP($A164,地图配置辅助表!$A$3:$AP$245,地图配置辅助表!Z$1,FALSE)</f>
        <v>0</v>
      </c>
      <c r="AO164" s="9">
        <f>VLOOKUP($A164,地图配置辅助表!$A$3:$AP$245,地图配置辅助表!AA$1,FALSE)</f>
        <v>0</v>
      </c>
      <c r="AP164" s="9">
        <f>VLOOKUP($A164,地图配置辅助表!$A$3:$AP$245,地图配置辅助表!AB$1,FALSE)</f>
        <v>0</v>
      </c>
      <c r="AQ164" s="9">
        <f>VLOOKUP($A164,地图配置辅助表!$A$3:$AP$245,地图配置辅助表!AC$1,FALSE)</f>
        <v>0</v>
      </c>
      <c r="AR164" s="9">
        <f>VLOOKUP($A164,地图配置辅助表!$A$3:$AP$245,地图配置辅助表!AD$1,FALSE)</f>
        <v>0</v>
      </c>
      <c r="AS164" s="9">
        <f>VLOOKUP($A164,地图配置辅助表!$A$3:$AP$245,地图配置辅助表!AE$1,FALSE)</f>
        <v>0</v>
      </c>
      <c r="AT164" s="9">
        <f>VLOOKUP($A164,地图配置辅助表!$A$3:$AP$245,地图配置辅助表!AF$1,FALSE)</f>
        <v>3</v>
      </c>
      <c r="AU164" s="9">
        <f>VLOOKUP($A164,地图配置辅助表!$A$3:$AP$245,地图配置辅助表!AG$1,FALSE)</f>
        <v>211</v>
      </c>
      <c r="AV164" s="9">
        <f>VLOOKUP($A164,地图配置辅助表!$A$3:$AP$245,地图配置辅助表!AH$1,FALSE)</f>
        <v>212</v>
      </c>
      <c r="AW164" s="9">
        <f>VLOOKUP($A164,地图配置辅助表!$A$3:$AP$245,地图配置辅助表!AI$1,FALSE)</f>
        <v>213</v>
      </c>
      <c r="AX164" s="9">
        <f>VLOOKUP($A164,地图配置辅助表!$A$3:$AP$245,地图配置辅助表!AJ$1,FALSE)</f>
        <v>0</v>
      </c>
      <c r="AY164" s="9">
        <f>VLOOKUP($A164,地图配置辅助表!$A$3:$AP$245,地图配置辅助表!AK$1,FALSE)</f>
        <v>0</v>
      </c>
      <c r="AZ164" s="9">
        <f>VLOOKUP($A164,地图配置辅助表!$A$3:$AP$245,地图配置辅助表!AL$1,FALSE)</f>
        <v>0</v>
      </c>
      <c r="BA164" s="9">
        <f>VLOOKUP($A164,地图配置辅助表!$A$3:$AP$245,地图配置辅助表!AM$1,FALSE)</f>
        <v>0</v>
      </c>
      <c r="BB164" s="9">
        <f>VLOOKUP($A164,地图配置辅助表!$A$3:$AP$245,地图配置辅助表!AN$1,FALSE)</f>
        <v>0</v>
      </c>
      <c r="BC164" s="9">
        <f>VLOOKUP($A164,地图配置辅助表!$A$3:$AP$245,地图配置辅助表!AO$1,FALSE)</f>
        <v>0</v>
      </c>
      <c r="BD164" s="9">
        <f>VLOOKUP($A164,地图配置辅助表!$A$3:$AP$245,地图配置辅助表!AP$1,FALSE)</f>
        <v>0</v>
      </c>
    </row>
    <row r="165" spans="1:56" s="9" customFormat="1" x14ac:dyDescent="0.15">
      <c r="A165">
        <f>地图配置辅助表!A166</f>
        <v>1405</v>
      </c>
      <c r="B165" s="8">
        <f>地图配置辅助表!B166</f>
        <v>3</v>
      </c>
      <c r="C165" s="9">
        <f>地图配置辅助表!C166</f>
        <v>5</v>
      </c>
      <c r="D165" s="9" t="s">
        <v>440</v>
      </c>
      <c r="E165" s="9" t="s">
        <v>403</v>
      </c>
      <c r="F165" s="9" t="s">
        <v>536</v>
      </c>
      <c r="G165" s="9">
        <v>29</v>
      </c>
      <c r="H165" s="9">
        <v>200</v>
      </c>
      <c r="I165" s="9">
        <v>140</v>
      </c>
      <c r="J165" s="9">
        <v>200</v>
      </c>
      <c r="K165" s="9">
        <v>140</v>
      </c>
      <c r="L165" s="9" t="s">
        <v>226</v>
      </c>
      <c r="M165" s="9">
        <v>0</v>
      </c>
      <c r="R165" s="9" t="s">
        <v>148</v>
      </c>
      <c r="S165" s="11">
        <f>VLOOKUP($A165,地图配置辅助表!$A$3:$AP$245,地图配置辅助表!E$1,FALSE)</f>
        <v>12</v>
      </c>
      <c r="T165" s="9">
        <f>VLOOKUP($A165,地图配置辅助表!$A$3:$AP$245,地图配置辅助表!F$1,FALSE)</f>
        <v>85209</v>
      </c>
      <c r="U165" s="9">
        <f>VLOOKUP($A165,地图配置辅助表!$A$3:$AP$245,地图配置辅助表!G$1,FALSE)</f>
        <v>1</v>
      </c>
      <c r="V165" s="9">
        <f>VLOOKUP($A165,地图配置辅助表!$A$3:$AP$245,地图配置辅助表!H$1,FALSE)</f>
        <v>1</v>
      </c>
      <c r="W165" s="9">
        <f>VLOOKUP($A165,地图配置辅助表!$A$3:$AP$245,地图配置辅助表!I$1,FALSE)</f>
        <v>2</v>
      </c>
      <c r="X165" s="9">
        <f>VLOOKUP($A165,地图配置辅助表!$A$3:$AP$245,地图配置辅助表!J$1,FALSE)</f>
        <v>300</v>
      </c>
      <c r="Y165" s="9">
        <f>VLOOKUP($A165,地图配置辅助表!$A$3:$AP$245,地图配置辅助表!K$1,FALSE)</f>
        <v>0</v>
      </c>
      <c r="Z165" s="9">
        <f>VLOOKUP($A165,地图配置辅助表!$A$3:$AP$245,地图配置辅助表!L$1,FALSE)</f>
        <v>0</v>
      </c>
      <c r="AA165" s="9">
        <f>VLOOKUP($A165,地图配置辅助表!$A$3:$AP$245,地图配置辅助表!M$1,FALSE)</f>
        <v>2</v>
      </c>
      <c r="AB165">
        <f>VLOOKUP($A165,地图配置辅助表!$A$3:$AP$245,地图配置辅助表!N$1,FALSE)</f>
        <v>1</v>
      </c>
      <c r="AC165" s="9">
        <f>VLOOKUP($A165,地图配置辅助表!$A$3:$AP$245,地图配置辅助表!O$1,FALSE)</f>
        <v>1</v>
      </c>
      <c r="AD165">
        <f>VLOOKUP($A165,地图配置辅助表!$A$3:$AP$245,地图配置辅助表!P$1,FALSE)</f>
        <v>63</v>
      </c>
      <c r="AE165" s="8">
        <f>VLOOKUP($A165,地图配置辅助表!$A$3:$AP$245,地图配置辅助表!Q$1,FALSE)</f>
        <v>3</v>
      </c>
      <c r="AF165" s="8">
        <f>VLOOKUP($A165,地图配置辅助表!$A$3:$AP$245,地图配置辅助表!R$1,FALSE)</f>
        <v>1404</v>
      </c>
      <c r="AG165" s="11">
        <f>VLOOKUP($A165,地图配置辅助表!$A$3:$AP$245,地图配置辅助表!S$1,FALSE)</f>
        <v>501405</v>
      </c>
      <c r="AH165" s="11">
        <f>VLOOKUP($A165,地图配置辅助表!$A$3:$AP$245,地图配置辅助表!T$1,FALSE)</f>
        <v>405103</v>
      </c>
      <c r="AI165" s="9">
        <f>VLOOKUP($A165,地图配置辅助表!$A$3:$AP$245,地图配置辅助表!U$1,FALSE)</f>
        <v>0</v>
      </c>
      <c r="AJ165" s="9">
        <f>VLOOKUP($A165,地图配置辅助表!$A$3:$AP$245,地图配置辅助表!V$1,FALSE)</f>
        <v>0</v>
      </c>
      <c r="AK165" s="9">
        <f>VLOOKUP($A165,地图配置辅助表!$A$3:$AP$245,地图配置辅助表!W$1,FALSE)</f>
        <v>0</v>
      </c>
      <c r="AL165" s="9">
        <f>VLOOKUP($A165,地图配置辅助表!$A$3:$AP$245,地图配置辅助表!X$1,FALSE)</f>
        <v>0</v>
      </c>
      <c r="AM165" s="9">
        <f>VLOOKUP($A165,地图配置辅助表!$A$3:$AP$245,地图配置辅助表!Y$1,FALSE)</f>
        <v>0</v>
      </c>
      <c r="AN165" s="9">
        <f>VLOOKUP($A165,地图配置辅助表!$A$3:$AP$245,地图配置辅助表!Z$1,FALSE)</f>
        <v>0</v>
      </c>
      <c r="AO165" s="9">
        <f>VLOOKUP($A165,地图配置辅助表!$A$3:$AP$245,地图配置辅助表!AA$1,FALSE)</f>
        <v>0</v>
      </c>
      <c r="AP165" s="9">
        <f>VLOOKUP($A165,地图配置辅助表!$A$3:$AP$245,地图配置辅助表!AB$1,FALSE)</f>
        <v>0</v>
      </c>
      <c r="AQ165" s="9">
        <f>VLOOKUP($A165,地图配置辅助表!$A$3:$AP$245,地图配置辅助表!AC$1,FALSE)</f>
        <v>0</v>
      </c>
      <c r="AR165" s="9">
        <f>VLOOKUP($A165,地图配置辅助表!$A$3:$AP$245,地图配置辅助表!AD$1,FALSE)</f>
        <v>0</v>
      </c>
      <c r="AS165" s="9">
        <f>VLOOKUP($A165,地图配置辅助表!$A$3:$AP$245,地图配置辅助表!AE$1,FALSE)</f>
        <v>0</v>
      </c>
      <c r="AT165" s="9">
        <f>VLOOKUP($A165,地图配置辅助表!$A$3:$AP$245,地图配置辅助表!AF$1,FALSE)</f>
        <v>3</v>
      </c>
      <c r="AU165" s="9">
        <f>VLOOKUP($A165,地图配置辅助表!$A$3:$AP$245,地图配置辅助表!AG$1,FALSE)</f>
        <v>176</v>
      </c>
      <c r="AV165" s="9">
        <f>VLOOKUP($A165,地图配置辅助表!$A$3:$AP$245,地图配置辅助表!AH$1,FALSE)</f>
        <v>177</v>
      </c>
      <c r="AW165" s="9">
        <f>VLOOKUP($A165,地图配置辅助表!$A$3:$AP$245,地图配置辅助表!AI$1,FALSE)</f>
        <v>178</v>
      </c>
      <c r="AX165" s="9">
        <f>VLOOKUP($A165,地图配置辅助表!$A$3:$AP$245,地图配置辅助表!AJ$1,FALSE)</f>
        <v>0</v>
      </c>
      <c r="AY165" s="9">
        <f>VLOOKUP($A165,地图配置辅助表!$A$3:$AP$245,地图配置辅助表!AK$1,FALSE)</f>
        <v>0</v>
      </c>
      <c r="AZ165" s="9">
        <f>VLOOKUP($A165,地图配置辅助表!$A$3:$AP$245,地图配置辅助表!AL$1,FALSE)</f>
        <v>0</v>
      </c>
      <c r="BA165" s="9">
        <f>VLOOKUP($A165,地图配置辅助表!$A$3:$AP$245,地图配置辅助表!AM$1,FALSE)</f>
        <v>0</v>
      </c>
      <c r="BB165" s="9">
        <f>VLOOKUP($A165,地图配置辅助表!$A$3:$AP$245,地图配置辅助表!AN$1,FALSE)</f>
        <v>0</v>
      </c>
      <c r="BC165" s="9">
        <f>VLOOKUP($A165,地图配置辅助表!$A$3:$AP$245,地图配置辅助表!AO$1,FALSE)</f>
        <v>0</v>
      </c>
      <c r="BD165" s="9">
        <f>VLOOKUP($A165,地图配置辅助表!$A$3:$AP$245,地图配置辅助表!AP$1,FALSE)</f>
        <v>0</v>
      </c>
    </row>
    <row r="166" spans="1:56" s="9" customFormat="1" x14ac:dyDescent="0.15">
      <c r="A166">
        <f>地图配置辅助表!A167</f>
        <v>1406</v>
      </c>
      <c r="B166" s="8">
        <f>地图配置辅助表!B167</f>
        <v>3</v>
      </c>
      <c r="C166" s="9">
        <f>地图配置辅助表!C167</f>
        <v>6</v>
      </c>
      <c r="D166" s="9" t="s">
        <v>441</v>
      </c>
      <c r="E166" s="9" t="s">
        <v>403</v>
      </c>
      <c r="F166" s="9" t="s">
        <v>537</v>
      </c>
      <c r="G166" s="9">
        <v>29</v>
      </c>
      <c r="H166" s="9">
        <v>200</v>
      </c>
      <c r="I166" s="9">
        <v>140</v>
      </c>
      <c r="J166" s="9">
        <v>200</v>
      </c>
      <c r="K166" s="9">
        <v>140</v>
      </c>
      <c r="L166" s="9" t="s">
        <v>227</v>
      </c>
      <c r="M166" s="9">
        <v>0</v>
      </c>
      <c r="R166" s="9" t="s">
        <v>154</v>
      </c>
      <c r="S166" s="11">
        <f>VLOOKUP($A166,地图配置辅助表!$A$3:$AP$245,地图配置辅助表!E$1,FALSE)</f>
        <v>12</v>
      </c>
      <c r="T166" s="9">
        <f>VLOOKUP($A166,地图配置辅助表!$A$3:$AP$245,地图配置辅助表!F$1,FALSE)</f>
        <v>139365</v>
      </c>
      <c r="U166" s="9">
        <f>VLOOKUP($A166,地图配置辅助表!$A$3:$AP$245,地图配置辅助表!G$1,FALSE)</f>
        <v>1</v>
      </c>
      <c r="V166" s="9">
        <f>VLOOKUP($A166,地图配置辅助表!$A$3:$AP$245,地图配置辅助表!H$1,FALSE)</f>
        <v>1</v>
      </c>
      <c r="W166" s="9">
        <f>VLOOKUP($A166,地图配置辅助表!$A$3:$AP$245,地图配置辅助表!I$1,FALSE)</f>
        <v>2</v>
      </c>
      <c r="X166" s="9">
        <f>VLOOKUP($A166,地图配置辅助表!$A$3:$AP$245,地图配置辅助表!J$1,FALSE)</f>
        <v>300</v>
      </c>
      <c r="Y166" s="9">
        <f>VLOOKUP($A166,地图配置辅助表!$A$3:$AP$245,地图配置辅助表!K$1,FALSE)</f>
        <v>0</v>
      </c>
      <c r="Z166" s="9">
        <f>VLOOKUP($A166,地图配置辅助表!$A$3:$AP$245,地图配置辅助表!L$1,FALSE)</f>
        <v>0</v>
      </c>
      <c r="AA166" s="9">
        <f>VLOOKUP($A166,地图配置辅助表!$A$3:$AP$245,地图配置辅助表!M$1,FALSE)</f>
        <v>2</v>
      </c>
      <c r="AB166">
        <f>VLOOKUP($A166,地图配置辅助表!$A$3:$AP$245,地图配置辅助表!N$1,FALSE)</f>
        <v>1</v>
      </c>
      <c r="AC166" s="9">
        <f>VLOOKUP($A166,地图配置辅助表!$A$3:$AP$245,地图配置辅助表!O$1,FALSE)</f>
        <v>1</v>
      </c>
      <c r="AD166">
        <f>VLOOKUP($A166,地图配置辅助表!$A$3:$AP$245,地图配置辅助表!P$1,FALSE)</f>
        <v>71</v>
      </c>
      <c r="AE166" s="8">
        <f>VLOOKUP($A166,地图配置辅助表!$A$3:$AP$245,地图配置辅助表!Q$1,FALSE)</f>
        <v>3</v>
      </c>
      <c r="AF166" s="8">
        <f>VLOOKUP($A166,地图配置辅助表!$A$3:$AP$245,地图配置辅助表!R$1,FALSE)</f>
        <v>1405</v>
      </c>
      <c r="AG166" s="11">
        <f>VLOOKUP($A166,地图配置辅助表!$A$3:$AP$245,地图配置辅助表!S$1,FALSE)</f>
        <v>501406</v>
      </c>
      <c r="AH166" s="11">
        <f>VLOOKUP($A166,地图配置辅助表!$A$3:$AP$245,地图配置辅助表!T$1,FALSE)</f>
        <v>406103</v>
      </c>
      <c r="AI166" s="9">
        <f>VLOOKUP($A166,地图配置辅助表!$A$3:$AP$245,地图配置辅助表!U$1,FALSE)</f>
        <v>0</v>
      </c>
      <c r="AJ166" s="9">
        <f>VLOOKUP($A166,地图配置辅助表!$A$3:$AP$245,地图配置辅助表!V$1,FALSE)</f>
        <v>0</v>
      </c>
      <c r="AK166" s="9">
        <f>VLOOKUP($A166,地图配置辅助表!$A$3:$AP$245,地图配置辅助表!W$1,FALSE)</f>
        <v>0</v>
      </c>
      <c r="AL166" s="9">
        <f>VLOOKUP($A166,地图配置辅助表!$A$3:$AP$245,地图配置辅助表!X$1,FALSE)</f>
        <v>0</v>
      </c>
      <c r="AM166" s="9">
        <f>VLOOKUP($A166,地图配置辅助表!$A$3:$AP$245,地图配置辅助表!Y$1,FALSE)</f>
        <v>0</v>
      </c>
      <c r="AN166" s="9">
        <f>VLOOKUP($A166,地图配置辅助表!$A$3:$AP$245,地图配置辅助表!Z$1,FALSE)</f>
        <v>0</v>
      </c>
      <c r="AO166" s="9">
        <f>VLOOKUP($A166,地图配置辅助表!$A$3:$AP$245,地图配置辅助表!AA$1,FALSE)</f>
        <v>0</v>
      </c>
      <c r="AP166" s="9">
        <f>VLOOKUP($A166,地图配置辅助表!$A$3:$AP$245,地图配置辅助表!AB$1,FALSE)</f>
        <v>0</v>
      </c>
      <c r="AQ166" s="9">
        <f>VLOOKUP($A166,地图配置辅助表!$A$3:$AP$245,地图配置辅助表!AC$1,FALSE)</f>
        <v>0</v>
      </c>
      <c r="AR166" s="9">
        <f>VLOOKUP($A166,地图配置辅助表!$A$3:$AP$245,地图配置辅助表!AD$1,FALSE)</f>
        <v>0</v>
      </c>
      <c r="AS166" s="9">
        <f>VLOOKUP($A166,地图配置辅助表!$A$3:$AP$245,地图配置辅助表!AE$1,FALSE)</f>
        <v>0</v>
      </c>
      <c r="AT166" s="9">
        <f>VLOOKUP($A166,地图配置辅助表!$A$3:$AP$245,地图配置辅助表!AF$1,FALSE)</f>
        <v>3</v>
      </c>
      <c r="AU166" s="9">
        <f>VLOOKUP($A166,地图配置辅助表!$A$3:$AP$245,地图配置辅助表!AG$1,FALSE)</f>
        <v>106</v>
      </c>
      <c r="AV166" s="9">
        <f>VLOOKUP($A166,地图配置辅助表!$A$3:$AP$245,地图配置辅助表!AH$1,FALSE)</f>
        <v>107</v>
      </c>
      <c r="AW166" s="9">
        <f>VLOOKUP($A166,地图配置辅助表!$A$3:$AP$245,地图配置辅助表!AI$1,FALSE)</f>
        <v>108</v>
      </c>
      <c r="AX166" s="9">
        <f>VLOOKUP($A166,地图配置辅助表!$A$3:$AP$245,地图配置辅助表!AJ$1,FALSE)</f>
        <v>0</v>
      </c>
      <c r="AY166" s="9">
        <f>VLOOKUP($A166,地图配置辅助表!$A$3:$AP$245,地图配置辅助表!AK$1,FALSE)</f>
        <v>0</v>
      </c>
      <c r="AZ166" s="9">
        <f>VLOOKUP($A166,地图配置辅助表!$A$3:$AP$245,地图配置辅助表!AL$1,FALSE)</f>
        <v>0</v>
      </c>
      <c r="BA166" s="9">
        <f>VLOOKUP($A166,地图配置辅助表!$A$3:$AP$245,地图配置辅助表!AM$1,FALSE)</f>
        <v>0</v>
      </c>
      <c r="BB166" s="9">
        <f>VLOOKUP($A166,地图配置辅助表!$A$3:$AP$245,地图配置辅助表!AN$1,FALSE)</f>
        <v>0</v>
      </c>
      <c r="BC166" s="9">
        <f>VLOOKUP($A166,地图配置辅助表!$A$3:$AP$245,地图配置辅助表!AO$1,FALSE)</f>
        <v>0</v>
      </c>
      <c r="BD166" s="9">
        <f>VLOOKUP($A166,地图配置辅助表!$A$3:$AP$245,地图配置辅助表!AP$1,FALSE)</f>
        <v>0</v>
      </c>
    </row>
    <row r="167" spans="1:56" s="13" customFormat="1" x14ac:dyDescent="0.15">
      <c r="A167">
        <f>地图配置辅助表!A168</f>
        <v>1501</v>
      </c>
      <c r="B167" s="8">
        <f>地图配置辅助表!B168</f>
        <v>3</v>
      </c>
      <c r="C167" s="13">
        <f>地图配置辅助表!C168</f>
        <v>1</v>
      </c>
      <c r="D167" s="9" t="str">
        <f>地图配置辅助表!D168</f>
        <v>挑战Boss-制服太妹</v>
      </c>
      <c r="E167" s="13" t="s">
        <v>685</v>
      </c>
      <c r="F167" s="13" t="s">
        <v>0</v>
      </c>
      <c r="G167" s="13">
        <v>29</v>
      </c>
      <c r="H167" s="13">
        <v>400</v>
      </c>
      <c r="I167" s="13">
        <v>140</v>
      </c>
      <c r="J167" s="13">
        <v>400</v>
      </c>
      <c r="K167" s="13">
        <v>140</v>
      </c>
      <c r="L167" s="13" t="s">
        <v>228</v>
      </c>
      <c r="M167" s="13">
        <v>0</v>
      </c>
      <c r="R167" s="13" t="s">
        <v>249</v>
      </c>
      <c r="S167" s="13">
        <f>VLOOKUP($A167,地图配置辅助表!$A$3:$AP$245,地图配置辅助表!E$1,FALSE)</f>
        <v>6</v>
      </c>
      <c r="T167" s="9">
        <f>VLOOKUP($A167,地图配置辅助表!$A$3:$AP$245,地图配置辅助表!F$1,FALSE)</f>
        <v>58</v>
      </c>
      <c r="U167" s="13">
        <f>VLOOKUP($A167,地图配置辅助表!$A$3:$AP$245,地图配置辅助表!G$1,FALSE)</f>
        <v>1</v>
      </c>
      <c r="V167" s="13">
        <f>VLOOKUP($A167,地图配置辅助表!$A$3:$AP$245,地图配置辅助表!H$1,FALSE)</f>
        <v>1</v>
      </c>
      <c r="W167" s="13">
        <f>VLOOKUP($A167,地图配置辅助表!$A$3:$AP$245,地图配置辅助表!I$1,FALSE)</f>
        <v>1</v>
      </c>
      <c r="X167" s="13">
        <f>VLOOKUP($A167,地图配置辅助表!$A$3:$AP$245,地图配置辅助表!J$1,FALSE)</f>
        <v>300</v>
      </c>
      <c r="Y167" s="13">
        <f>VLOOKUP($A167,地图配置辅助表!$A$3:$AP$245,地图配置辅助表!K$1,FALSE)</f>
        <v>2</v>
      </c>
      <c r="Z167" s="13">
        <f>VLOOKUP($A167,地图配置辅助表!$A$3:$AP$245,地图配置辅助表!L$1,FALSE)</f>
        <v>0</v>
      </c>
      <c r="AA167" s="13">
        <f>VLOOKUP($A167,地图配置辅助表!$A$3:$AP$245,地图配置辅助表!M$1,FALSE)</f>
        <v>2</v>
      </c>
      <c r="AB167">
        <f>VLOOKUP($A167,地图配置辅助表!$A$3:$AP$245,地图配置辅助表!N$1,FALSE)</f>
        <v>0</v>
      </c>
      <c r="AC167" s="13">
        <f>VLOOKUP($A167,地图配置辅助表!$A$3:$AP$245,地图配置辅助表!O$1,FALSE)</f>
        <v>1</v>
      </c>
      <c r="AD167">
        <f>VLOOKUP($A167,地图配置辅助表!$A$3:$AP$245,地图配置辅助表!P$1,FALSE)</f>
        <v>12</v>
      </c>
      <c r="AE167" s="8">
        <f>VLOOKUP($A167,地图配置辅助表!$A$3:$AP$245,地图配置辅助表!Q$1,FALSE)</f>
        <v>5</v>
      </c>
      <c r="AF167" s="8">
        <f>VLOOKUP($A167,地图配置辅助表!$A$3:$AP$245,地图配置辅助表!R$1,FALSE)</f>
        <v>101101</v>
      </c>
      <c r="AG167" s="13">
        <f>VLOOKUP($A167,地图配置辅助表!$A$3:$AP$245,地图配置辅助表!S$1,FALSE)</f>
        <v>515010</v>
      </c>
      <c r="AH167" s="13">
        <f>VLOOKUP($A167,地图配置辅助表!$A$3:$AP$245,地图配置辅助表!T$1,FALSE)</f>
        <v>701101</v>
      </c>
      <c r="AI167" s="13">
        <f>VLOOKUP($A167,地图配置辅助表!$A$3:$AP$245,地图配置辅助表!U$1,FALSE)</f>
        <v>0</v>
      </c>
      <c r="AJ167" s="13">
        <f>VLOOKUP($A167,地图配置辅助表!$A$3:$AP$245,地图配置辅助表!V$1,FALSE)</f>
        <v>0</v>
      </c>
      <c r="AK167" s="13">
        <f>VLOOKUP($A167,地图配置辅助表!$A$3:$AP$245,地图配置辅助表!W$1,FALSE)</f>
        <v>0</v>
      </c>
      <c r="AL167" s="13">
        <f>VLOOKUP($A167,地图配置辅助表!$A$3:$AP$245,地图配置辅助表!X$1,FALSE)</f>
        <v>0</v>
      </c>
      <c r="AM167" s="13">
        <f>VLOOKUP($A167,地图配置辅助表!$A$3:$AP$245,地图配置辅助表!Y$1,FALSE)</f>
        <v>0</v>
      </c>
      <c r="AN167" s="13">
        <f>VLOOKUP($A167,地图配置辅助表!$A$3:$AP$245,地图配置辅助表!Z$1,FALSE)</f>
        <v>0</v>
      </c>
      <c r="AO167" s="13">
        <f>VLOOKUP($A167,地图配置辅助表!$A$3:$AP$245,地图配置辅助表!AA$1,FALSE)</f>
        <v>0</v>
      </c>
      <c r="AP167" s="13">
        <f>VLOOKUP($A167,地图配置辅助表!$A$3:$AP$245,地图配置辅助表!AB$1,FALSE)</f>
        <v>0</v>
      </c>
      <c r="AQ167" s="13">
        <f>VLOOKUP($A167,地图配置辅助表!$A$3:$AP$245,地图配置辅助表!AC$1,FALSE)</f>
        <v>0</v>
      </c>
      <c r="AR167" s="13">
        <f>VLOOKUP($A167,地图配置辅助表!$A$3:$AP$245,地图配置辅助表!AD$1,FALSE)</f>
        <v>0</v>
      </c>
      <c r="AS167" s="13">
        <f>VLOOKUP($A167,地图配置辅助表!$A$3:$AP$245,地图配置辅助表!AE$1,FALSE)</f>
        <v>0</v>
      </c>
      <c r="AT167" s="13">
        <f>VLOOKUP($A167,地图配置辅助表!$A$3:$AP$245,地图配置辅助表!AF$1,FALSE)</f>
        <v>1</v>
      </c>
      <c r="AU167" s="13">
        <f>VLOOKUP($A167,地图配置辅助表!$A$3:$AP$245,地图配置辅助表!AG$1,FALSE)</f>
        <v>146</v>
      </c>
      <c r="AV167" s="13">
        <f>VLOOKUP($A167,地图配置辅助表!$A$3:$AP$245,地图配置辅助表!AH$1,FALSE)</f>
        <v>0</v>
      </c>
      <c r="AW167" s="13">
        <f>VLOOKUP($A167,地图配置辅助表!$A$3:$AP$245,地图配置辅助表!AI$1,FALSE)</f>
        <v>0</v>
      </c>
      <c r="AX167" s="13">
        <f>VLOOKUP($A167,地图配置辅助表!$A$3:$AP$245,地图配置辅助表!AJ$1,FALSE)</f>
        <v>0</v>
      </c>
      <c r="AY167" s="13">
        <f>VLOOKUP($A167,地图配置辅助表!$A$3:$AP$245,地图配置辅助表!AK$1,FALSE)</f>
        <v>0</v>
      </c>
      <c r="AZ167" s="13">
        <f>VLOOKUP($A167,地图配置辅助表!$A$3:$AP$245,地图配置辅助表!AL$1,FALSE)</f>
        <v>0</v>
      </c>
      <c r="BA167" s="13">
        <f>VLOOKUP($A167,地图配置辅助表!$A$3:$AP$245,地图配置辅助表!AM$1,FALSE)</f>
        <v>0</v>
      </c>
      <c r="BB167" s="13">
        <f>VLOOKUP($A167,地图配置辅助表!$A$3:$AP$245,地图配置辅助表!AN$1,FALSE)</f>
        <v>0</v>
      </c>
      <c r="BC167" s="13">
        <f>VLOOKUP($A167,地图配置辅助表!$A$3:$AP$245,地图配置辅助表!AO$1,FALSE)</f>
        <v>0</v>
      </c>
      <c r="BD167" s="13">
        <f>VLOOKUP($A167,地图配置辅助表!$A$3:$AP$245,地图配置辅助表!AP$1,FALSE)</f>
        <v>0</v>
      </c>
    </row>
    <row r="168" spans="1:56" s="13" customFormat="1" x14ac:dyDescent="0.15">
      <c r="A168">
        <f>地图配置辅助表!A169</f>
        <v>1502</v>
      </c>
      <c r="B168" s="8">
        <f>地图配置辅助表!B169</f>
        <v>3</v>
      </c>
      <c r="C168" s="13">
        <f>地图配置辅助表!C169</f>
        <v>1</v>
      </c>
      <c r="D168" s="9" t="str">
        <f>地图配置辅助表!D169</f>
        <v>挑战Boss-比利</v>
      </c>
      <c r="E168" s="13" t="s">
        <v>686</v>
      </c>
      <c r="F168" s="13" t="s">
        <v>0</v>
      </c>
      <c r="G168" s="13">
        <v>29</v>
      </c>
      <c r="H168" s="13">
        <v>400</v>
      </c>
      <c r="I168" s="13">
        <v>140</v>
      </c>
      <c r="J168" s="13">
        <v>400</v>
      </c>
      <c r="K168" s="13">
        <v>140</v>
      </c>
      <c r="L168" s="13" t="s">
        <v>229</v>
      </c>
      <c r="M168" s="13">
        <v>0</v>
      </c>
      <c r="R168" s="13" t="s">
        <v>249</v>
      </c>
      <c r="S168" s="13">
        <f>VLOOKUP($A168,地图配置辅助表!$A$3:$AP$245,地图配置辅助表!E$1,FALSE)</f>
        <v>6</v>
      </c>
      <c r="T168" s="9">
        <f>VLOOKUP($A168,地图配置辅助表!$A$3:$AP$245,地图配置辅助表!F$1,FALSE)</f>
        <v>58</v>
      </c>
      <c r="U168" s="13">
        <f>VLOOKUP($A168,地图配置辅助表!$A$3:$AP$245,地图配置辅助表!G$1,FALSE)</f>
        <v>1</v>
      </c>
      <c r="V168" s="13">
        <f>VLOOKUP($A168,地图配置辅助表!$A$3:$AP$245,地图配置辅助表!H$1,FALSE)</f>
        <v>1</v>
      </c>
      <c r="W168" s="13">
        <f>VLOOKUP($A168,地图配置辅助表!$A$3:$AP$245,地图配置辅助表!I$1,FALSE)</f>
        <v>1</v>
      </c>
      <c r="X168" s="13">
        <f>VLOOKUP($A168,地图配置辅助表!$A$3:$AP$245,地图配置辅助表!J$1,FALSE)</f>
        <v>300</v>
      </c>
      <c r="Y168" s="13">
        <f>VLOOKUP($A168,地图配置辅助表!$A$3:$AP$245,地图配置辅助表!K$1,FALSE)</f>
        <v>2</v>
      </c>
      <c r="Z168" s="13">
        <f>VLOOKUP($A168,地图配置辅助表!$A$3:$AP$245,地图配置辅助表!L$1,FALSE)</f>
        <v>0</v>
      </c>
      <c r="AA168" s="13">
        <f>VLOOKUP($A168,地图配置辅助表!$A$3:$AP$245,地图配置辅助表!M$1,FALSE)</f>
        <v>2</v>
      </c>
      <c r="AB168">
        <f>VLOOKUP($A168,地图配置辅助表!$A$3:$AP$245,地图配置辅助表!N$1,FALSE)</f>
        <v>0</v>
      </c>
      <c r="AC168" s="13">
        <f>VLOOKUP($A168,地图配置辅助表!$A$3:$AP$245,地图配置辅助表!O$1,FALSE)</f>
        <v>1</v>
      </c>
      <c r="AD168">
        <f>VLOOKUP($A168,地图配置辅助表!$A$3:$AP$245,地图配置辅助表!P$1,FALSE)</f>
        <v>12</v>
      </c>
      <c r="AE168" s="8">
        <f>VLOOKUP($A168,地图配置辅助表!$A$3:$AP$245,地图配置辅助表!Q$1,FALSE)</f>
        <v>5</v>
      </c>
      <c r="AF168" s="8">
        <f>VLOOKUP($A168,地图配置辅助表!$A$3:$AP$245,地图配置辅助表!R$1,FALSE)</f>
        <v>101103</v>
      </c>
      <c r="AG168" s="13">
        <f>VLOOKUP($A168,地图配置辅助表!$A$3:$AP$245,地图配置辅助表!S$1,FALSE)</f>
        <v>515020</v>
      </c>
      <c r="AH168" s="13">
        <f>VLOOKUP($A168,地图配置辅助表!$A$3:$AP$245,地图配置辅助表!T$1,FALSE)</f>
        <v>701202</v>
      </c>
      <c r="AI168" s="13">
        <f>VLOOKUP($A168,地图配置辅助表!$A$3:$AP$245,地图配置辅助表!U$1,FALSE)</f>
        <v>0</v>
      </c>
      <c r="AJ168" s="13">
        <f>VLOOKUP($A168,地图配置辅助表!$A$3:$AP$245,地图配置辅助表!V$1,FALSE)</f>
        <v>0</v>
      </c>
      <c r="AK168" s="13">
        <f>VLOOKUP($A168,地图配置辅助表!$A$3:$AP$245,地图配置辅助表!W$1,FALSE)</f>
        <v>0</v>
      </c>
      <c r="AL168" s="13">
        <f>VLOOKUP($A168,地图配置辅助表!$A$3:$AP$245,地图配置辅助表!X$1,FALSE)</f>
        <v>0</v>
      </c>
      <c r="AM168" s="13">
        <f>VLOOKUP($A168,地图配置辅助表!$A$3:$AP$245,地图配置辅助表!Y$1,FALSE)</f>
        <v>0</v>
      </c>
      <c r="AN168" s="13">
        <f>VLOOKUP($A168,地图配置辅助表!$A$3:$AP$245,地图配置辅助表!Z$1,FALSE)</f>
        <v>0</v>
      </c>
      <c r="AO168" s="13">
        <f>VLOOKUP($A168,地图配置辅助表!$A$3:$AP$245,地图配置辅助表!AA$1,FALSE)</f>
        <v>0</v>
      </c>
      <c r="AP168" s="13">
        <f>VLOOKUP($A168,地图配置辅助表!$A$3:$AP$245,地图配置辅助表!AB$1,FALSE)</f>
        <v>0</v>
      </c>
      <c r="AQ168" s="13">
        <f>VLOOKUP($A168,地图配置辅助表!$A$3:$AP$245,地图配置辅助表!AC$1,FALSE)</f>
        <v>0</v>
      </c>
      <c r="AR168" s="13">
        <f>VLOOKUP($A168,地图配置辅助表!$A$3:$AP$245,地图配置辅助表!AD$1,FALSE)</f>
        <v>0</v>
      </c>
      <c r="AS168" s="13">
        <f>VLOOKUP($A168,地图配置辅助表!$A$3:$AP$245,地图配置辅助表!AE$1,FALSE)</f>
        <v>0</v>
      </c>
      <c r="AT168" s="13">
        <f>VLOOKUP($A168,地图配置辅助表!$A$3:$AP$245,地图配置辅助表!AF$1,FALSE)</f>
        <v>1</v>
      </c>
      <c r="AU168" s="13">
        <f>VLOOKUP($A168,地图配置辅助表!$A$3:$AP$245,地图配置辅助表!AG$1,FALSE)</f>
        <v>148</v>
      </c>
      <c r="AV168" s="13">
        <f>VLOOKUP($A168,地图配置辅助表!$A$3:$AP$245,地图配置辅助表!AH$1,FALSE)</f>
        <v>0</v>
      </c>
      <c r="AW168" s="13">
        <f>VLOOKUP($A168,地图配置辅助表!$A$3:$AP$245,地图配置辅助表!AI$1,FALSE)</f>
        <v>0</v>
      </c>
      <c r="AX168" s="13">
        <f>VLOOKUP($A168,地图配置辅助表!$A$3:$AP$245,地图配置辅助表!AJ$1,FALSE)</f>
        <v>0</v>
      </c>
      <c r="AY168" s="13">
        <f>VLOOKUP($A168,地图配置辅助表!$A$3:$AP$245,地图配置辅助表!AK$1,FALSE)</f>
        <v>0</v>
      </c>
      <c r="AZ168" s="13">
        <f>VLOOKUP($A168,地图配置辅助表!$A$3:$AP$245,地图配置辅助表!AL$1,FALSE)</f>
        <v>0</v>
      </c>
      <c r="BA168" s="13">
        <f>VLOOKUP($A168,地图配置辅助表!$A$3:$AP$245,地图配置辅助表!AM$1,FALSE)</f>
        <v>0</v>
      </c>
      <c r="BB168" s="13">
        <f>VLOOKUP($A168,地图配置辅助表!$A$3:$AP$245,地图配置辅助表!AN$1,FALSE)</f>
        <v>0</v>
      </c>
      <c r="BC168" s="13">
        <f>VLOOKUP($A168,地图配置辅助表!$A$3:$AP$245,地图配置辅助表!AO$1,FALSE)</f>
        <v>0</v>
      </c>
      <c r="BD168" s="13">
        <f>VLOOKUP($A168,地图配置辅助表!$A$3:$AP$245,地图配置辅助表!AP$1,FALSE)</f>
        <v>0</v>
      </c>
    </row>
    <row r="169" spans="1:56" s="13" customFormat="1" x14ac:dyDescent="0.15">
      <c r="A169">
        <f>地图配置辅助表!A170</f>
        <v>1503</v>
      </c>
      <c r="B169" s="8">
        <f>地图配置辅助表!B170</f>
        <v>3</v>
      </c>
      <c r="C169" s="13">
        <f>地图配置辅助表!C170</f>
        <v>2</v>
      </c>
      <c r="D169" s="9" t="str">
        <f>地图配置辅助表!D170</f>
        <v>挑战Boss-靓坤</v>
      </c>
      <c r="E169" s="13" t="s">
        <v>687</v>
      </c>
      <c r="F169" s="13" t="s">
        <v>0</v>
      </c>
      <c r="G169" s="13">
        <v>29</v>
      </c>
      <c r="H169" s="13">
        <v>400</v>
      </c>
      <c r="I169" s="13">
        <v>140</v>
      </c>
      <c r="J169" s="13">
        <v>400</v>
      </c>
      <c r="K169" s="13">
        <v>140</v>
      </c>
      <c r="L169" s="13" t="s">
        <v>230</v>
      </c>
      <c r="M169" s="13">
        <v>0</v>
      </c>
      <c r="R169" s="13" t="s">
        <v>249</v>
      </c>
      <c r="S169" s="13">
        <f>VLOOKUP($A169,地图配置辅助表!$A$3:$AP$245,地图配置辅助表!E$1,FALSE)</f>
        <v>12</v>
      </c>
      <c r="T169" s="9">
        <f>VLOOKUP($A169,地图配置辅助表!$A$3:$AP$245,地图配置辅助表!F$1,FALSE)</f>
        <v>58</v>
      </c>
      <c r="U169" s="13">
        <f>VLOOKUP($A169,地图配置辅助表!$A$3:$AP$245,地图配置辅助表!G$1,FALSE)</f>
        <v>1</v>
      </c>
      <c r="V169" s="13">
        <f>VLOOKUP($A169,地图配置辅助表!$A$3:$AP$245,地图配置辅助表!H$1,FALSE)</f>
        <v>1</v>
      </c>
      <c r="W169" s="13">
        <f>VLOOKUP($A169,地图配置辅助表!$A$3:$AP$245,地图配置辅助表!I$1,FALSE)</f>
        <v>1</v>
      </c>
      <c r="X169" s="13">
        <f>VLOOKUP($A169,地图配置辅助表!$A$3:$AP$245,地图配置辅助表!J$1,FALSE)</f>
        <v>300</v>
      </c>
      <c r="Y169" s="13">
        <f>VLOOKUP($A169,地图配置辅助表!$A$3:$AP$245,地图配置辅助表!K$1,FALSE)</f>
        <v>2</v>
      </c>
      <c r="Z169" s="13">
        <f>VLOOKUP($A169,地图配置辅助表!$A$3:$AP$245,地图配置辅助表!L$1,FALSE)</f>
        <v>0</v>
      </c>
      <c r="AA169" s="13">
        <f>VLOOKUP($A169,地图配置辅助表!$A$3:$AP$245,地图配置辅助表!M$1,FALSE)</f>
        <v>2</v>
      </c>
      <c r="AB169">
        <f>VLOOKUP($A169,地图配置辅助表!$A$3:$AP$245,地图配置辅助表!N$1,FALSE)</f>
        <v>0</v>
      </c>
      <c r="AC169" s="13">
        <f>VLOOKUP($A169,地图配置辅助表!$A$3:$AP$245,地图配置辅助表!O$1,FALSE)</f>
        <v>1</v>
      </c>
      <c r="AD169">
        <f>VLOOKUP($A169,地图配置辅助表!$A$3:$AP$245,地图配置辅助表!P$1,FALSE)</f>
        <v>24</v>
      </c>
      <c r="AE169" s="8">
        <f>VLOOKUP($A169,地图配置辅助表!$A$3:$AP$245,地图配置辅助表!Q$1,FALSE)</f>
        <v>5</v>
      </c>
      <c r="AF169" s="8">
        <f>VLOOKUP($A169,地图配置辅助表!$A$3:$AP$245,地图配置辅助表!R$1,FALSE)</f>
        <v>101106</v>
      </c>
      <c r="AG169" s="13">
        <f>VLOOKUP($A169,地图配置辅助表!$A$3:$AP$245,地图配置辅助表!S$1,FALSE)</f>
        <v>515030</v>
      </c>
      <c r="AH169" s="13">
        <f>VLOOKUP($A169,地图配置辅助表!$A$3:$AP$245,地图配置辅助表!T$1,FALSE)</f>
        <v>701303</v>
      </c>
      <c r="AI169" s="13">
        <f>VLOOKUP($A169,地图配置辅助表!$A$3:$AP$245,地图配置辅助表!U$1,FALSE)</f>
        <v>0</v>
      </c>
      <c r="AJ169" s="13">
        <f>VLOOKUP($A169,地图配置辅助表!$A$3:$AP$245,地图配置辅助表!V$1,FALSE)</f>
        <v>0</v>
      </c>
      <c r="AK169" s="13">
        <f>VLOOKUP($A169,地图配置辅助表!$A$3:$AP$245,地图配置辅助表!W$1,FALSE)</f>
        <v>0</v>
      </c>
      <c r="AL169" s="13">
        <f>VLOOKUP($A169,地图配置辅助表!$A$3:$AP$245,地图配置辅助表!X$1,FALSE)</f>
        <v>0</v>
      </c>
      <c r="AM169" s="13">
        <f>VLOOKUP($A169,地图配置辅助表!$A$3:$AP$245,地图配置辅助表!Y$1,FALSE)</f>
        <v>0</v>
      </c>
      <c r="AN169" s="13">
        <f>VLOOKUP($A169,地图配置辅助表!$A$3:$AP$245,地图配置辅助表!Z$1,FALSE)</f>
        <v>0</v>
      </c>
      <c r="AO169" s="13">
        <f>VLOOKUP($A169,地图配置辅助表!$A$3:$AP$245,地图配置辅助表!AA$1,FALSE)</f>
        <v>0</v>
      </c>
      <c r="AP169" s="13">
        <f>VLOOKUP($A169,地图配置辅助表!$A$3:$AP$245,地图配置辅助表!AB$1,FALSE)</f>
        <v>0</v>
      </c>
      <c r="AQ169" s="13">
        <f>VLOOKUP($A169,地图配置辅助表!$A$3:$AP$245,地图配置辅助表!AC$1,FALSE)</f>
        <v>0</v>
      </c>
      <c r="AR169" s="13">
        <f>VLOOKUP($A169,地图配置辅助表!$A$3:$AP$245,地图配置辅助表!AD$1,FALSE)</f>
        <v>0</v>
      </c>
      <c r="AS169" s="13">
        <f>VLOOKUP($A169,地图配置辅助表!$A$3:$AP$245,地图配置辅助表!AE$1,FALSE)</f>
        <v>0</v>
      </c>
      <c r="AT169" s="13">
        <f>VLOOKUP($A169,地图配置辅助表!$A$3:$AP$245,地图配置辅助表!AF$1,FALSE)</f>
        <v>1</v>
      </c>
      <c r="AU169" s="13">
        <f>VLOOKUP($A169,地图配置辅助表!$A$3:$AP$245,地图配置辅助表!AG$1,FALSE)</f>
        <v>149</v>
      </c>
      <c r="AV169" s="13">
        <f>VLOOKUP($A169,地图配置辅助表!$A$3:$AP$245,地图配置辅助表!AH$1,FALSE)</f>
        <v>0</v>
      </c>
      <c r="AW169" s="13">
        <f>VLOOKUP($A169,地图配置辅助表!$A$3:$AP$245,地图配置辅助表!AI$1,FALSE)</f>
        <v>0</v>
      </c>
      <c r="AX169" s="13">
        <f>VLOOKUP($A169,地图配置辅助表!$A$3:$AP$245,地图配置辅助表!AJ$1,FALSE)</f>
        <v>0</v>
      </c>
      <c r="AY169" s="13">
        <f>VLOOKUP($A169,地图配置辅助表!$A$3:$AP$245,地图配置辅助表!AK$1,FALSE)</f>
        <v>0</v>
      </c>
      <c r="AZ169" s="13">
        <f>VLOOKUP($A169,地图配置辅助表!$A$3:$AP$245,地图配置辅助表!AL$1,FALSE)</f>
        <v>0</v>
      </c>
      <c r="BA169" s="13">
        <f>VLOOKUP($A169,地图配置辅助表!$A$3:$AP$245,地图配置辅助表!AM$1,FALSE)</f>
        <v>0</v>
      </c>
      <c r="BB169" s="13">
        <f>VLOOKUP($A169,地图配置辅助表!$A$3:$AP$245,地图配置辅助表!AN$1,FALSE)</f>
        <v>0</v>
      </c>
      <c r="BC169" s="13">
        <f>VLOOKUP($A169,地图配置辅助表!$A$3:$AP$245,地图配置辅助表!AO$1,FALSE)</f>
        <v>0</v>
      </c>
      <c r="BD169" s="13">
        <f>VLOOKUP($A169,地图配置辅助表!$A$3:$AP$245,地图配置辅助表!AP$1,FALSE)</f>
        <v>0</v>
      </c>
    </row>
    <row r="170" spans="1:56" s="13" customFormat="1" x14ac:dyDescent="0.15">
      <c r="A170">
        <f>地图配置辅助表!A171</f>
        <v>1504</v>
      </c>
      <c r="B170" s="8">
        <f>地图配置辅助表!B171</f>
        <v>3</v>
      </c>
      <c r="C170" s="13">
        <f>地图配置辅助表!C171</f>
        <v>2</v>
      </c>
      <c r="D170" s="9" t="str">
        <f>地图配置辅助表!D171</f>
        <v>挑战Boss-雷复轰</v>
      </c>
      <c r="E170" s="13" t="s">
        <v>688</v>
      </c>
      <c r="F170" s="13" t="s">
        <v>0</v>
      </c>
      <c r="G170" s="13">
        <v>29</v>
      </c>
      <c r="H170" s="13">
        <v>400</v>
      </c>
      <c r="I170" s="13">
        <v>140</v>
      </c>
      <c r="J170" s="13">
        <v>400</v>
      </c>
      <c r="K170" s="13">
        <v>140</v>
      </c>
      <c r="L170" s="13" t="s">
        <v>231</v>
      </c>
      <c r="M170" s="13">
        <v>0</v>
      </c>
      <c r="R170" s="13" t="s">
        <v>249</v>
      </c>
      <c r="S170" s="13">
        <f>VLOOKUP($A170,地图配置辅助表!$A$3:$AP$245,地图配置辅助表!E$1,FALSE)</f>
        <v>12</v>
      </c>
      <c r="T170" s="9">
        <f>VLOOKUP($A170,地图配置辅助表!$A$3:$AP$245,地图配置辅助表!F$1,FALSE)</f>
        <v>58</v>
      </c>
      <c r="U170" s="13">
        <f>VLOOKUP($A170,地图配置辅助表!$A$3:$AP$245,地图配置辅助表!G$1,FALSE)</f>
        <v>1</v>
      </c>
      <c r="V170" s="13">
        <f>VLOOKUP($A170,地图配置辅助表!$A$3:$AP$245,地图配置辅助表!H$1,FALSE)</f>
        <v>1</v>
      </c>
      <c r="W170" s="13">
        <f>VLOOKUP($A170,地图配置辅助表!$A$3:$AP$245,地图配置辅助表!I$1,FALSE)</f>
        <v>1</v>
      </c>
      <c r="X170" s="13">
        <f>VLOOKUP($A170,地图配置辅助表!$A$3:$AP$245,地图配置辅助表!J$1,FALSE)</f>
        <v>300</v>
      </c>
      <c r="Y170" s="13">
        <f>VLOOKUP($A170,地图配置辅助表!$A$3:$AP$245,地图配置辅助表!K$1,FALSE)</f>
        <v>2</v>
      </c>
      <c r="Z170" s="13">
        <f>VLOOKUP($A170,地图配置辅助表!$A$3:$AP$245,地图配置辅助表!L$1,FALSE)</f>
        <v>0</v>
      </c>
      <c r="AA170" s="13">
        <f>VLOOKUP($A170,地图配置辅助表!$A$3:$AP$245,地图配置辅助表!M$1,FALSE)</f>
        <v>2</v>
      </c>
      <c r="AB170">
        <f>VLOOKUP($A170,地图配置辅助表!$A$3:$AP$245,地图配置辅助表!N$1,FALSE)</f>
        <v>0</v>
      </c>
      <c r="AC170" s="13">
        <f>VLOOKUP($A170,地图配置辅助表!$A$3:$AP$245,地图配置辅助表!O$1,FALSE)</f>
        <v>1</v>
      </c>
      <c r="AD170">
        <f>VLOOKUP($A170,地图配置辅助表!$A$3:$AP$245,地图配置辅助表!P$1,FALSE)</f>
        <v>24</v>
      </c>
      <c r="AE170" s="8">
        <f>VLOOKUP($A170,地图配置辅助表!$A$3:$AP$245,地图配置辅助表!Q$1,FALSE)</f>
        <v>5</v>
      </c>
      <c r="AF170" s="8">
        <f>VLOOKUP($A170,地图配置辅助表!$A$3:$AP$245,地图配置辅助表!R$1,FALSE)</f>
        <v>101107</v>
      </c>
      <c r="AG170" s="13">
        <f>VLOOKUP($A170,地图配置辅助表!$A$3:$AP$245,地图配置辅助表!S$1,FALSE)</f>
        <v>515040</v>
      </c>
      <c r="AH170" s="13">
        <f>VLOOKUP($A170,地图配置辅助表!$A$3:$AP$245,地图配置辅助表!T$1,FALSE)</f>
        <v>701404</v>
      </c>
      <c r="AI170" s="13">
        <f>VLOOKUP($A170,地图配置辅助表!$A$3:$AP$245,地图配置辅助表!U$1,FALSE)</f>
        <v>0</v>
      </c>
      <c r="AJ170" s="13">
        <f>VLOOKUP($A170,地图配置辅助表!$A$3:$AP$245,地图配置辅助表!V$1,FALSE)</f>
        <v>0</v>
      </c>
      <c r="AK170" s="13">
        <f>VLOOKUP($A170,地图配置辅助表!$A$3:$AP$245,地图配置辅助表!W$1,FALSE)</f>
        <v>0</v>
      </c>
      <c r="AL170" s="13">
        <f>VLOOKUP($A170,地图配置辅助表!$A$3:$AP$245,地图配置辅助表!X$1,FALSE)</f>
        <v>0</v>
      </c>
      <c r="AM170" s="13">
        <f>VLOOKUP($A170,地图配置辅助表!$A$3:$AP$245,地图配置辅助表!Y$1,FALSE)</f>
        <v>0</v>
      </c>
      <c r="AN170" s="13">
        <f>VLOOKUP($A170,地图配置辅助表!$A$3:$AP$245,地图配置辅助表!Z$1,FALSE)</f>
        <v>0</v>
      </c>
      <c r="AO170" s="13">
        <f>VLOOKUP($A170,地图配置辅助表!$A$3:$AP$245,地图配置辅助表!AA$1,FALSE)</f>
        <v>0</v>
      </c>
      <c r="AP170" s="13">
        <f>VLOOKUP($A170,地图配置辅助表!$A$3:$AP$245,地图配置辅助表!AB$1,FALSE)</f>
        <v>0</v>
      </c>
      <c r="AQ170" s="13">
        <f>VLOOKUP($A170,地图配置辅助表!$A$3:$AP$245,地图配置辅助表!AC$1,FALSE)</f>
        <v>0</v>
      </c>
      <c r="AR170" s="13">
        <f>VLOOKUP($A170,地图配置辅助表!$A$3:$AP$245,地图配置辅助表!AD$1,FALSE)</f>
        <v>0</v>
      </c>
      <c r="AS170" s="13">
        <f>VLOOKUP($A170,地图配置辅助表!$A$3:$AP$245,地图配置辅助表!AE$1,FALSE)</f>
        <v>0</v>
      </c>
      <c r="AT170" s="13">
        <f>VLOOKUP($A170,地图配置辅助表!$A$3:$AP$245,地图配置辅助表!AF$1,FALSE)</f>
        <v>1</v>
      </c>
      <c r="AU170" s="13">
        <f>VLOOKUP($A170,地图配置辅助表!$A$3:$AP$245,地图配置辅助表!AG$1,FALSE)</f>
        <v>150</v>
      </c>
      <c r="AV170" s="13">
        <f>VLOOKUP($A170,地图配置辅助表!$A$3:$AP$245,地图配置辅助表!AH$1,FALSE)</f>
        <v>0</v>
      </c>
      <c r="AW170" s="13">
        <f>VLOOKUP($A170,地图配置辅助表!$A$3:$AP$245,地图配置辅助表!AI$1,FALSE)</f>
        <v>0</v>
      </c>
      <c r="AX170" s="13">
        <f>VLOOKUP($A170,地图配置辅助表!$A$3:$AP$245,地图配置辅助表!AJ$1,FALSE)</f>
        <v>0</v>
      </c>
      <c r="AY170" s="13">
        <f>VLOOKUP($A170,地图配置辅助表!$A$3:$AP$245,地图配置辅助表!AK$1,FALSE)</f>
        <v>0</v>
      </c>
      <c r="AZ170" s="13">
        <f>VLOOKUP($A170,地图配置辅助表!$A$3:$AP$245,地图配置辅助表!AL$1,FALSE)</f>
        <v>0</v>
      </c>
      <c r="BA170" s="13">
        <f>VLOOKUP($A170,地图配置辅助表!$A$3:$AP$245,地图配置辅助表!AM$1,FALSE)</f>
        <v>0</v>
      </c>
      <c r="BB170" s="13">
        <f>VLOOKUP($A170,地图配置辅助表!$A$3:$AP$245,地图配置辅助表!AN$1,FALSE)</f>
        <v>0</v>
      </c>
      <c r="BC170" s="13">
        <f>VLOOKUP($A170,地图配置辅助表!$A$3:$AP$245,地图配置辅助表!AO$1,FALSE)</f>
        <v>0</v>
      </c>
      <c r="BD170" s="13">
        <f>VLOOKUP($A170,地图配置辅助表!$A$3:$AP$245,地图配置辅助表!AP$1,FALSE)</f>
        <v>0</v>
      </c>
    </row>
    <row r="171" spans="1:56" s="13" customFormat="1" x14ac:dyDescent="0.15">
      <c r="A171">
        <f>地图配置辅助表!A172</f>
        <v>1505</v>
      </c>
      <c r="B171" s="8">
        <f>地图配置辅助表!B172</f>
        <v>3</v>
      </c>
      <c r="C171" s="13">
        <f>地图配置辅助表!C172</f>
        <v>2</v>
      </c>
      <c r="D171" s="9" t="str">
        <f>地图配置辅助表!D172</f>
        <v>挑战Boss-肥仔</v>
      </c>
      <c r="E171" s="13" t="s">
        <v>689</v>
      </c>
      <c r="F171" s="13" t="s">
        <v>0</v>
      </c>
      <c r="G171" s="13">
        <v>29</v>
      </c>
      <c r="H171" s="13">
        <v>400</v>
      </c>
      <c r="I171" s="13">
        <v>140</v>
      </c>
      <c r="J171" s="13">
        <v>400</v>
      </c>
      <c r="K171" s="13">
        <v>140</v>
      </c>
      <c r="L171" s="13" t="s">
        <v>232</v>
      </c>
      <c r="M171" s="13">
        <v>0</v>
      </c>
      <c r="R171" s="13" t="s">
        <v>249</v>
      </c>
      <c r="S171" s="13">
        <f>VLOOKUP($A171,地图配置辅助表!$A$3:$AP$245,地图配置辅助表!E$1,FALSE)</f>
        <v>12</v>
      </c>
      <c r="T171" s="9">
        <f>VLOOKUP($A171,地图配置辅助表!$A$3:$AP$245,地图配置辅助表!F$1,FALSE)</f>
        <v>58</v>
      </c>
      <c r="U171" s="13">
        <f>VLOOKUP($A171,地图配置辅助表!$A$3:$AP$245,地图配置辅助表!G$1,FALSE)</f>
        <v>1</v>
      </c>
      <c r="V171" s="13">
        <f>VLOOKUP($A171,地图配置辅助表!$A$3:$AP$245,地图配置辅助表!H$1,FALSE)</f>
        <v>1</v>
      </c>
      <c r="W171" s="13">
        <f>VLOOKUP($A171,地图配置辅助表!$A$3:$AP$245,地图配置辅助表!I$1,FALSE)</f>
        <v>1</v>
      </c>
      <c r="X171" s="13">
        <f>VLOOKUP($A171,地图配置辅助表!$A$3:$AP$245,地图配置辅助表!J$1,FALSE)</f>
        <v>300</v>
      </c>
      <c r="Y171" s="13">
        <f>VLOOKUP($A171,地图配置辅助表!$A$3:$AP$245,地图配置辅助表!K$1,FALSE)</f>
        <v>2</v>
      </c>
      <c r="Z171" s="13">
        <f>VLOOKUP($A171,地图配置辅助表!$A$3:$AP$245,地图配置辅助表!L$1,FALSE)</f>
        <v>0</v>
      </c>
      <c r="AA171" s="13">
        <f>VLOOKUP($A171,地图配置辅助表!$A$3:$AP$245,地图配置辅助表!M$1,FALSE)</f>
        <v>2</v>
      </c>
      <c r="AB171">
        <f>VLOOKUP($A171,地图配置辅助表!$A$3:$AP$245,地图配置辅助表!N$1,FALSE)</f>
        <v>0</v>
      </c>
      <c r="AC171" s="13">
        <f>VLOOKUP($A171,地图配置辅助表!$A$3:$AP$245,地图配置辅助表!O$1,FALSE)</f>
        <v>1</v>
      </c>
      <c r="AD171">
        <f>VLOOKUP($A171,地图配置辅助表!$A$3:$AP$245,地图配置辅助表!P$1,FALSE)</f>
        <v>24</v>
      </c>
      <c r="AE171" s="8">
        <f>VLOOKUP($A171,地图配置辅助表!$A$3:$AP$245,地图配置辅助表!Q$1,FALSE)</f>
        <v>5</v>
      </c>
      <c r="AF171" s="8">
        <f>VLOOKUP($A171,地图配置辅助表!$A$3:$AP$245,地图配置辅助表!R$1,FALSE)</f>
        <v>101108</v>
      </c>
      <c r="AG171" s="13">
        <f>VLOOKUP($A171,地图配置辅助表!$A$3:$AP$245,地图配置辅助表!S$1,FALSE)</f>
        <v>515050</v>
      </c>
      <c r="AH171" s="13">
        <f>VLOOKUP($A171,地图配置辅助表!$A$3:$AP$245,地图配置辅助表!T$1,FALSE)</f>
        <v>701505</v>
      </c>
      <c r="AI171" s="13">
        <f>VLOOKUP($A171,地图配置辅助表!$A$3:$AP$245,地图配置辅助表!U$1,FALSE)</f>
        <v>0</v>
      </c>
      <c r="AJ171" s="13">
        <f>VLOOKUP($A171,地图配置辅助表!$A$3:$AP$245,地图配置辅助表!V$1,FALSE)</f>
        <v>0</v>
      </c>
      <c r="AK171" s="13">
        <f>VLOOKUP($A171,地图配置辅助表!$A$3:$AP$245,地图配置辅助表!W$1,FALSE)</f>
        <v>0</v>
      </c>
      <c r="AL171" s="13">
        <f>VLOOKUP($A171,地图配置辅助表!$A$3:$AP$245,地图配置辅助表!X$1,FALSE)</f>
        <v>0</v>
      </c>
      <c r="AM171" s="13">
        <f>VLOOKUP($A171,地图配置辅助表!$A$3:$AP$245,地图配置辅助表!Y$1,FALSE)</f>
        <v>0</v>
      </c>
      <c r="AN171" s="13">
        <f>VLOOKUP($A171,地图配置辅助表!$A$3:$AP$245,地图配置辅助表!Z$1,FALSE)</f>
        <v>0</v>
      </c>
      <c r="AO171" s="13">
        <f>VLOOKUP($A171,地图配置辅助表!$A$3:$AP$245,地图配置辅助表!AA$1,FALSE)</f>
        <v>0</v>
      </c>
      <c r="AP171" s="13">
        <f>VLOOKUP($A171,地图配置辅助表!$A$3:$AP$245,地图配置辅助表!AB$1,FALSE)</f>
        <v>0</v>
      </c>
      <c r="AQ171" s="13">
        <f>VLOOKUP($A171,地图配置辅助表!$A$3:$AP$245,地图配置辅助表!AC$1,FALSE)</f>
        <v>0</v>
      </c>
      <c r="AR171" s="13">
        <f>VLOOKUP($A171,地图配置辅助表!$A$3:$AP$245,地图配置辅助表!AD$1,FALSE)</f>
        <v>0</v>
      </c>
      <c r="AS171" s="13">
        <f>VLOOKUP($A171,地图配置辅助表!$A$3:$AP$245,地图配置辅助表!AE$1,FALSE)</f>
        <v>0</v>
      </c>
      <c r="AT171" s="13">
        <f>VLOOKUP($A171,地图配置辅助表!$A$3:$AP$245,地图配置辅助表!AF$1,FALSE)</f>
        <v>1</v>
      </c>
      <c r="AU171" s="13">
        <f>VLOOKUP($A171,地图配置辅助表!$A$3:$AP$245,地图配置辅助表!AG$1,FALSE)</f>
        <v>151</v>
      </c>
      <c r="AV171" s="13">
        <f>VLOOKUP($A171,地图配置辅助表!$A$3:$AP$245,地图配置辅助表!AH$1,FALSE)</f>
        <v>0</v>
      </c>
      <c r="AW171" s="13">
        <f>VLOOKUP($A171,地图配置辅助表!$A$3:$AP$245,地图配置辅助表!AI$1,FALSE)</f>
        <v>0</v>
      </c>
      <c r="AX171" s="13">
        <f>VLOOKUP($A171,地图配置辅助表!$A$3:$AP$245,地图配置辅助表!AJ$1,FALSE)</f>
        <v>0</v>
      </c>
      <c r="AY171" s="13">
        <f>VLOOKUP($A171,地图配置辅助表!$A$3:$AP$245,地图配置辅助表!AK$1,FALSE)</f>
        <v>0</v>
      </c>
      <c r="AZ171" s="13">
        <f>VLOOKUP($A171,地图配置辅助表!$A$3:$AP$245,地图配置辅助表!AL$1,FALSE)</f>
        <v>0</v>
      </c>
      <c r="BA171" s="13">
        <f>VLOOKUP($A171,地图配置辅助表!$A$3:$AP$245,地图配置辅助表!AM$1,FALSE)</f>
        <v>0</v>
      </c>
      <c r="BB171" s="13">
        <f>VLOOKUP($A171,地图配置辅助表!$A$3:$AP$245,地图配置辅助表!AN$1,FALSE)</f>
        <v>0</v>
      </c>
      <c r="BC171" s="13">
        <f>VLOOKUP($A171,地图配置辅助表!$A$3:$AP$245,地图配置辅助表!AO$1,FALSE)</f>
        <v>0</v>
      </c>
      <c r="BD171" s="13">
        <f>VLOOKUP($A171,地图配置辅助表!$A$3:$AP$245,地图配置辅助表!AP$1,FALSE)</f>
        <v>0</v>
      </c>
    </row>
    <row r="172" spans="1:56" s="13" customFormat="1" x14ac:dyDescent="0.15">
      <c r="A172">
        <f>地图配置辅助表!A173</f>
        <v>1506</v>
      </c>
      <c r="B172" s="8">
        <f>地图配置辅助表!B173</f>
        <v>3</v>
      </c>
      <c r="C172" s="13">
        <f>地图配置辅助表!C173</f>
        <v>2</v>
      </c>
      <c r="D172" s="9" t="str">
        <f>地图配置辅助表!D173</f>
        <v>挑战Boss-巴闭</v>
      </c>
      <c r="E172" s="13" t="s">
        <v>690</v>
      </c>
      <c r="F172" s="13" t="s">
        <v>0</v>
      </c>
      <c r="G172" s="13">
        <v>29</v>
      </c>
      <c r="H172" s="13">
        <v>400</v>
      </c>
      <c r="I172" s="13">
        <v>140</v>
      </c>
      <c r="J172" s="13">
        <v>400</v>
      </c>
      <c r="K172" s="13">
        <v>140</v>
      </c>
      <c r="L172" s="13" t="s">
        <v>678</v>
      </c>
      <c r="M172" s="13">
        <v>0</v>
      </c>
      <c r="R172" s="13" t="s">
        <v>249</v>
      </c>
      <c r="S172" s="13">
        <f>VLOOKUP($A172,地图配置辅助表!$A$3:$AP$245,地图配置辅助表!E$1,FALSE)</f>
        <v>12</v>
      </c>
      <c r="T172" s="9">
        <f>VLOOKUP($A172,地图配置辅助表!$A$3:$AP$245,地图配置辅助表!F$1,FALSE)</f>
        <v>58</v>
      </c>
      <c r="U172" s="13">
        <f>VLOOKUP($A172,地图配置辅助表!$A$3:$AP$245,地图配置辅助表!G$1,FALSE)</f>
        <v>1</v>
      </c>
      <c r="V172" s="13">
        <f>VLOOKUP($A172,地图配置辅助表!$A$3:$AP$245,地图配置辅助表!H$1,FALSE)</f>
        <v>1</v>
      </c>
      <c r="W172" s="13">
        <f>VLOOKUP($A172,地图配置辅助表!$A$3:$AP$245,地图配置辅助表!I$1,FALSE)</f>
        <v>1</v>
      </c>
      <c r="X172" s="13">
        <f>VLOOKUP($A172,地图配置辅助表!$A$3:$AP$245,地图配置辅助表!J$1,FALSE)</f>
        <v>300</v>
      </c>
      <c r="Y172" s="13">
        <f>VLOOKUP($A172,地图配置辅助表!$A$3:$AP$245,地图配置辅助表!K$1,FALSE)</f>
        <v>2</v>
      </c>
      <c r="Z172" s="13">
        <f>VLOOKUP($A172,地图配置辅助表!$A$3:$AP$245,地图配置辅助表!L$1,FALSE)</f>
        <v>0</v>
      </c>
      <c r="AA172" s="13">
        <f>VLOOKUP($A172,地图配置辅助表!$A$3:$AP$245,地图配置辅助表!M$1,FALSE)</f>
        <v>2</v>
      </c>
      <c r="AB172">
        <f>VLOOKUP($A172,地图配置辅助表!$A$3:$AP$245,地图配置辅助表!N$1,FALSE)</f>
        <v>0</v>
      </c>
      <c r="AC172" s="13">
        <f>VLOOKUP($A172,地图配置辅助表!$A$3:$AP$245,地图配置辅助表!O$1,FALSE)</f>
        <v>1</v>
      </c>
      <c r="AD172">
        <f>VLOOKUP($A172,地图配置辅助表!$A$3:$AP$245,地图配置辅助表!P$1,FALSE)</f>
        <v>24</v>
      </c>
      <c r="AE172" s="8">
        <f>VLOOKUP($A172,地图配置辅助表!$A$3:$AP$245,地图配置辅助表!Q$1,FALSE)</f>
        <v>5</v>
      </c>
      <c r="AF172" s="8">
        <f>VLOOKUP($A172,地图配置辅助表!$A$3:$AP$245,地图配置辅助表!R$1,FALSE)</f>
        <v>101117</v>
      </c>
      <c r="AG172" s="13">
        <f>VLOOKUP($A172,地图配置辅助表!$A$3:$AP$245,地图配置辅助表!S$1,FALSE)</f>
        <v>515060</v>
      </c>
      <c r="AH172" s="13">
        <f>VLOOKUP($A172,地图配置辅助表!$A$3:$AP$245,地图配置辅助表!T$1,FALSE)</f>
        <v>701606</v>
      </c>
      <c r="AI172" s="13">
        <f>VLOOKUP($A172,地图配置辅助表!$A$3:$AP$245,地图配置辅助表!U$1,FALSE)</f>
        <v>0</v>
      </c>
      <c r="AJ172" s="13">
        <f>VLOOKUP($A172,地图配置辅助表!$A$3:$AP$245,地图配置辅助表!V$1,FALSE)</f>
        <v>0</v>
      </c>
      <c r="AK172" s="13">
        <f>VLOOKUP($A172,地图配置辅助表!$A$3:$AP$245,地图配置辅助表!W$1,FALSE)</f>
        <v>0</v>
      </c>
      <c r="AL172" s="13">
        <f>VLOOKUP($A172,地图配置辅助表!$A$3:$AP$245,地图配置辅助表!X$1,FALSE)</f>
        <v>0</v>
      </c>
      <c r="AM172" s="13">
        <f>VLOOKUP($A172,地图配置辅助表!$A$3:$AP$245,地图配置辅助表!Y$1,FALSE)</f>
        <v>0</v>
      </c>
      <c r="AN172" s="13">
        <f>VLOOKUP($A172,地图配置辅助表!$A$3:$AP$245,地图配置辅助表!Z$1,FALSE)</f>
        <v>0</v>
      </c>
      <c r="AO172" s="13">
        <f>VLOOKUP($A172,地图配置辅助表!$A$3:$AP$245,地图配置辅助表!AA$1,FALSE)</f>
        <v>0</v>
      </c>
      <c r="AP172" s="13">
        <f>VLOOKUP($A172,地图配置辅助表!$A$3:$AP$245,地图配置辅助表!AB$1,FALSE)</f>
        <v>0</v>
      </c>
      <c r="AQ172" s="13">
        <f>VLOOKUP($A172,地图配置辅助表!$A$3:$AP$245,地图配置辅助表!AC$1,FALSE)</f>
        <v>0</v>
      </c>
      <c r="AR172" s="13">
        <f>VLOOKUP($A172,地图配置辅助表!$A$3:$AP$245,地图配置辅助表!AD$1,FALSE)</f>
        <v>0</v>
      </c>
      <c r="AS172" s="13">
        <f>VLOOKUP($A172,地图配置辅助表!$A$3:$AP$245,地图配置辅助表!AE$1,FALSE)</f>
        <v>0</v>
      </c>
      <c r="AT172" s="13">
        <f>VLOOKUP($A172,地图配置辅助表!$A$3:$AP$245,地图配置辅助表!AF$1,FALSE)</f>
        <v>1</v>
      </c>
      <c r="AU172" s="13">
        <f>VLOOKUP($A172,地图配置辅助表!$A$3:$AP$245,地图配置辅助表!AG$1,FALSE)</f>
        <v>431</v>
      </c>
      <c r="AV172" s="13">
        <f>VLOOKUP($A172,地图配置辅助表!$A$3:$AP$245,地图配置辅助表!AH$1,FALSE)</f>
        <v>0</v>
      </c>
      <c r="AW172" s="13">
        <f>VLOOKUP($A172,地图配置辅助表!$A$3:$AP$245,地图配置辅助表!AI$1,FALSE)</f>
        <v>0</v>
      </c>
      <c r="AX172" s="13">
        <f>VLOOKUP($A172,地图配置辅助表!$A$3:$AP$245,地图配置辅助表!AJ$1,FALSE)</f>
        <v>0</v>
      </c>
      <c r="AY172" s="13">
        <f>VLOOKUP($A172,地图配置辅助表!$A$3:$AP$245,地图配置辅助表!AK$1,FALSE)</f>
        <v>0</v>
      </c>
      <c r="AZ172" s="13">
        <f>VLOOKUP($A172,地图配置辅助表!$A$3:$AP$245,地图配置辅助表!AL$1,FALSE)</f>
        <v>0</v>
      </c>
      <c r="BA172" s="13">
        <f>VLOOKUP($A172,地图配置辅助表!$A$3:$AP$245,地图配置辅助表!AM$1,FALSE)</f>
        <v>0</v>
      </c>
      <c r="BB172" s="13">
        <f>VLOOKUP($A172,地图配置辅助表!$A$3:$AP$245,地图配置辅助表!AN$1,FALSE)</f>
        <v>0</v>
      </c>
      <c r="BC172" s="13">
        <f>VLOOKUP($A172,地图配置辅助表!$A$3:$AP$245,地图配置辅助表!AO$1,FALSE)</f>
        <v>0</v>
      </c>
      <c r="BD172" s="13">
        <f>VLOOKUP($A172,地图配置辅助表!$A$3:$AP$245,地图配置辅助表!AP$1,FALSE)</f>
        <v>0</v>
      </c>
    </row>
    <row r="173" spans="1:56" s="13" customFormat="1" x14ac:dyDescent="0.15">
      <c r="A173">
        <f>地图配置辅助表!A174</f>
        <v>1507</v>
      </c>
      <c r="B173" s="8">
        <f>地图配置辅助表!B174</f>
        <v>3</v>
      </c>
      <c r="C173" s="13">
        <f>地图配置辅助表!C174</f>
        <v>3</v>
      </c>
      <c r="D173" s="9" t="str">
        <f>地图配置辅助表!D174</f>
        <v>挑战Boss-赌王</v>
      </c>
      <c r="E173" s="13" t="s">
        <v>691</v>
      </c>
      <c r="F173" s="13" t="s">
        <v>0</v>
      </c>
      <c r="G173" s="13">
        <v>29</v>
      </c>
      <c r="H173" s="13">
        <v>400</v>
      </c>
      <c r="I173" s="13">
        <v>140</v>
      </c>
      <c r="J173" s="13">
        <v>400</v>
      </c>
      <c r="K173" s="13">
        <v>140</v>
      </c>
      <c r="L173" s="13" t="s">
        <v>233</v>
      </c>
      <c r="M173" s="13">
        <v>0</v>
      </c>
      <c r="R173" s="13" t="s">
        <v>249</v>
      </c>
      <c r="S173" s="13">
        <f>VLOOKUP($A173,地图配置辅助表!$A$3:$AP$245,地图配置辅助表!E$1,FALSE)</f>
        <v>36</v>
      </c>
      <c r="T173" s="9">
        <f>VLOOKUP($A173,地图配置辅助表!$A$3:$AP$245,地图配置辅助表!F$1,FALSE)</f>
        <v>58</v>
      </c>
      <c r="U173" s="13">
        <f>VLOOKUP($A173,地图配置辅助表!$A$3:$AP$245,地图配置辅助表!G$1,FALSE)</f>
        <v>1</v>
      </c>
      <c r="V173" s="13">
        <f>VLOOKUP($A173,地图配置辅助表!$A$3:$AP$245,地图配置辅助表!H$1,FALSE)</f>
        <v>1</v>
      </c>
      <c r="W173" s="13">
        <f>VLOOKUP($A173,地图配置辅助表!$A$3:$AP$245,地图配置辅助表!I$1,FALSE)</f>
        <v>1</v>
      </c>
      <c r="X173" s="13">
        <f>VLOOKUP($A173,地图配置辅助表!$A$3:$AP$245,地图配置辅助表!J$1,FALSE)</f>
        <v>300</v>
      </c>
      <c r="Y173" s="13">
        <f>VLOOKUP($A173,地图配置辅助表!$A$3:$AP$245,地图配置辅助表!K$1,FALSE)</f>
        <v>2</v>
      </c>
      <c r="Z173" s="13">
        <f>VLOOKUP($A173,地图配置辅助表!$A$3:$AP$245,地图配置辅助表!L$1,FALSE)</f>
        <v>0</v>
      </c>
      <c r="AA173" s="13">
        <f>VLOOKUP($A173,地图配置辅助表!$A$3:$AP$245,地图配置辅助表!M$1,FALSE)</f>
        <v>2</v>
      </c>
      <c r="AB173">
        <f>VLOOKUP($A173,地图配置辅助表!$A$3:$AP$245,地图配置辅助表!N$1,FALSE)</f>
        <v>0</v>
      </c>
      <c r="AC173" s="13">
        <f>VLOOKUP($A173,地图配置辅助表!$A$3:$AP$245,地图配置辅助表!O$1,FALSE)</f>
        <v>1</v>
      </c>
      <c r="AD173">
        <f>VLOOKUP($A173,地图配置辅助表!$A$3:$AP$245,地图配置辅助表!P$1,FALSE)</f>
        <v>40</v>
      </c>
      <c r="AE173" s="8">
        <f>VLOOKUP($A173,地图配置辅助表!$A$3:$AP$245,地图配置辅助表!Q$1,FALSE)</f>
        <v>5</v>
      </c>
      <c r="AF173" s="8">
        <f>VLOOKUP($A173,地图配置辅助表!$A$3:$AP$245,地图配置辅助表!R$1,FALSE)</f>
        <v>101111</v>
      </c>
      <c r="AG173" s="13">
        <f>VLOOKUP($A173,地图配置辅助表!$A$3:$AP$245,地图配置辅助表!S$1,FALSE)</f>
        <v>515070</v>
      </c>
      <c r="AH173" s="13">
        <f>VLOOKUP($A173,地图配置辅助表!$A$3:$AP$245,地图配置辅助表!T$1,FALSE)</f>
        <v>701707</v>
      </c>
      <c r="AI173" s="13">
        <f>VLOOKUP($A173,地图配置辅助表!$A$3:$AP$245,地图配置辅助表!U$1,FALSE)</f>
        <v>0</v>
      </c>
      <c r="AJ173" s="13">
        <f>VLOOKUP($A173,地图配置辅助表!$A$3:$AP$245,地图配置辅助表!V$1,FALSE)</f>
        <v>0</v>
      </c>
      <c r="AK173" s="13">
        <f>VLOOKUP($A173,地图配置辅助表!$A$3:$AP$245,地图配置辅助表!W$1,FALSE)</f>
        <v>0</v>
      </c>
      <c r="AL173" s="13">
        <f>VLOOKUP($A173,地图配置辅助表!$A$3:$AP$245,地图配置辅助表!X$1,FALSE)</f>
        <v>0</v>
      </c>
      <c r="AM173" s="13">
        <f>VLOOKUP($A173,地图配置辅助表!$A$3:$AP$245,地图配置辅助表!Y$1,FALSE)</f>
        <v>0</v>
      </c>
      <c r="AN173" s="13">
        <f>VLOOKUP($A173,地图配置辅助表!$A$3:$AP$245,地图配置辅助表!Z$1,FALSE)</f>
        <v>0</v>
      </c>
      <c r="AO173" s="13">
        <f>VLOOKUP($A173,地图配置辅助表!$A$3:$AP$245,地图配置辅助表!AA$1,FALSE)</f>
        <v>0</v>
      </c>
      <c r="AP173" s="13">
        <f>VLOOKUP($A173,地图配置辅助表!$A$3:$AP$245,地图配置辅助表!AB$1,FALSE)</f>
        <v>0</v>
      </c>
      <c r="AQ173" s="13">
        <f>VLOOKUP($A173,地图配置辅助表!$A$3:$AP$245,地图配置辅助表!AC$1,FALSE)</f>
        <v>0</v>
      </c>
      <c r="AR173" s="13">
        <f>VLOOKUP($A173,地图配置辅助表!$A$3:$AP$245,地图配置辅助表!AD$1,FALSE)</f>
        <v>0</v>
      </c>
      <c r="AS173" s="13">
        <f>VLOOKUP($A173,地图配置辅助表!$A$3:$AP$245,地图配置辅助表!AE$1,FALSE)</f>
        <v>0</v>
      </c>
      <c r="AT173" s="13">
        <f>VLOOKUP($A173,地图配置辅助表!$A$3:$AP$245,地图配置辅助表!AF$1,FALSE)</f>
        <v>1</v>
      </c>
      <c r="AU173" s="13">
        <f>VLOOKUP($A173,地图配置辅助表!$A$3:$AP$245,地图配置辅助表!AG$1,FALSE)</f>
        <v>432</v>
      </c>
      <c r="AV173" s="13">
        <f>VLOOKUP($A173,地图配置辅助表!$A$3:$AP$245,地图配置辅助表!AH$1,FALSE)</f>
        <v>0</v>
      </c>
      <c r="AW173" s="13">
        <f>VLOOKUP($A173,地图配置辅助表!$A$3:$AP$245,地图配置辅助表!AI$1,FALSE)</f>
        <v>0</v>
      </c>
      <c r="AX173" s="13">
        <f>VLOOKUP($A173,地图配置辅助表!$A$3:$AP$245,地图配置辅助表!AJ$1,FALSE)</f>
        <v>0</v>
      </c>
      <c r="AY173" s="13">
        <f>VLOOKUP($A173,地图配置辅助表!$A$3:$AP$245,地图配置辅助表!AK$1,FALSE)</f>
        <v>0</v>
      </c>
      <c r="AZ173" s="13">
        <f>VLOOKUP($A173,地图配置辅助表!$A$3:$AP$245,地图配置辅助表!AL$1,FALSE)</f>
        <v>0</v>
      </c>
      <c r="BA173" s="13">
        <f>VLOOKUP($A173,地图配置辅助表!$A$3:$AP$245,地图配置辅助表!AM$1,FALSE)</f>
        <v>0</v>
      </c>
      <c r="BB173" s="13">
        <f>VLOOKUP($A173,地图配置辅助表!$A$3:$AP$245,地图配置辅助表!AN$1,FALSE)</f>
        <v>0</v>
      </c>
      <c r="BC173" s="13">
        <f>VLOOKUP($A173,地图配置辅助表!$A$3:$AP$245,地图配置辅助表!AO$1,FALSE)</f>
        <v>0</v>
      </c>
      <c r="BD173" s="13">
        <f>VLOOKUP($A173,地图配置辅助表!$A$3:$AP$245,地图配置辅助表!AP$1,FALSE)</f>
        <v>0</v>
      </c>
    </row>
    <row r="174" spans="1:56" s="13" customFormat="1" x14ac:dyDescent="0.15">
      <c r="A174">
        <f>地图配置辅助表!A175</f>
        <v>1508</v>
      </c>
      <c r="B174" s="8">
        <f>地图配置辅助表!B175</f>
        <v>3</v>
      </c>
      <c r="C174" s="13">
        <f>地图配置辅助表!C175</f>
        <v>3</v>
      </c>
      <c r="D174" s="9" t="str">
        <f>地图配置辅助表!D175</f>
        <v>挑战Boss-乌鸦</v>
      </c>
      <c r="E174" s="13" t="s">
        <v>692</v>
      </c>
      <c r="F174" s="13" t="s">
        <v>0</v>
      </c>
      <c r="G174" s="13">
        <v>29</v>
      </c>
      <c r="H174" s="13">
        <v>400</v>
      </c>
      <c r="I174" s="13">
        <v>140</v>
      </c>
      <c r="J174" s="13">
        <v>400</v>
      </c>
      <c r="K174" s="13">
        <v>140</v>
      </c>
      <c r="L174" s="13" t="s">
        <v>234</v>
      </c>
      <c r="M174" s="13">
        <v>0</v>
      </c>
      <c r="R174" s="13" t="s">
        <v>249</v>
      </c>
      <c r="S174" s="13">
        <f>VLOOKUP($A174,地图配置辅助表!$A$3:$AP$245,地图配置辅助表!E$1,FALSE)</f>
        <v>36</v>
      </c>
      <c r="T174" s="9">
        <f>VLOOKUP($A174,地图配置辅助表!$A$3:$AP$245,地图配置辅助表!F$1,FALSE)</f>
        <v>58</v>
      </c>
      <c r="U174" s="13">
        <f>VLOOKUP($A174,地图配置辅助表!$A$3:$AP$245,地图配置辅助表!G$1,FALSE)</f>
        <v>1</v>
      </c>
      <c r="V174" s="13">
        <f>VLOOKUP($A174,地图配置辅助表!$A$3:$AP$245,地图配置辅助表!H$1,FALSE)</f>
        <v>1</v>
      </c>
      <c r="W174" s="13">
        <f>VLOOKUP($A174,地图配置辅助表!$A$3:$AP$245,地图配置辅助表!I$1,FALSE)</f>
        <v>1</v>
      </c>
      <c r="X174" s="13">
        <f>VLOOKUP($A174,地图配置辅助表!$A$3:$AP$245,地图配置辅助表!J$1,FALSE)</f>
        <v>300</v>
      </c>
      <c r="Y174" s="13">
        <f>VLOOKUP($A174,地图配置辅助表!$A$3:$AP$245,地图配置辅助表!K$1,FALSE)</f>
        <v>2</v>
      </c>
      <c r="Z174" s="13">
        <f>VLOOKUP($A174,地图配置辅助表!$A$3:$AP$245,地图配置辅助表!L$1,FALSE)</f>
        <v>0</v>
      </c>
      <c r="AA174" s="13">
        <f>VLOOKUP($A174,地图配置辅助表!$A$3:$AP$245,地图配置辅助表!M$1,FALSE)</f>
        <v>2</v>
      </c>
      <c r="AB174">
        <f>VLOOKUP($A174,地图配置辅助表!$A$3:$AP$245,地图配置辅助表!N$1,FALSE)</f>
        <v>0</v>
      </c>
      <c r="AC174" s="13">
        <f>VLOOKUP($A174,地图配置辅助表!$A$3:$AP$245,地图配置辅助表!O$1,FALSE)</f>
        <v>1</v>
      </c>
      <c r="AD174">
        <f>VLOOKUP($A174,地图配置辅助表!$A$3:$AP$245,地图配置辅助表!P$1,FALSE)</f>
        <v>40</v>
      </c>
      <c r="AE174" s="8">
        <f>VLOOKUP($A174,地图配置辅助表!$A$3:$AP$245,地图配置辅助表!Q$1,FALSE)</f>
        <v>5</v>
      </c>
      <c r="AF174" s="8">
        <f>VLOOKUP($A174,地图配置辅助表!$A$3:$AP$245,地图配置辅助表!R$1,FALSE)</f>
        <v>101110</v>
      </c>
      <c r="AG174" s="13">
        <f>VLOOKUP($A174,地图配置辅助表!$A$3:$AP$245,地图配置辅助表!S$1,FALSE)</f>
        <v>515080</v>
      </c>
      <c r="AH174" s="13">
        <f>VLOOKUP($A174,地图配置辅助表!$A$3:$AP$245,地图配置辅助表!T$1,FALSE)</f>
        <v>701808</v>
      </c>
      <c r="AI174" s="13">
        <f>VLOOKUP($A174,地图配置辅助表!$A$3:$AP$245,地图配置辅助表!U$1,FALSE)</f>
        <v>0</v>
      </c>
      <c r="AJ174" s="13">
        <f>VLOOKUP($A174,地图配置辅助表!$A$3:$AP$245,地图配置辅助表!V$1,FALSE)</f>
        <v>0</v>
      </c>
      <c r="AK174" s="13">
        <f>VLOOKUP($A174,地图配置辅助表!$A$3:$AP$245,地图配置辅助表!W$1,FALSE)</f>
        <v>0</v>
      </c>
      <c r="AL174" s="13">
        <f>VLOOKUP($A174,地图配置辅助表!$A$3:$AP$245,地图配置辅助表!X$1,FALSE)</f>
        <v>0</v>
      </c>
      <c r="AM174" s="13">
        <f>VLOOKUP($A174,地图配置辅助表!$A$3:$AP$245,地图配置辅助表!Y$1,FALSE)</f>
        <v>0</v>
      </c>
      <c r="AN174" s="13">
        <f>VLOOKUP($A174,地图配置辅助表!$A$3:$AP$245,地图配置辅助表!Z$1,FALSE)</f>
        <v>0</v>
      </c>
      <c r="AO174" s="13">
        <f>VLOOKUP($A174,地图配置辅助表!$A$3:$AP$245,地图配置辅助表!AA$1,FALSE)</f>
        <v>0</v>
      </c>
      <c r="AP174" s="13">
        <f>VLOOKUP($A174,地图配置辅助表!$A$3:$AP$245,地图配置辅助表!AB$1,FALSE)</f>
        <v>0</v>
      </c>
      <c r="AQ174" s="13">
        <f>VLOOKUP($A174,地图配置辅助表!$A$3:$AP$245,地图配置辅助表!AC$1,FALSE)</f>
        <v>0</v>
      </c>
      <c r="AR174" s="13">
        <f>VLOOKUP($A174,地图配置辅助表!$A$3:$AP$245,地图配置辅助表!AD$1,FALSE)</f>
        <v>0</v>
      </c>
      <c r="AS174" s="13">
        <f>VLOOKUP($A174,地图配置辅助表!$A$3:$AP$245,地图配置辅助表!AE$1,FALSE)</f>
        <v>0</v>
      </c>
      <c r="AT174" s="13">
        <f>VLOOKUP($A174,地图配置辅助表!$A$3:$AP$245,地图配置辅助表!AF$1,FALSE)</f>
        <v>1</v>
      </c>
      <c r="AU174" s="13">
        <f>VLOOKUP($A174,地图配置辅助表!$A$3:$AP$245,地图配置辅助表!AG$1,FALSE)</f>
        <v>433</v>
      </c>
      <c r="AV174" s="13">
        <f>VLOOKUP($A174,地图配置辅助表!$A$3:$AP$245,地图配置辅助表!AH$1,FALSE)</f>
        <v>0</v>
      </c>
      <c r="AW174" s="13">
        <f>VLOOKUP($A174,地图配置辅助表!$A$3:$AP$245,地图配置辅助表!AI$1,FALSE)</f>
        <v>0</v>
      </c>
      <c r="AX174" s="13">
        <f>VLOOKUP($A174,地图配置辅助表!$A$3:$AP$245,地图配置辅助表!AJ$1,FALSE)</f>
        <v>0</v>
      </c>
      <c r="AY174" s="13">
        <f>VLOOKUP($A174,地图配置辅助表!$A$3:$AP$245,地图配置辅助表!AK$1,FALSE)</f>
        <v>0</v>
      </c>
      <c r="AZ174" s="13">
        <f>VLOOKUP($A174,地图配置辅助表!$A$3:$AP$245,地图配置辅助表!AL$1,FALSE)</f>
        <v>0</v>
      </c>
      <c r="BA174" s="13">
        <f>VLOOKUP($A174,地图配置辅助表!$A$3:$AP$245,地图配置辅助表!AM$1,FALSE)</f>
        <v>0</v>
      </c>
      <c r="BB174" s="13">
        <f>VLOOKUP($A174,地图配置辅助表!$A$3:$AP$245,地图配置辅助表!AN$1,FALSE)</f>
        <v>0</v>
      </c>
      <c r="BC174" s="13">
        <f>VLOOKUP($A174,地图配置辅助表!$A$3:$AP$245,地图配置辅助表!AO$1,FALSE)</f>
        <v>0</v>
      </c>
      <c r="BD174" s="13">
        <f>VLOOKUP($A174,地图配置辅助表!$A$3:$AP$245,地图配置辅助表!AP$1,FALSE)</f>
        <v>0</v>
      </c>
    </row>
    <row r="175" spans="1:56" s="13" customFormat="1" x14ac:dyDescent="0.15">
      <c r="A175">
        <f>地图配置辅助表!A176</f>
        <v>1509</v>
      </c>
      <c r="B175" s="8">
        <f>地图配置辅助表!B176</f>
        <v>3</v>
      </c>
      <c r="C175" s="13">
        <f>地图配置辅助表!C176</f>
        <v>3</v>
      </c>
      <c r="D175" s="9" t="str">
        <f>地图配置辅助表!D176</f>
        <v>挑战Boss-山下忠秀</v>
      </c>
      <c r="E175" s="13" t="s">
        <v>693</v>
      </c>
      <c r="F175" s="13" t="s">
        <v>0</v>
      </c>
      <c r="G175" s="13">
        <v>29</v>
      </c>
      <c r="H175" s="13">
        <v>400</v>
      </c>
      <c r="I175" s="13">
        <v>140</v>
      </c>
      <c r="J175" s="13">
        <v>400</v>
      </c>
      <c r="K175" s="13">
        <v>140</v>
      </c>
      <c r="L175" s="13" t="s">
        <v>235</v>
      </c>
      <c r="M175" s="13">
        <v>0</v>
      </c>
      <c r="R175" s="13" t="s">
        <v>249</v>
      </c>
      <c r="S175" s="13">
        <f>VLOOKUP($A175,地图配置辅助表!$A$3:$AP$245,地图配置辅助表!E$1,FALSE)</f>
        <v>36</v>
      </c>
      <c r="T175" s="9">
        <f>VLOOKUP($A175,地图配置辅助表!$A$3:$AP$245,地图配置辅助表!F$1,FALSE)</f>
        <v>58</v>
      </c>
      <c r="U175" s="13">
        <f>VLOOKUP($A175,地图配置辅助表!$A$3:$AP$245,地图配置辅助表!G$1,FALSE)</f>
        <v>1</v>
      </c>
      <c r="V175" s="13">
        <f>VLOOKUP($A175,地图配置辅助表!$A$3:$AP$245,地图配置辅助表!H$1,FALSE)</f>
        <v>1</v>
      </c>
      <c r="W175" s="13">
        <f>VLOOKUP($A175,地图配置辅助表!$A$3:$AP$245,地图配置辅助表!I$1,FALSE)</f>
        <v>1</v>
      </c>
      <c r="X175" s="13">
        <f>VLOOKUP($A175,地图配置辅助表!$A$3:$AP$245,地图配置辅助表!J$1,FALSE)</f>
        <v>300</v>
      </c>
      <c r="Y175" s="13">
        <f>VLOOKUP($A175,地图配置辅助表!$A$3:$AP$245,地图配置辅助表!K$1,FALSE)</f>
        <v>2</v>
      </c>
      <c r="Z175" s="13">
        <f>VLOOKUP($A175,地图配置辅助表!$A$3:$AP$245,地图配置辅助表!L$1,FALSE)</f>
        <v>0</v>
      </c>
      <c r="AA175" s="13">
        <f>VLOOKUP($A175,地图配置辅助表!$A$3:$AP$245,地图配置辅助表!M$1,FALSE)</f>
        <v>2</v>
      </c>
      <c r="AB175">
        <f>VLOOKUP($A175,地图配置辅助表!$A$3:$AP$245,地图配置辅助表!N$1,FALSE)</f>
        <v>0</v>
      </c>
      <c r="AC175" s="13">
        <f>VLOOKUP($A175,地图配置辅助表!$A$3:$AP$245,地图配置辅助表!O$1,FALSE)</f>
        <v>1</v>
      </c>
      <c r="AD175">
        <f>VLOOKUP($A175,地图配置辅助表!$A$3:$AP$245,地图配置辅助表!P$1,FALSE)</f>
        <v>40</v>
      </c>
      <c r="AE175" s="8">
        <f>VLOOKUP($A175,地图配置辅助表!$A$3:$AP$245,地图配置辅助表!Q$1,FALSE)</f>
        <v>5</v>
      </c>
      <c r="AF175" s="8">
        <f>VLOOKUP($A175,地图配置辅助表!$A$3:$AP$245,地图配置辅助表!R$1,FALSE)</f>
        <v>101112</v>
      </c>
      <c r="AG175" s="13">
        <f>VLOOKUP($A175,地图配置辅助表!$A$3:$AP$245,地图配置辅助表!S$1,FALSE)</f>
        <v>515090</v>
      </c>
      <c r="AH175" s="13">
        <f>VLOOKUP($A175,地图配置辅助表!$A$3:$AP$245,地图配置辅助表!T$1,FALSE)</f>
        <v>701909</v>
      </c>
      <c r="AI175" s="13">
        <f>VLOOKUP($A175,地图配置辅助表!$A$3:$AP$245,地图配置辅助表!U$1,FALSE)</f>
        <v>0</v>
      </c>
      <c r="AJ175" s="13">
        <f>VLOOKUP($A175,地图配置辅助表!$A$3:$AP$245,地图配置辅助表!V$1,FALSE)</f>
        <v>0</v>
      </c>
      <c r="AK175" s="13">
        <f>VLOOKUP($A175,地图配置辅助表!$A$3:$AP$245,地图配置辅助表!W$1,FALSE)</f>
        <v>0</v>
      </c>
      <c r="AL175" s="13">
        <f>VLOOKUP($A175,地图配置辅助表!$A$3:$AP$245,地图配置辅助表!X$1,FALSE)</f>
        <v>0</v>
      </c>
      <c r="AM175" s="13">
        <f>VLOOKUP($A175,地图配置辅助表!$A$3:$AP$245,地图配置辅助表!Y$1,FALSE)</f>
        <v>0</v>
      </c>
      <c r="AN175" s="13">
        <f>VLOOKUP($A175,地图配置辅助表!$A$3:$AP$245,地图配置辅助表!Z$1,FALSE)</f>
        <v>0</v>
      </c>
      <c r="AO175" s="13">
        <f>VLOOKUP($A175,地图配置辅助表!$A$3:$AP$245,地图配置辅助表!AA$1,FALSE)</f>
        <v>0</v>
      </c>
      <c r="AP175" s="13">
        <f>VLOOKUP($A175,地图配置辅助表!$A$3:$AP$245,地图配置辅助表!AB$1,FALSE)</f>
        <v>0</v>
      </c>
      <c r="AQ175" s="13">
        <f>VLOOKUP($A175,地图配置辅助表!$A$3:$AP$245,地图配置辅助表!AC$1,FALSE)</f>
        <v>0</v>
      </c>
      <c r="AR175" s="13">
        <f>VLOOKUP($A175,地图配置辅助表!$A$3:$AP$245,地图配置辅助表!AD$1,FALSE)</f>
        <v>0</v>
      </c>
      <c r="AS175" s="13">
        <f>VLOOKUP($A175,地图配置辅助表!$A$3:$AP$245,地图配置辅助表!AE$1,FALSE)</f>
        <v>0</v>
      </c>
      <c r="AT175" s="13">
        <f>VLOOKUP($A175,地图配置辅助表!$A$3:$AP$245,地图配置辅助表!AF$1,FALSE)</f>
        <v>1</v>
      </c>
      <c r="AU175" s="13">
        <f>VLOOKUP($A175,地图配置辅助表!$A$3:$AP$245,地图配置辅助表!AG$1,FALSE)</f>
        <v>434</v>
      </c>
      <c r="AV175" s="13">
        <f>VLOOKUP($A175,地图配置辅助表!$A$3:$AP$245,地图配置辅助表!AH$1,FALSE)</f>
        <v>0</v>
      </c>
      <c r="AW175" s="13">
        <f>VLOOKUP($A175,地图配置辅助表!$A$3:$AP$245,地图配置辅助表!AI$1,FALSE)</f>
        <v>0</v>
      </c>
      <c r="AX175" s="13">
        <f>VLOOKUP($A175,地图配置辅助表!$A$3:$AP$245,地图配置辅助表!AJ$1,FALSE)</f>
        <v>0</v>
      </c>
      <c r="AY175" s="13">
        <f>VLOOKUP($A175,地图配置辅助表!$A$3:$AP$245,地图配置辅助表!AK$1,FALSE)</f>
        <v>0</v>
      </c>
      <c r="AZ175" s="13">
        <f>VLOOKUP($A175,地图配置辅助表!$A$3:$AP$245,地图配置辅助表!AL$1,FALSE)</f>
        <v>0</v>
      </c>
      <c r="BA175" s="13">
        <f>VLOOKUP($A175,地图配置辅助表!$A$3:$AP$245,地图配置辅助表!AM$1,FALSE)</f>
        <v>0</v>
      </c>
      <c r="BB175" s="13">
        <f>VLOOKUP($A175,地图配置辅助表!$A$3:$AP$245,地图配置辅助表!AN$1,FALSE)</f>
        <v>0</v>
      </c>
      <c r="BC175" s="13">
        <f>VLOOKUP($A175,地图配置辅助表!$A$3:$AP$245,地图配置辅助表!AO$1,FALSE)</f>
        <v>0</v>
      </c>
      <c r="BD175" s="13">
        <f>VLOOKUP($A175,地图配置辅助表!$A$3:$AP$245,地图配置辅助表!AP$1,FALSE)</f>
        <v>0</v>
      </c>
    </row>
    <row r="176" spans="1:56" s="13" customFormat="1" x14ac:dyDescent="0.15">
      <c r="A176">
        <f>地图配置辅助表!A177</f>
        <v>1510</v>
      </c>
      <c r="B176" s="8">
        <f>地图配置辅助表!B177</f>
        <v>3</v>
      </c>
      <c r="C176" s="13">
        <f>地图配置辅助表!C177</f>
        <v>3</v>
      </c>
      <c r="D176" s="9" t="str">
        <f>地图配置辅助表!D177</f>
        <v>挑战Boss-宫本一</v>
      </c>
      <c r="E176" s="13" t="s">
        <v>694</v>
      </c>
      <c r="F176" s="13" t="s">
        <v>0</v>
      </c>
      <c r="G176" s="13">
        <v>29</v>
      </c>
      <c r="H176" s="13">
        <v>400</v>
      </c>
      <c r="I176" s="13">
        <v>140</v>
      </c>
      <c r="J176" s="13">
        <v>400</v>
      </c>
      <c r="K176" s="13">
        <v>140</v>
      </c>
      <c r="L176" s="13" t="s">
        <v>265</v>
      </c>
      <c r="M176" s="13">
        <v>0</v>
      </c>
      <c r="R176" s="13" t="s">
        <v>249</v>
      </c>
      <c r="S176" s="13">
        <f>VLOOKUP($A176,地图配置辅助表!$A$3:$AP$245,地图配置辅助表!E$1,FALSE)</f>
        <v>36</v>
      </c>
      <c r="T176" s="9">
        <f>VLOOKUP($A176,地图配置辅助表!$A$3:$AP$245,地图配置辅助表!F$1,FALSE)</f>
        <v>58</v>
      </c>
      <c r="U176" s="13">
        <f>VLOOKUP($A176,地图配置辅助表!$A$3:$AP$245,地图配置辅助表!G$1,FALSE)</f>
        <v>1</v>
      </c>
      <c r="V176" s="13">
        <f>VLOOKUP($A176,地图配置辅助表!$A$3:$AP$245,地图配置辅助表!H$1,FALSE)</f>
        <v>1</v>
      </c>
      <c r="W176" s="13">
        <f>VLOOKUP($A176,地图配置辅助表!$A$3:$AP$245,地图配置辅助表!I$1,FALSE)</f>
        <v>1</v>
      </c>
      <c r="X176" s="13">
        <f>VLOOKUP($A176,地图配置辅助表!$A$3:$AP$245,地图配置辅助表!J$1,FALSE)</f>
        <v>300</v>
      </c>
      <c r="Y176" s="13">
        <f>VLOOKUP($A176,地图配置辅助表!$A$3:$AP$245,地图配置辅助表!K$1,FALSE)</f>
        <v>2</v>
      </c>
      <c r="Z176" s="13">
        <f>VLOOKUP($A176,地图配置辅助表!$A$3:$AP$245,地图配置辅助表!L$1,FALSE)</f>
        <v>0</v>
      </c>
      <c r="AA176" s="13">
        <f>VLOOKUP($A176,地图配置辅助表!$A$3:$AP$245,地图配置辅助表!M$1,FALSE)</f>
        <v>2</v>
      </c>
      <c r="AB176">
        <f>VLOOKUP($A176,地图配置辅助表!$A$3:$AP$245,地图配置辅助表!N$1,FALSE)</f>
        <v>0</v>
      </c>
      <c r="AC176" s="13">
        <f>VLOOKUP($A176,地图配置辅助表!$A$3:$AP$245,地图配置辅助表!O$1,FALSE)</f>
        <v>1</v>
      </c>
      <c r="AD176">
        <f>VLOOKUP($A176,地图配置辅助表!$A$3:$AP$245,地图配置辅助表!P$1,FALSE)</f>
        <v>40</v>
      </c>
      <c r="AE176" s="8">
        <f>VLOOKUP($A176,地图配置辅助表!$A$3:$AP$245,地图配置辅助表!Q$1,FALSE)</f>
        <v>5</v>
      </c>
      <c r="AF176" s="8">
        <f>VLOOKUP($A176,地图配置辅助表!$A$3:$AP$245,地图配置辅助表!R$1,FALSE)</f>
        <v>101113</v>
      </c>
      <c r="AG176" s="13">
        <f>VLOOKUP($A176,地图配置辅助表!$A$3:$AP$245,地图配置辅助表!S$1,FALSE)</f>
        <v>515100</v>
      </c>
      <c r="AH176" s="13">
        <f>VLOOKUP($A176,地图配置辅助表!$A$3:$AP$245,地图配置辅助表!T$1,FALSE)</f>
        <v>702010</v>
      </c>
      <c r="AI176" s="13">
        <f>VLOOKUP($A176,地图配置辅助表!$A$3:$AP$245,地图配置辅助表!U$1,FALSE)</f>
        <v>0</v>
      </c>
      <c r="AJ176" s="13">
        <f>VLOOKUP($A176,地图配置辅助表!$A$3:$AP$245,地图配置辅助表!V$1,FALSE)</f>
        <v>0</v>
      </c>
      <c r="AK176" s="13">
        <f>VLOOKUP($A176,地图配置辅助表!$A$3:$AP$245,地图配置辅助表!W$1,FALSE)</f>
        <v>0</v>
      </c>
      <c r="AL176" s="13">
        <f>VLOOKUP($A176,地图配置辅助表!$A$3:$AP$245,地图配置辅助表!X$1,FALSE)</f>
        <v>0</v>
      </c>
      <c r="AM176" s="13">
        <f>VLOOKUP($A176,地图配置辅助表!$A$3:$AP$245,地图配置辅助表!Y$1,FALSE)</f>
        <v>0</v>
      </c>
      <c r="AN176" s="13">
        <f>VLOOKUP($A176,地图配置辅助表!$A$3:$AP$245,地图配置辅助表!Z$1,FALSE)</f>
        <v>0</v>
      </c>
      <c r="AO176" s="13">
        <f>VLOOKUP($A176,地图配置辅助表!$A$3:$AP$245,地图配置辅助表!AA$1,FALSE)</f>
        <v>0</v>
      </c>
      <c r="AP176" s="13">
        <f>VLOOKUP($A176,地图配置辅助表!$A$3:$AP$245,地图配置辅助表!AB$1,FALSE)</f>
        <v>0</v>
      </c>
      <c r="AQ176" s="13">
        <f>VLOOKUP($A176,地图配置辅助表!$A$3:$AP$245,地图配置辅助表!AC$1,FALSE)</f>
        <v>0</v>
      </c>
      <c r="AR176" s="13">
        <f>VLOOKUP($A176,地图配置辅助表!$A$3:$AP$245,地图配置辅助表!AD$1,FALSE)</f>
        <v>0</v>
      </c>
      <c r="AS176" s="13">
        <f>VLOOKUP($A176,地图配置辅助表!$A$3:$AP$245,地图配置辅助表!AE$1,FALSE)</f>
        <v>0</v>
      </c>
      <c r="AT176" s="13">
        <f>VLOOKUP($A176,地图配置辅助表!$A$3:$AP$245,地图配置辅助表!AF$1,FALSE)</f>
        <v>1</v>
      </c>
      <c r="AU176" s="13">
        <f>VLOOKUP($A176,地图配置辅助表!$A$3:$AP$245,地图配置辅助表!AG$1,FALSE)</f>
        <v>435</v>
      </c>
      <c r="AV176" s="13">
        <f>VLOOKUP($A176,地图配置辅助表!$A$3:$AP$245,地图配置辅助表!AH$1,FALSE)</f>
        <v>0</v>
      </c>
      <c r="AW176" s="13">
        <f>VLOOKUP($A176,地图配置辅助表!$A$3:$AP$245,地图配置辅助表!AI$1,FALSE)</f>
        <v>0</v>
      </c>
      <c r="AX176" s="13">
        <f>VLOOKUP($A176,地图配置辅助表!$A$3:$AP$245,地图配置辅助表!AJ$1,FALSE)</f>
        <v>0</v>
      </c>
      <c r="AY176" s="13">
        <f>VLOOKUP($A176,地图配置辅助表!$A$3:$AP$245,地图配置辅助表!AK$1,FALSE)</f>
        <v>0</v>
      </c>
      <c r="AZ176" s="13">
        <f>VLOOKUP($A176,地图配置辅助表!$A$3:$AP$245,地图配置辅助表!AL$1,FALSE)</f>
        <v>0</v>
      </c>
      <c r="BA176" s="13">
        <f>VLOOKUP($A176,地图配置辅助表!$A$3:$AP$245,地图配置辅助表!AM$1,FALSE)</f>
        <v>0</v>
      </c>
      <c r="BB176" s="13">
        <f>VLOOKUP($A176,地图配置辅助表!$A$3:$AP$245,地图配置辅助表!AN$1,FALSE)</f>
        <v>0</v>
      </c>
      <c r="BC176" s="13">
        <f>VLOOKUP($A176,地图配置辅助表!$A$3:$AP$245,地图配置辅助表!AO$1,FALSE)</f>
        <v>0</v>
      </c>
      <c r="BD176" s="13">
        <f>VLOOKUP($A176,地图配置辅助表!$A$3:$AP$245,地图配置辅助表!AP$1,FALSE)</f>
        <v>0</v>
      </c>
    </row>
    <row r="177" spans="1:56" s="13" customFormat="1" x14ac:dyDescent="0.15">
      <c r="A177">
        <f>地图配置辅助表!A178</f>
        <v>1511</v>
      </c>
      <c r="B177" s="8">
        <f>地图配置辅助表!B178</f>
        <v>3</v>
      </c>
      <c r="C177" s="13">
        <f>地图配置辅助表!C178</f>
        <v>3</v>
      </c>
      <c r="D177" s="9" t="str">
        <f>地图配置辅助表!D178</f>
        <v>挑战Boss-笑面虎</v>
      </c>
      <c r="E177" s="13" t="s">
        <v>695</v>
      </c>
      <c r="F177" s="13" t="s">
        <v>0</v>
      </c>
      <c r="G177" s="13">
        <v>29</v>
      </c>
      <c r="H177" s="13">
        <v>400</v>
      </c>
      <c r="I177" s="13">
        <v>140</v>
      </c>
      <c r="J177" s="13">
        <v>400</v>
      </c>
      <c r="K177" s="13">
        <v>140</v>
      </c>
      <c r="L177" s="13" t="s">
        <v>266</v>
      </c>
      <c r="M177" s="13">
        <v>0</v>
      </c>
      <c r="R177" s="13" t="s">
        <v>249</v>
      </c>
      <c r="S177" s="13">
        <f>VLOOKUP($A177,地图配置辅助表!$A$3:$AP$245,地图配置辅助表!E$1,FALSE)</f>
        <v>36</v>
      </c>
      <c r="T177" s="9">
        <f>VLOOKUP($A177,地图配置辅助表!$A$3:$AP$245,地图配置辅助表!F$1,FALSE)</f>
        <v>58</v>
      </c>
      <c r="U177" s="13">
        <f>VLOOKUP($A177,地图配置辅助表!$A$3:$AP$245,地图配置辅助表!G$1,FALSE)</f>
        <v>1</v>
      </c>
      <c r="V177" s="13">
        <f>VLOOKUP($A177,地图配置辅助表!$A$3:$AP$245,地图配置辅助表!H$1,FALSE)</f>
        <v>1</v>
      </c>
      <c r="W177" s="13">
        <f>VLOOKUP($A177,地图配置辅助表!$A$3:$AP$245,地图配置辅助表!I$1,FALSE)</f>
        <v>1</v>
      </c>
      <c r="X177" s="13">
        <f>VLOOKUP($A177,地图配置辅助表!$A$3:$AP$245,地图配置辅助表!J$1,FALSE)</f>
        <v>300</v>
      </c>
      <c r="Y177" s="13">
        <f>VLOOKUP($A177,地图配置辅助表!$A$3:$AP$245,地图配置辅助表!K$1,FALSE)</f>
        <v>2</v>
      </c>
      <c r="Z177" s="13">
        <f>VLOOKUP($A177,地图配置辅助表!$A$3:$AP$245,地图配置辅助表!L$1,FALSE)</f>
        <v>0</v>
      </c>
      <c r="AA177" s="13">
        <f>VLOOKUP($A177,地图配置辅助表!$A$3:$AP$245,地图配置辅助表!M$1,FALSE)</f>
        <v>2</v>
      </c>
      <c r="AB177">
        <f>VLOOKUP($A177,地图配置辅助表!$A$3:$AP$245,地图配置辅助表!N$1,FALSE)</f>
        <v>0</v>
      </c>
      <c r="AC177" s="13">
        <f>VLOOKUP($A177,地图配置辅助表!$A$3:$AP$245,地图配置辅助表!O$1,FALSE)</f>
        <v>1</v>
      </c>
      <c r="AD177">
        <f>VLOOKUP($A177,地图配置辅助表!$A$3:$AP$245,地图配置辅助表!P$1,FALSE)</f>
        <v>40</v>
      </c>
      <c r="AE177" s="8">
        <f>VLOOKUP($A177,地图配置辅助表!$A$3:$AP$245,地图配置辅助表!Q$1,FALSE)</f>
        <v>5</v>
      </c>
      <c r="AF177" s="8">
        <f>VLOOKUP($A177,地图配置辅助表!$A$3:$AP$245,地图配置辅助表!R$1,FALSE)</f>
        <v>101119</v>
      </c>
      <c r="AG177" s="13">
        <f>VLOOKUP($A177,地图配置辅助表!$A$3:$AP$245,地图配置辅助表!S$1,FALSE)</f>
        <v>515110</v>
      </c>
      <c r="AH177" s="13">
        <f>VLOOKUP($A177,地图配置辅助表!$A$3:$AP$245,地图配置辅助表!T$1,FALSE)</f>
        <v>702111</v>
      </c>
      <c r="AI177" s="13">
        <f>VLOOKUP($A177,地图配置辅助表!$A$3:$AP$245,地图配置辅助表!U$1,FALSE)</f>
        <v>0</v>
      </c>
      <c r="AJ177" s="13">
        <f>VLOOKUP($A177,地图配置辅助表!$A$3:$AP$245,地图配置辅助表!V$1,FALSE)</f>
        <v>0</v>
      </c>
      <c r="AK177" s="13">
        <f>VLOOKUP($A177,地图配置辅助表!$A$3:$AP$245,地图配置辅助表!W$1,FALSE)</f>
        <v>0</v>
      </c>
      <c r="AL177" s="13">
        <f>VLOOKUP($A177,地图配置辅助表!$A$3:$AP$245,地图配置辅助表!X$1,FALSE)</f>
        <v>0</v>
      </c>
      <c r="AM177" s="13">
        <f>VLOOKUP($A177,地图配置辅助表!$A$3:$AP$245,地图配置辅助表!Y$1,FALSE)</f>
        <v>0</v>
      </c>
      <c r="AN177" s="13">
        <f>VLOOKUP($A177,地图配置辅助表!$A$3:$AP$245,地图配置辅助表!Z$1,FALSE)</f>
        <v>0</v>
      </c>
      <c r="AO177" s="13">
        <f>VLOOKUP($A177,地图配置辅助表!$A$3:$AP$245,地图配置辅助表!AA$1,FALSE)</f>
        <v>0</v>
      </c>
      <c r="AP177" s="13">
        <f>VLOOKUP($A177,地图配置辅助表!$A$3:$AP$245,地图配置辅助表!AB$1,FALSE)</f>
        <v>0</v>
      </c>
      <c r="AQ177" s="13">
        <f>VLOOKUP($A177,地图配置辅助表!$A$3:$AP$245,地图配置辅助表!AC$1,FALSE)</f>
        <v>0</v>
      </c>
      <c r="AR177" s="13">
        <f>VLOOKUP($A177,地图配置辅助表!$A$3:$AP$245,地图配置辅助表!AD$1,FALSE)</f>
        <v>0</v>
      </c>
      <c r="AS177" s="13">
        <f>VLOOKUP($A177,地图配置辅助表!$A$3:$AP$245,地图配置辅助表!AE$1,FALSE)</f>
        <v>0</v>
      </c>
      <c r="AT177" s="13">
        <f>VLOOKUP($A177,地图配置辅助表!$A$3:$AP$245,地图配置辅助表!AF$1,FALSE)</f>
        <v>1</v>
      </c>
      <c r="AU177" s="13">
        <f>VLOOKUP($A177,地图配置辅助表!$A$3:$AP$245,地图配置辅助表!AG$1,FALSE)</f>
        <v>436</v>
      </c>
      <c r="AV177" s="13">
        <f>VLOOKUP($A177,地图配置辅助表!$A$3:$AP$245,地图配置辅助表!AH$1,FALSE)</f>
        <v>0</v>
      </c>
      <c r="AW177" s="13">
        <f>VLOOKUP($A177,地图配置辅助表!$A$3:$AP$245,地图配置辅助表!AI$1,FALSE)</f>
        <v>0</v>
      </c>
      <c r="AX177" s="13">
        <f>VLOOKUP($A177,地图配置辅助表!$A$3:$AP$245,地图配置辅助表!AJ$1,FALSE)</f>
        <v>0</v>
      </c>
      <c r="AY177" s="13">
        <f>VLOOKUP($A177,地图配置辅助表!$A$3:$AP$245,地图配置辅助表!AK$1,FALSE)</f>
        <v>0</v>
      </c>
      <c r="AZ177" s="13">
        <f>VLOOKUP($A177,地图配置辅助表!$A$3:$AP$245,地图配置辅助表!AL$1,FALSE)</f>
        <v>0</v>
      </c>
      <c r="BA177" s="13">
        <f>VLOOKUP($A177,地图配置辅助表!$A$3:$AP$245,地图配置辅助表!AM$1,FALSE)</f>
        <v>0</v>
      </c>
      <c r="BB177" s="13">
        <f>VLOOKUP($A177,地图配置辅助表!$A$3:$AP$245,地图配置辅助表!AN$1,FALSE)</f>
        <v>0</v>
      </c>
      <c r="BC177" s="13">
        <f>VLOOKUP($A177,地图配置辅助表!$A$3:$AP$245,地图配置辅助表!AO$1,FALSE)</f>
        <v>0</v>
      </c>
      <c r="BD177" s="13">
        <f>VLOOKUP($A177,地图配置辅助表!$A$3:$AP$245,地图配置辅助表!AP$1,FALSE)</f>
        <v>0</v>
      </c>
    </row>
    <row r="178" spans="1:56" s="13" customFormat="1" x14ac:dyDescent="0.15">
      <c r="A178">
        <f>地图配置辅助表!A179</f>
        <v>1512</v>
      </c>
      <c r="B178" s="8">
        <f>地图配置辅助表!B179</f>
        <v>3</v>
      </c>
      <c r="C178" s="13">
        <f>地图配置辅助表!C179</f>
        <v>4</v>
      </c>
      <c r="D178" s="9" t="str">
        <f>地图配置辅助表!D179</f>
        <v>挑战Boss-陈浩南</v>
      </c>
      <c r="E178" s="13" t="s">
        <v>696</v>
      </c>
      <c r="F178" s="13" t="s">
        <v>0</v>
      </c>
      <c r="G178" s="13">
        <v>29</v>
      </c>
      <c r="H178" s="13">
        <v>400</v>
      </c>
      <c r="I178" s="13">
        <v>140</v>
      </c>
      <c r="J178" s="13">
        <v>400</v>
      </c>
      <c r="K178" s="13">
        <v>140</v>
      </c>
      <c r="L178" s="13" t="s">
        <v>267</v>
      </c>
      <c r="M178" s="13">
        <v>0</v>
      </c>
      <c r="R178" s="13" t="s">
        <v>249</v>
      </c>
      <c r="S178" s="13">
        <f>VLOOKUP($A178,地图配置辅助表!$A$3:$AP$245,地图配置辅助表!E$1,FALSE)</f>
        <v>60</v>
      </c>
      <c r="T178" s="9">
        <f>VLOOKUP($A178,地图配置辅助表!$A$3:$AP$245,地图配置辅助表!F$1,FALSE)</f>
        <v>58</v>
      </c>
      <c r="U178" s="13">
        <f>VLOOKUP($A178,地图配置辅助表!$A$3:$AP$245,地图配置辅助表!G$1,FALSE)</f>
        <v>1</v>
      </c>
      <c r="V178" s="13">
        <f>VLOOKUP($A178,地图配置辅助表!$A$3:$AP$245,地图配置辅助表!H$1,FALSE)</f>
        <v>1</v>
      </c>
      <c r="W178" s="13">
        <f>VLOOKUP($A178,地图配置辅助表!$A$3:$AP$245,地图配置辅助表!I$1,FALSE)</f>
        <v>1</v>
      </c>
      <c r="X178" s="13">
        <f>VLOOKUP($A178,地图配置辅助表!$A$3:$AP$245,地图配置辅助表!J$1,FALSE)</f>
        <v>300</v>
      </c>
      <c r="Y178" s="13">
        <f>VLOOKUP($A178,地图配置辅助表!$A$3:$AP$245,地图配置辅助表!K$1,FALSE)</f>
        <v>2</v>
      </c>
      <c r="Z178" s="13">
        <f>VLOOKUP($A178,地图配置辅助表!$A$3:$AP$245,地图配置辅助表!L$1,FALSE)</f>
        <v>0</v>
      </c>
      <c r="AA178" s="13">
        <f>VLOOKUP($A178,地图配置辅助表!$A$3:$AP$245,地图配置辅助表!M$1,FALSE)</f>
        <v>1</v>
      </c>
      <c r="AB178">
        <f>VLOOKUP($A178,地图配置辅助表!$A$3:$AP$245,地图配置辅助表!N$1,FALSE)</f>
        <v>0</v>
      </c>
      <c r="AC178" s="13">
        <f>VLOOKUP($A178,地图配置辅助表!$A$3:$AP$245,地图配置辅助表!O$1,FALSE)</f>
        <v>5</v>
      </c>
      <c r="AD178">
        <f>VLOOKUP($A178,地图配置辅助表!$A$3:$AP$245,地图配置辅助表!P$1,FALSE)</f>
        <v>101114</v>
      </c>
      <c r="AE178" s="8">
        <f>VLOOKUP($A178,地图配置辅助表!$A$3:$AP$245,地图配置辅助表!Q$1,FALSE)</f>
        <v>0</v>
      </c>
      <c r="AF178" s="8">
        <f>VLOOKUP($A178,地图配置辅助表!$A$3:$AP$245,地图配置辅助表!R$1,FALSE)</f>
        <v>0</v>
      </c>
      <c r="AG178" s="13">
        <f>VLOOKUP($A178,地图配置辅助表!$A$3:$AP$245,地图配置辅助表!S$1,FALSE)</f>
        <v>515120</v>
      </c>
      <c r="AH178" s="13">
        <f>VLOOKUP($A178,地图配置辅助表!$A$3:$AP$245,地图配置辅助表!T$1,FALSE)</f>
        <v>702212</v>
      </c>
      <c r="AI178" s="13">
        <f>VLOOKUP($A178,地图配置辅助表!$A$3:$AP$245,地图配置辅助表!U$1,FALSE)</f>
        <v>0</v>
      </c>
      <c r="AJ178" s="13">
        <f>VLOOKUP($A178,地图配置辅助表!$A$3:$AP$245,地图配置辅助表!V$1,FALSE)</f>
        <v>0</v>
      </c>
      <c r="AK178" s="13">
        <f>VLOOKUP($A178,地图配置辅助表!$A$3:$AP$245,地图配置辅助表!W$1,FALSE)</f>
        <v>0</v>
      </c>
      <c r="AL178" s="13">
        <f>VLOOKUP($A178,地图配置辅助表!$A$3:$AP$245,地图配置辅助表!X$1,FALSE)</f>
        <v>0</v>
      </c>
      <c r="AM178" s="13">
        <f>VLOOKUP($A178,地图配置辅助表!$A$3:$AP$245,地图配置辅助表!Y$1,FALSE)</f>
        <v>0</v>
      </c>
      <c r="AN178" s="13">
        <f>VLOOKUP($A178,地图配置辅助表!$A$3:$AP$245,地图配置辅助表!Z$1,FALSE)</f>
        <v>0</v>
      </c>
      <c r="AO178" s="13">
        <f>VLOOKUP($A178,地图配置辅助表!$A$3:$AP$245,地图配置辅助表!AA$1,FALSE)</f>
        <v>0</v>
      </c>
      <c r="AP178" s="13">
        <f>VLOOKUP($A178,地图配置辅助表!$A$3:$AP$245,地图配置辅助表!AB$1,FALSE)</f>
        <v>0</v>
      </c>
      <c r="AQ178" s="13">
        <f>VLOOKUP($A178,地图配置辅助表!$A$3:$AP$245,地图配置辅助表!AC$1,FALSE)</f>
        <v>0</v>
      </c>
      <c r="AR178" s="13">
        <f>VLOOKUP($A178,地图配置辅助表!$A$3:$AP$245,地图配置辅助表!AD$1,FALSE)</f>
        <v>0</v>
      </c>
      <c r="AS178" s="13">
        <f>VLOOKUP($A178,地图配置辅助表!$A$3:$AP$245,地图配置辅助表!AE$1,FALSE)</f>
        <v>0</v>
      </c>
      <c r="AT178" s="13">
        <f>VLOOKUP($A178,地图配置辅助表!$A$3:$AP$245,地图配置辅助表!AF$1,FALSE)</f>
        <v>1</v>
      </c>
      <c r="AU178" s="13">
        <f>VLOOKUP($A178,地图配置辅助表!$A$3:$AP$245,地图配置辅助表!AG$1,FALSE)</f>
        <v>437</v>
      </c>
      <c r="AV178" s="13">
        <f>VLOOKUP($A178,地图配置辅助表!$A$3:$AP$245,地图配置辅助表!AH$1,FALSE)</f>
        <v>0</v>
      </c>
      <c r="AW178" s="13">
        <f>VLOOKUP($A178,地图配置辅助表!$A$3:$AP$245,地图配置辅助表!AI$1,FALSE)</f>
        <v>0</v>
      </c>
      <c r="AX178" s="13">
        <f>VLOOKUP($A178,地图配置辅助表!$A$3:$AP$245,地图配置辅助表!AJ$1,FALSE)</f>
        <v>0</v>
      </c>
      <c r="AY178" s="13">
        <f>VLOOKUP($A178,地图配置辅助表!$A$3:$AP$245,地图配置辅助表!AK$1,FALSE)</f>
        <v>0</v>
      </c>
      <c r="AZ178" s="13">
        <f>VLOOKUP($A178,地图配置辅助表!$A$3:$AP$245,地图配置辅助表!AL$1,FALSE)</f>
        <v>0</v>
      </c>
      <c r="BA178" s="13">
        <f>VLOOKUP($A178,地图配置辅助表!$A$3:$AP$245,地图配置辅助表!AM$1,FALSE)</f>
        <v>0</v>
      </c>
      <c r="BB178" s="13">
        <f>VLOOKUP($A178,地图配置辅助表!$A$3:$AP$245,地图配置辅助表!AN$1,FALSE)</f>
        <v>0</v>
      </c>
      <c r="BC178" s="13">
        <f>VLOOKUP($A178,地图配置辅助表!$A$3:$AP$245,地图配置辅助表!AO$1,FALSE)</f>
        <v>0</v>
      </c>
      <c r="BD178" s="13">
        <f>VLOOKUP($A178,地图配置辅助表!$A$3:$AP$245,地图配置辅助表!AP$1,FALSE)</f>
        <v>0</v>
      </c>
    </row>
    <row r="179" spans="1:56" s="13" customFormat="1" x14ac:dyDescent="0.15">
      <c r="A179">
        <f>地图配置辅助表!A180</f>
        <v>1513</v>
      </c>
      <c r="B179" s="8">
        <f>地图配置辅助表!B180</f>
        <v>3</v>
      </c>
      <c r="C179" s="13">
        <f>地图配置辅助表!C180</f>
        <v>4</v>
      </c>
      <c r="D179" s="9" t="str">
        <f>地图配置辅助表!D180</f>
        <v>挑战Boss-山鸡</v>
      </c>
      <c r="E179" s="13" t="s">
        <v>697</v>
      </c>
      <c r="F179" s="13" t="s">
        <v>0</v>
      </c>
      <c r="G179" s="13">
        <v>29</v>
      </c>
      <c r="H179" s="13">
        <v>400</v>
      </c>
      <c r="I179" s="13">
        <v>140</v>
      </c>
      <c r="J179" s="13">
        <v>400</v>
      </c>
      <c r="K179" s="13">
        <v>140</v>
      </c>
      <c r="L179" s="13" t="s">
        <v>268</v>
      </c>
      <c r="M179" s="13">
        <v>0</v>
      </c>
      <c r="R179" s="13" t="s">
        <v>249</v>
      </c>
      <c r="S179" s="13">
        <f>VLOOKUP($A179,地图配置辅助表!$A$3:$AP$245,地图配置辅助表!E$1,FALSE)</f>
        <v>60</v>
      </c>
      <c r="T179" s="9">
        <f>VLOOKUP($A179,地图配置辅助表!$A$3:$AP$245,地图配置辅助表!F$1,FALSE)</f>
        <v>58</v>
      </c>
      <c r="U179" s="13">
        <f>VLOOKUP($A179,地图配置辅助表!$A$3:$AP$245,地图配置辅助表!G$1,FALSE)</f>
        <v>1</v>
      </c>
      <c r="V179" s="13">
        <f>VLOOKUP($A179,地图配置辅助表!$A$3:$AP$245,地图配置辅助表!H$1,FALSE)</f>
        <v>1</v>
      </c>
      <c r="W179" s="13">
        <f>VLOOKUP($A179,地图配置辅助表!$A$3:$AP$245,地图配置辅助表!I$1,FALSE)</f>
        <v>1</v>
      </c>
      <c r="X179" s="13">
        <f>VLOOKUP($A179,地图配置辅助表!$A$3:$AP$245,地图配置辅助表!J$1,FALSE)</f>
        <v>300</v>
      </c>
      <c r="Y179" s="13">
        <f>VLOOKUP($A179,地图配置辅助表!$A$3:$AP$245,地图配置辅助表!K$1,FALSE)</f>
        <v>2</v>
      </c>
      <c r="Z179" s="13">
        <f>VLOOKUP($A179,地图配置辅助表!$A$3:$AP$245,地图配置辅助表!L$1,FALSE)</f>
        <v>0</v>
      </c>
      <c r="AA179" s="13">
        <f>VLOOKUP($A179,地图配置辅助表!$A$3:$AP$245,地图配置辅助表!M$1,FALSE)</f>
        <v>1</v>
      </c>
      <c r="AB179">
        <f>VLOOKUP($A179,地图配置辅助表!$A$3:$AP$245,地图配置辅助表!N$1,FALSE)</f>
        <v>0</v>
      </c>
      <c r="AC179" s="13">
        <f>VLOOKUP($A179,地图配置辅助表!$A$3:$AP$245,地图配置辅助表!O$1,FALSE)</f>
        <v>5</v>
      </c>
      <c r="AD179">
        <f>VLOOKUP($A179,地图配置辅助表!$A$3:$AP$245,地图配置辅助表!P$1,FALSE)</f>
        <v>101115</v>
      </c>
      <c r="AE179" s="8">
        <f>VLOOKUP($A179,地图配置辅助表!$A$3:$AP$245,地图配置辅助表!Q$1,FALSE)</f>
        <v>0</v>
      </c>
      <c r="AF179" s="8">
        <f>VLOOKUP($A179,地图配置辅助表!$A$3:$AP$245,地图配置辅助表!R$1,FALSE)</f>
        <v>0</v>
      </c>
      <c r="AG179" s="13">
        <f>VLOOKUP($A179,地图配置辅助表!$A$3:$AP$245,地图配置辅助表!S$1,FALSE)</f>
        <v>515130</v>
      </c>
      <c r="AH179" s="13">
        <f>VLOOKUP($A179,地图配置辅助表!$A$3:$AP$245,地图配置辅助表!T$1,FALSE)</f>
        <v>702313</v>
      </c>
      <c r="AI179" s="13">
        <f>VLOOKUP($A179,地图配置辅助表!$A$3:$AP$245,地图配置辅助表!U$1,FALSE)</f>
        <v>0</v>
      </c>
      <c r="AJ179" s="13">
        <f>VLOOKUP($A179,地图配置辅助表!$A$3:$AP$245,地图配置辅助表!V$1,FALSE)</f>
        <v>0</v>
      </c>
      <c r="AK179" s="13">
        <f>VLOOKUP($A179,地图配置辅助表!$A$3:$AP$245,地图配置辅助表!W$1,FALSE)</f>
        <v>0</v>
      </c>
      <c r="AL179" s="13">
        <f>VLOOKUP($A179,地图配置辅助表!$A$3:$AP$245,地图配置辅助表!X$1,FALSE)</f>
        <v>0</v>
      </c>
      <c r="AM179" s="13">
        <f>VLOOKUP($A179,地图配置辅助表!$A$3:$AP$245,地图配置辅助表!Y$1,FALSE)</f>
        <v>0</v>
      </c>
      <c r="AN179" s="13">
        <f>VLOOKUP($A179,地图配置辅助表!$A$3:$AP$245,地图配置辅助表!Z$1,FALSE)</f>
        <v>0</v>
      </c>
      <c r="AO179" s="13">
        <f>VLOOKUP($A179,地图配置辅助表!$A$3:$AP$245,地图配置辅助表!AA$1,FALSE)</f>
        <v>0</v>
      </c>
      <c r="AP179" s="13">
        <f>VLOOKUP($A179,地图配置辅助表!$A$3:$AP$245,地图配置辅助表!AB$1,FALSE)</f>
        <v>0</v>
      </c>
      <c r="AQ179" s="13">
        <f>VLOOKUP($A179,地图配置辅助表!$A$3:$AP$245,地图配置辅助表!AC$1,FALSE)</f>
        <v>0</v>
      </c>
      <c r="AR179" s="13">
        <f>VLOOKUP($A179,地图配置辅助表!$A$3:$AP$245,地图配置辅助表!AD$1,FALSE)</f>
        <v>0</v>
      </c>
      <c r="AS179" s="13">
        <f>VLOOKUP($A179,地图配置辅助表!$A$3:$AP$245,地图配置辅助表!AE$1,FALSE)</f>
        <v>0</v>
      </c>
      <c r="AT179" s="13">
        <f>VLOOKUP($A179,地图配置辅助表!$A$3:$AP$245,地图配置辅助表!AF$1,FALSE)</f>
        <v>1</v>
      </c>
      <c r="AU179" s="13">
        <f>VLOOKUP($A179,地图配置辅助表!$A$3:$AP$245,地图配置辅助表!AG$1,FALSE)</f>
        <v>438</v>
      </c>
      <c r="AV179" s="13">
        <f>VLOOKUP($A179,地图配置辅助表!$A$3:$AP$245,地图配置辅助表!AH$1,FALSE)</f>
        <v>0</v>
      </c>
      <c r="AW179" s="13">
        <f>VLOOKUP($A179,地图配置辅助表!$A$3:$AP$245,地图配置辅助表!AI$1,FALSE)</f>
        <v>0</v>
      </c>
      <c r="AX179" s="13">
        <f>VLOOKUP($A179,地图配置辅助表!$A$3:$AP$245,地图配置辅助表!AJ$1,FALSE)</f>
        <v>0</v>
      </c>
      <c r="AY179" s="13">
        <f>VLOOKUP($A179,地图配置辅助表!$A$3:$AP$245,地图配置辅助表!AK$1,FALSE)</f>
        <v>0</v>
      </c>
      <c r="AZ179" s="13">
        <f>VLOOKUP($A179,地图配置辅助表!$A$3:$AP$245,地图配置辅助表!AL$1,FALSE)</f>
        <v>0</v>
      </c>
      <c r="BA179" s="13">
        <f>VLOOKUP($A179,地图配置辅助表!$A$3:$AP$245,地图配置辅助表!AM$1,FALSE)</f>
        <v>0</v>
      </c>
      <c r="BB179" s="13">
        <f>VLOOKUP($A179,地图配置辅助表!$A$3:$AP$245,地图配置辅助表!AN$1,FALSE)</f>
        <v>0</v>
      </c>
      <c r="BC179" s="13">
        <f>VLOOKUP($A179,地图配置辅助表!$A$3:$AP$245,地图配置辅助表!AO$1,FALSE)</f>
        <v>0</v>
      </c>
      <c r="BD179" s="13">
        <f>VLOOKUP($A179,地图配置辅助表!$A$3:$AP$245,地图配置辅助表!AP$1,FALSE)</f>
        <v>0</v>
      </c>
    </row>
    <row r="180" spans="1:56" s="13" customFormat="1" x14ac:dyDescent="0.15">
      <c r="A180">
        <f>地图配置辅助表!A181</f>
        <v>1514</v>
      </c>
      <c r="B180" s="8">
        <f>地图配置辅助表!B181</f>
        <v>3</v>
      </c>
      <c r="C180" s="13">
        <f>地图配置辅助表!C181</f>
        <v>4</v>
      </c>
      <c r="D180" s="9" t="str">
        <f>地图配置辅助表!D181</f>
        <v>挑战Boss-大天二</v>
      </c>
      <c r="E180" s="13" t="s">
        <v>698</v>
      </c>
      <c r="F180" s="13" t="s">
        <v>0</v>
      </c>
      <c r="G180" s="13">
        <v>29</v>
      </c>
      <c r="H180" s="13">
        <v>400</v>
      </c>
      <c r="I180" s="13">
        <v>140</v>
      </c>
      <c r="J180" s="13">
        <v>400</v>
      </c>
      <c r="K180" s="13">
        <v>140</v>
      </c>
      <c r="L180" s="13" t="s">
        <v>269</v>
      </c>
      <c r="M180" s="13">
        <v>0</v>
      </c>
      <c r="R180" s="13" t="s">
        <v>249</v>
      </c>
      <c r="S180" s="13">
        <f>VLOOKUP($A180,地图配置辅助表!$A$3:$AP$245,地图配置辅助表!E$1,FALSE)</f>
        <v>60</v>
      </c>
      <c r="T180" s="9">
        <f>VLOOKUP($A180,地图配置辅助表!$A$3:$AP$245,地图配置辅助表!F$1,FALSE)</f>
        <v>58</v>
      </c>
      <c r="U180" s="13">
        <f>VLOOKUP($A180,地图配置辅助表!$A$3:$AP$245,地图配置辅助表!G$1,FALSE)</f>
        <v>1</v>
      </c>
      <c r="V180" s="13">
        <f>VLOOKUP($A180,地图配置辅助表!$A$3:$AP$245,地图配置辅助表!H$1,FALSE)</f>
        <v>1</v>
      </c>
      <c r="W180" s="13">
        <f>VLOOKUP($A180,地图配置辅助表!$A$3:$AP$245,地图配置辅助表!I$1,FALSE)</f>
        <v>1</v>
      </c>
      <c r="X180" s="13">
        <f>VLOOKUP($A180,地图配置辅助表!$A$3:$AP$245,地图配置辅助表!J$1,FALSE)</f>
        <v>300</v>
      </c>
      <c r="Y180" s="13">
        <f>VLOOKUP($A180,地图配置辅助表!$A$3:$AP$245,地图配置辅助表!K$1,FALSE)</f>
        <v>2</v>
      </c>
      <c r="Z180" s="13">
        <f>VLOOKUP($A180,地图配置辅助表!$A$3:$AP$245,地图配置辅助表!L$1,FALSE)</f>
        <v>0</v>
      </c>
      <c r="AA180" s="13">
        <f>VLOOKUP($A180,地图配置辅助表!$A$3:$AP$245,地图配置辅助表!M$1,FALSE)</f>
        <v>1</v>
      </c>
      <c r="AB180">
        <f>VLOOKUP($A180,地图配置辅助表!$A$3:$AP$245,地图配置辅助表!N$1,FALSE)</f>
        <v>0</v>
      </c>
      <c r="AC180" s="13">
        <f>VLOOKUP($A180,地图配置辅助表!$A$3:$AP$245,地图配置辅助表!O$1,FALSE)</f>
        <v>5</v>
      </c>
      <c r="AD180">
        <f>VLOOKUP($A180,地图配置辅助表!$A$3:$AP$245,地图配置辅助表!P$1,FALSE)</f>
        <v>101116</v>
      </c>
      <c r="AE180" s="8">
        <f>VLOOKUP($A180,地图配置辅助表!$A$3:$AP$245,地图配置辅助表!Q$1,FALSE)</f>
        <v>0</v>
      </c>
      <c r="AF180" s="8">
        <f>VLOOKUP($A180,地图配置辅助表!$A$3:$AP$245,地图配置辅助表!R$1,FALSE)</f>
        <v>0</v>
      </c>
      <c r="AG180" s="13">
        <f>VLOOKUP($A180,地图配置辅助表!$A$3:$AP$245,地图配置辅助表!S$1,FALSE)</f>
        <v>515140</v>
      </c>
      <c r="AH180" s="13">
        <f>VLOOKUP($A180,地图配置辅助表!$A$3:$AP$245,地图配置辅助表!T$1,FALSE)</f>
        <v>702414</v>
      </c>
      <c r="AI180" s="13">
        <f>VLOOKUP($A180,地图配置辅助表!$A$3:$AP$245,地图配置辅助表!U$1,FALSE)</f>
        <v>0</v>
      </c>
      <c r="AJ180" s="13">
        <f>VLOOKUP($A180,地图配置辅助表!$A$3:$AP$245,地图配置辅助表!V$1,FALSE)</f>
        <v>0</v>
      </c>
      <c r="AK180" s="13">
        <f>VLOOKUP($A180,地图配置辅助表!$A$3:$AP$245,地图配置辅助表!W$1,FALSE)</f>
        <v>0</v>
      </c>
      <c r="AL180" s="13">
        <f>VLOOKUP($A180,地图配置辅助表!$A$3:$AP$245,地图配置辅助表!X$1,FALSE)</f>
        <v>0</v>
      </c>
      <c r="AM180" s="13">
        <f>VLOOKUP($A180,地图配置辅助表!$A$3:$AP$245,地图配置辅助表!Y$1,FALSE)</f>
        <v>0</v>
      </c>
      <c r="AN180" s="13">
        <f>VLOOKUP($A180,地图配置辅助表!$A$3:$AP$245,地图配置辅助表!Z$1,FALSE)</f>
        <v>0</v>
      </c>
      <c r="AO180" s="13">
        <f>VLOOKUP($A180,地图配置辅助表!$A$3:$AP$245,地图配置辅助表!AA$1,FALSE)</f>
        <v>0</v>
      </c>
      <c r="AP180" s="13">
        <f>VLOOKUP($A180,地图配置辅助表!$A$3:$AP$245,地图配置辅助表!AB$1,FALSE)</f>
        <v>0</v>
      </c>
      <c r="AQ180" s="13">
        <f>VLOOKUP($A180,地图配置辅助表!$A$3:$AP$245,地图配置辅助表!AC$1,FALSE)</f>
        <v>0</v>
      </c>
      <c r="AR180" s="13">
        <f>VLOOKUP($A180,地图配置辅助表!$A$3:$AP$245,地图配置辅助表!AD$1,FALSE)</f>
        <v>0</v>
      </c>
      <c r="AS180" s="13">
        <f>VLOOKUP($A180,地图配置辅助表!$A$3:$AP$245,地图配置辅助表!AE$1,FALSE)</f>
        <v>0</v>
      </c>
      <c r="AT180" s="13">
        <f>VLOOKUP($A180,地图配置辅助表!$A$3:$AP$245,地图配置辅助表!AF$1,FALSE)</f>
        <v>1</v>
      </c>
      <c r="AU180" s="13">
        <f>VLOOKUP($A180,地图配置辅助表!$A$3:$AP$245,地图配置辅助表!AG$1,FALSE)</f>
        <v>439</v>
      </c>
      <c r="AV180" s="13">
        <f>VLOOKUP($A180,地图配置辅助表!$A$3:$AP$245,地图配置辅助表!AH$1,FALSE)</f>
        <v>0</v>
      </c>
      <c r="AW180" s="13">
        <f>VLOOKUP($A180,地图配置辅助表!$A$3:$AP$245,地图配置辅助表!AI$1,FALSE)</f>
        <v>0</v>
      </c>
      <c r="AX180" s="13">
        <f>VLOOKUP($A180,地图配置辅助表!$A$3:$AP$245,地图配置辅助表!AJ$1,FALSE)</f>
        <v>0</v>
      </c>
      <c r="AY180" s="13">
        <f>VLOOKUP($A180,地图配置辅助表!$A$3:$AP$245,地图配置辅助表!AK$1,FALSE)</f>
        <v>0</v>
      </c>
      <c r="AZ180" s="13">
        <f>VLOOKUP($A180,地图配置辅助表!$A$3:$AP$245,地图配置辅助表!AL$1,FALSE)</f>
        <v>0</v>
      </c>
      <c r="BA180" s="13">
        <f>VLOOKUP($A180,地图配置辅助表!$A$3:$AP$245,地图配置辅助表!AM$1,FALSE)</f>
        <v>0</v>
      </c>
      <c r="BB180" s="13">
        <f>VLOOKUP($A180,地图配置辅助表!$A$3:$AP$245,地图配置辅助表!AN$1,FALSE)</f>
        <v>0</v>
      </c>
      <c r="BC180" s="13">
        <f>VLOOKUP($A180,地图配置辅助表!$A$3:$AP$245,地图配置辅助表!AO$1,FALSE)</f>
        <v>0</v>
      </c>
      <c r="BD180" s="13">
        <f>VLOOKUP($A180,地图配置辅助表!$A$3:$AP$245,地图配置辅助表!AP$1,FALSE)</f>
        <v>0</v>
      </c>
    </row>
    <row r="181" spans="1:56" s="9" customFormat="1" x14ac:dyDescent="0.15">
      <c r="A181">
        <f>地图配置辅助表!A182</f>
        <v>1601</v>
      </c>
      <c r="B181" s="8">
        <f>地图配置辅助表!B182</f>
        <v>3</v>
      </c>
      <c r="C181" s="9">
        <f>地图配置辅助表!C182</f>
        <v>1</v>
      </c>
      <c r="D181" s="9" t="str">
        <f>地图配置辅助表!D182</f>
        <v>组队1</v>
      </c>
      <c r="F181" s="9" t="s">
        <v>0</v>
      </c>
      <c r="G181" s="9">
        <v>29</v>
      </c>
      <c r="H181" s="9">
        <v>400</v>
      </c>
      <c r="I181" s="9">
        <v>140</v>
      </c>
      <c r="J181" s="9">
        <v>400</v>
      </c>
      <c r="K181" s="9">
        <v>140</v>
      </c>
      <c r="L181" s="9" t="s">
        <v>123</v>
      </c>
      <c r="M181" s="9">
        <v>0</v>
      </c>
      <c r="R181" s="9" t="s">
        <v>123</v>
      </c>
      <c r="S181" s="11">
        <f>VLOOKUP($A181,地图配置辅助表!$A$3:$AP$245,地图配置辅助表!E$1,FALSE)</f>
        <v>13</v>
      </c>
      <c r="T181" s="9">
        <f>VLOOKUP($A181,地图配置辅助表!$A$3:$AP$245,地图配置辅助表!F$1,FALSE)</f>
        <v>0</v>
      </c>
      <c r="U181" s="9">
        <f>VLOOKUP($A181,地图配置辅助表!$A$3:$AP$245,地图配置辅助表!G$1,FALSE)</f>
        <v>3</v>
      </c>
      <c r="V181" s="9">
        <f>VLOOKUP($A181,地图配置辅助表!$A$3:$AP$245,地图配置辅助表!H$1,FALSE)</f>
        <v>3</v>
      </c>
      <c r="W181" s="9">
        <f>VLOOKUP($A181,地图配置辅助表!$A$3:$AP$245,地图配置辅助表!I$1,FALSE)</f>
        <v>3</v>
      </c>
      <c r="X181" s="9">
        <f>VLOOKUP($A181,地图配置辅助表!$A$3:$AP$245,地图配置辅助表!J$1,FALSE)</f>
        <v>300</v>
      </c>
      <c r="Y181" s="9">
        <f>VLOOKUP($A181,地图配置辅助表!$A$3:$AP$245,地图配置辅助表!K$1,FALSE)</f>
        <v>2</v>
      </c>
      <c r="Z181" s="9">
        <f>VLOOKUP($A181,地图配置辅助表!$A$3:$AP$245,地图配置辅助表!L$1,FALSE)</f>
        <v>0</v>
      </c>
      <c r="AA181" s="9">
        <f>VLOOKUP($A181,地图配置辅助表!$A$3:$AP$245,地图配置辅助表!M$1,FALSE)</f>
        <v>1</v>
      </c>
      <c r="AB181">
        <f>VLOOKUP($A181,地图配置辅助表!$A$3:$AP$245,地图配置辅助表!N$1,FALSE)</f>
        <v>1</v>
      </c>
      <c r="AC181" s="9">
        <f>VLOOKUP($A181,地图配置辅助表!$A$3:$AP$245,地图配置辅助表!O$1,FALSE)</f>
        <v>1</v>
      </c>
      <c r="AD181">
        <f>VLOOKUP($A181,地图配置辅助表!$A$3:$AP$245,地图配置辅助表!P$1,FALSE)</f>
        <v>100</v>
      </c>
      <c r="AE181" s="8">
        <f>VLOOKUP($A181,地图配置辅助表!$A$3:$AP$245,地图配置辅助表!Q$1,FALSE)</f>
        <v>0</v>
      </c>
      <c r="AF181" s="8">
        <f>VLOOKUP($A181,地图配置辅助表!$A$3:$AP$245,地图配置辅助表!R$1,FALSE)</f>
        <v>0</v>
      </c>
      <c r="AG181" s="11">
        <f>VLOOKUP($A181,地图配置辅助表!$A$3:$AP$245,地图配置辅助表!S$1,FALSE)</f>
        <v>501601</v>
      </c>
      <c r="AH181" s="11">
        <f>VLOOKUP($A181,地图配置辅助表!$A$3:$AP$245,地图配置辅助表!T$1,FALSE)</f>
        <v>0</v>
      </c>
      <c r="AI181" s="9">
        <f>VLOOKUP($A181,地图配置辅助表!$A$3:$AP$245,地图配置辅助表!U$1,FALSE)</f>
        <v>3</v>
      </c>
      <c r="AJ181" s="9">
        <f>VLOOKUP($A181,地图配置辅助表!$A$3:$AP$245,地图配置辅助表!V$1,FALSE)</f>
        <v>160101</v>
      </c>
      <c r="AK181" s="9">
        <f>VLOOKUP($A181,地图配置辅助表!$A$3:$AP$245,地图配置辅助表!W$1,FALSE)</f>
        <v>160102</v>
      </c>
      <c r="AL181" s="9">
        <f>VLOOKUP($A181,地图配置辅助表!$A$3:$AP$245,地图配置辅助表!X$1,FALSE)</f>
        <v>160103</v>
      </c>
      <c r="AM181" s="9">
        <f>VLOOKUP($A181,地图配置辅助表!$A$3:$AP$245,地图配置辅助表!Y$1,FALSE)</f>
        <v>0</v>
      </c>
      <c r="AN181" s="9">
        <f>VLOOKUP($A181,地图配置辅助表!$A$3:$AP$245,地图配置辅助表!Z$1,FALSE)</f>
        <v>0</v>
      </c>
      <c r="AO181" s="9">
        <f>VLOOKUP($A181,地图配置辅助表!$A$3:$AP$245,地图配置辅助表!AA$1,FALSE)</f>
        <v>0</v>
      </c>
      <c r="AP181" s="9">
        <f>VLOOKUP($A181,地图配置辅助表!$A$3:$AP$245,地图配置辅助表!AB$1,FALSE)</f>
        <v>0</v>
      </c>
      <c r="AQ181" s="9">
        <f>VLOOKUP($A181,地图配置辅助表!$A$3:$AP$245,地图配置辅助表!AC$1,FALSE)</f>
        <v>0</v>
      </c>
      <c r="AR181" s="9">
        <f>VLOOKUP($A181,地图配置辅助表!$A$3:$AP$245,地图配置辅助表!AD$1,FALSE)</f>
        <v>0</v>
      </c>
      <c r="AS181" s="9">
        <f>VLOOKUP($A181,地图配置辅助表!$A$3:$AP$245,地图配置辅助表!AE$1,FALSE)</f>
        <v>0</v>
      </c>
      <c r="AT181" s="9">
        <f>VLOOKUP($A181,地图配置辅助表!$A$3:$AP$245,地图配置辅助表!AF$1,FALSE)</f>
        <v>0</v>
      </c>
      <c r="AU181" s="9">
        <f>VLOOKUP($A181,地图配置辅助表!$A$3:$AP$245,地图配置辅助表!AG$1,FALSE)</f>
        <v>0</v>
      </c>
      <c r="AV181" s="9">
        <f>VLOOKUP($A181,地图配置辅助表!$A$3:$AP$245,地图配置辅助表!AH$1,FALSE)</f>
        <v>0</v>
      </c>
      <c r="AW181" s="9">
        <f>VLOOKUP($A181,地图配置辅助表!$A$3:$AP$245,地图配置辅助表!AI$1,FALSE)</f>
        <v>0</v>
      </c>
      <c r="AX181" s="9">
        <f>VLOOKUP($A181,地图配置辅助表!$A$3:$AP$245,地图配置辅助表!AJ$1,FALSE)</f>
        <v>0</v>
      </c>
      <c r="AY181" s="9">
        <f>VLOOKUP($A181,地图配置辅助表!$A$3:$AP$245,地图配置辅助表!AK$1,FALSE)</f>
        <v>0</v>
      </c>
      <c r="AZ181" s="9">
        <f>VLOOKUP($A181,地图配置辅助表!$A$3:$AP$245,地图配置辅助表!AL$1,FALSE)</f>
        <v>0</v>
      </c>
      <c r="BA181" s="9">
        <f>VLOOKUP($A181,地图配置辅助表!$A$3:$AP$245,地图配置辅助表!AM$1,FALSE)</f>
        <v>0</v>
      </c>
      <c r="BB181" s="9">
        <f>VLOOKUP($A181,地图配置辅助表!$A$3:$AP$245,地图配置辅助表!AN$1,FALSE)</f>
        <v>0</v>
      </c>
      <c r="BC181" s="9">
        <f>VLOOKUP($A181,地图配置辅助表!$A$3:$AP$245,地图配置辅助表!AO$1,FALSE)</f>
        <v>0</v>
      </c>
      <c r="BD181" s="9">
        <f>VLOOKUP($A181,地图配置辅助表!$A$3:$AP$245,地图配置辅助表!AP$1,FALSE)</f>
        <v>0</v>
      </c>
    </row>
    <row r="182" spans="1:56" s="9" customFormat="1" x14ac:dyDescent="0.15">
      <c r="A182">
        <f>地图配置辅助表!A183</f>
        <v>1602</v>
      </c>
      <c r="B182" s="8">
        <f>地图配置辅助表!B183</f>
        <v>3</v>
      </c>
      <c r="C182" s="9">
        <f>地图配置辅助表!C183</f>
        <v>1</v>
      </c>
      <c r="D182" s="9" t="str">
        <f>地图配置辅助表!D183</f>
        <v>组队2</v>
      </c>
      <c r="F182" s="9" t="s">
        <v>0</v>
      </c>
      <c r="G182" s="9">
        <v>29</v>
      </c>
      <c r="H182" s="9">
        <v>400</v>
      </c>
      <c r="I182" s="9">
        <v>140</v>
      </c>
      <c r="J182" s="9">
        <v>400</v>
      </c>
      <c r="K182" s="9">
        <v>140</v>
      </c>
      <c r="L182" s="9" t="s">
        <v>124</v>
      </c>
      <c r="M182" s="9">
        <v>0</v>
      </c>
      <c r="R182" s="9" t="s">
        <v>121</v>
      </c>
      <c r="S182" s="11">
        <f>VLOOKUP($A182,地图配置辅助表!$A$3:$AP$245,地图配置辅助表!E$1,FALSE)</f>
        <v>13</v>
      </c>
      <c r="T182" s="9">
        <f>VLOOKUP($A182,地图配置辅助表!$A$3:$AP$245,地图配置辅助表!F$1,FALSE)</f>
        <v>0</v>
      </c>
      <c r="U182" s="9">
        <f>VLOOKUP($A182,地图配置辅助表!$A$3:$AP$245,地图配置辅助表!G$1,FALSE)</f>
        <v>3</v>
      </c>
      <c r="V182" s="9">
        <f>VLOOKUP($A182,地图配置辅助表!$A$3:$AP$245,地图配置辅助表!H$1,FALSE)</f>
        <v>3</v>
      </c>
      <c r="W182" s="9">
        <f>VLOOKUP($A182,地图配置辅助表!$A$3:$AP$245,地图配置辅助表!I$1,FALSE)</f>
        <v>3</v>
      </c>
      <c r="X182" s="9">
        <f>VLOOKUP($A182,地图配置辅助表!$A$3:$AP$245,地图配置辅助表!J$1,FALSE)</f>
        <v>300</v>
      </c>
      <c r="Y182" s="9">
        <f>VLOOKUP($A182,地图配置辅助表!$A$3:$AP$245,地图配置辅助表!K$1,FALSE)</f>
        <v>2</v>
      </c>
      <c r="Z182" s="9">
        <f>VLOOKUP($A182,地图配置辅助表!$A$3:$AP$245,地图配置辅助表!L$1,FALSE)</f>
        <v>0</v>
      </c>
      <c r="AA182" s="9">
        <f>VLOOKUP($A182,地图配置辅助表!$A$3:$AP$245,地图配置辅助表!M$1,FALSE)</f>
        <v>1</v>
      </c>
      <c r="AB182">
        <f>VLOOKUP($A182,地图配置辅助表!$A$3:$AP$245,地图配置辅助表!N$1,FALSE)</f>
        <v>1</v>
      </c>
      <c r="AC182" s="9">
        <f>VLOOKUP($A182,地图配置辅助表!$A$3:$AP$245,地图配置辅助表!O$1,FALSE)</f>
        <v>1</v>
      </c>
      <c r="AD182">
        <f>VLOOKUP($A182,地图配置辅助表!$A$3:$AP$245,地图配置辅助表!P$1,FALSE)</f>
        <v>100</v>
      </c>
      <c r="AE182" s="8">
        <f>VLOOKUP($A182,地图配置辅助表!$A$3:$AP$245,地图配置辅助表!Q$1,FALSE)</f>
        <v>0</v>
      </c>
      <c r="AF182" s="8">
        <f>VLOOKUP($A182,地图配置辅助表!$A$3:$AP$245,地图配置辅助表!R$1,FALSE)</f>
        <v>0</v>
      </c>
      <c r="AG182" s="11">
        <f>VLOOKUP($A182,地图配置辅助表!$A$3:$AP$245,地图配置辅助表!S$1,FALSE)</f>
        <v>501602</v>
      </c>
      <c r="AH182" s="11">
        <f>VLOOKUP($A182,地图配置辅助表!$A$3:$AP$245,地图配置辅助表!T$1,FALSE)</f>
        <v>0</v>
      </c>
      <c r="AI182" s="9">
        <f>VLOOKUP($A182,地图配置辅助表!$A$3:$AP$245,地图配置辅助表!U$1,FALSE)</f>
        <v>3</v>
      </c>
      <c r="AJ182" s="9">
        <f>VLOOKUP($A182,地图配置辅助表!$A$3:$AP$245,地图配置辅助表!V$1,FALSE)</f>
        <v>160201</v>
      </c>
      <c r="AK182" s="9">
        <f>VLOOKUP($A182,地图配置辅助表!$A$3:$AP$245,地图配置辅助表!W$1,FALSE)</f>
        <v>160202</v>
      </c>
      <c r="AL182" s="9">
        <f>VLOOKUP($A182,地图配置辅助表!$A$3:$AP$245,地图配置辅助表!X$1,FALSE)</f>
        <v>160203</v>
      </c>
      <c r="AM182" s="9">
        <f>VLOOKUP($A182,地图配置辅助表!$A$3:$AP$245,地图配置辅助表!Y$1,FALSE)</f>
        <v>0</v>
      </c>
      <c r="AN182" s="9">
        <f>VLOOKUP($A182,地图配置辅助表!$A$3:$AP$245,地图配置辅助表!Z$1,FALSE)</f>
        <v>0</v>
      </c>
      <c r="AO182" s="9">
        <f>VLOOKUP($A182,地图配置辅助表!$A$3:$AP$245,地图配置辅助表!AA$1,FALSE)</f>
        <v>0</v>
      </c>
      <c r="AP182" s="9">
        <f>VLOOKUP($A182,地图配置辅助表!$A$3:$AP$245,地图配置辅助表!AB$1,FALSE)</f>
        <v>0</v>
      </c>
      <c r="AQ182" s="9">
        <f>VLOOKUP($A182,地图配置辅助表!$A$3:$AP$245,地图配置辅助表!AC$1,FALSE)</f>
        <v>0</v>
      </c>
      <c r="AR182" s="9">
        <f>VLOOKUP($A182,地图配置辅助表!$A$3:$AP$245,地图配置辅助表!AD$1,FALSE)</f>
        <v>0</v>
      </c>
      <c r="AS182" s="9">
        <f>VLOOKUP($A182,地图配置辅助表!$A$3:$AP$245,地图配置辅助表!AE$1,FALSE)</f>
        <v>0</v>
      </c>
      <c r="AT182" s="9">
        <f>VLOOKUP($A182,地图配置辅助表!$A$3:$AP$245,地图配置辅助表!AF$1,FALSE)</f>
        <v>0</v>
      </c>
      <c r="AU182" s="9">
        <f>VLOOKUP($A182,地图配置辅助表!$A$3:$AP$245,地图配置辅助表!AG$1,FALSE)</f>
        <v>0</v>
      </c>
      <c r="AV182" s="9">
        <f>VLOOKUP($A182,地图配置辅助表!$A$3:$AP$245,地图配置辅助表!AH$1,FALSE)</f>
        <v>0</v>
      </c>
      <c r="AW182" s="9">
        <f>VLOOKUP($A182,地图配置辅助表!$A$3:$AP$245,地图配置辅助表!AI$1,FALSE)</f>
        <v>0</v>
      </c>
      <c r="AX182" s="9">
        <f>VLOOKUP($A182,地图配置辅助表!$A$3:$AP$245,地图配置辅助表!AJ$1,FALSE)</f>
        <v>0</v>
      </c>
      <c r="AY182" s="9">
        <f>VLOOKUP($A182,地图配置辅助表!$A$3:$AP$245,地图配置辅助表!AK$1,FALSE)</f>
        <v>0</v>
      </c>
      <c r="AZ182" s="9">
        <f>VLOOKUP($A182,地图配置辅助表!$A$3:$AP$245,地图配置辅助表!AL$1,FALSE)</f>
        <v>0</v>
      </c>
      <c r="BA182" s="9">
        <f>VLOOKUP($A182,地图配置辅助表!$A$3:$AP$245,地图配置辅助表!AM$1,FALSE)</f>
        <v>0</v>
      </c>
      <c r="BB182" s="9">
        <f>VLOOKUP($A182,地图配置辅助表!$A$3:$AP$245,地图配置辅助表!AN$1,FALSE)</f>
        <v>0</v>
      </c>
      <c r="BC182" s="9">
        <f>VLOOKUP($A182,地图配置辅助表!$A$3:$AP$245,地图配置辅助表!AO$1,FALSE)</f>
        <v>0</v>
      </c>
      <c r="BD182" s="9">
        <f>VLOOKUP($A182,地图配置辅助表!$A$3:$AP$245,地图配置辅助表!AP$1,FALSE)</f>
        <v>0</v>
      </c>
    </row>
    <row r="183" spans="1:56" s="9" customFormat="1" x14ac:dyDescent="0.15">
      <c r="A183">
        <f>地图配置辅助表!A184</f>
        <v>1603</v>
      </c>
      <c r="B183" s="8">
        <f>地图配置辅助表!B184</f>
        <v>3</v>
      </c>
      <c r="C183" s="9">
        <f>地图配置辅助表!C184</f>
        <v>1</v>
      </c>
      <c r="D183" s="9" t="str">
        <f>地图配置辅助表!D184</f>
        <v>组队3</v>
      </c>
      <c r="F183" s="9" t="s">
        <v>0</v>
      </c>
      <c r="G183" s="9">
        <v>29</v>
      </c>
      <c r="H183" s="9">
        <v>400</v>
      </c>
      <c r="I183" s="9">
        <v>140</v>
      </c>
      <c r="J183" s="9">
        <v>400</v>
      </c>
      <c r="K183" s="9">
        <v>140</v>
      </c>
      <c r="L183" s="9" t="s">
        <v>124</v>
      </c>
      <c r="M183" s="9">
        <v>0</v>
      </c>
      <c r="R183" s="9" t="s">
        <v>122</v>
      </c>
      <c r="S183" s="11">
        <f>VLOOKUP($A183,地图配置辅助表!$A$3:$AP$245,地图配置辅助表!E$1,FALSE)</f>
        <v>13</v>
      </c>
      <c r="T183" s="9">
        <f>VLOOKUP($A183,地图配置辅助表!$A$3:$AP$245,地图配置辅助表!F$1,FALSE)</f>
        <v>0</v>
      </c>
      <c r="U183" s="9">
        <f>VLOOKUP($A183,地图配置辅助表!$A$3:$AP$245,地图配置辅助表!G$1,FALSE)</f>
        <v>3</v>
      </c>
      <c r="V183" s="9">
        <f>VLOOKUP($A183,地图配置辅助表!$A$3:$AP$245,地图配置辅助表!H$1,FALSE)</f>
        <v>3</v>
      </c>
      <c r="W183" s="9">
        <f>VLOOKUP($A183,地图配置辅助表!$A$3:$AP$245,地图配置辅助表!I$1,FALSE)</f>
        <v>3</v>
      </c>
      <c r="X183" s="9">
        <f>VLOOKUP($A183,地图配置辅助表!$A$3:$AP$245,地图配置辅助表!J$1,FALSE)</f>
        <v>300</v>
      </c>
      <c r="Y183" s="9">
        <f>VLOOKUP($A183,地图配置辅助表!$A$3:$AP$245,地图配置辅助表!K$1,FALSE)</f>
        <v>2</v>
      </c>
      <c r="Z183" s="9">
        <f>VLOOKUP($A183,地图配置辅助表!$A$3:$AP$245,地图配置辅助表!L$1,FALSE)</f>
        <v>0</v>
      </c>
      <c r="AA183" s="9">
        <f>VLOOKUP($A183,地图配置辅助表!$A$3:$AP$245,地图配置辅助表!M$1,FALSE)</f>
        <v>1</v>
      </c>
      <c r="AB183">
        <f>VLOOKUP($A183,地图配置辅助表!$A$3:$AP$245,地图配置辅助表!N$1,FALSE)</f>
        <v>1</v>
      </c>
      <c r="AC183" s="9">
        <f>VLOOKUP($A183,地图配置辅助表!$A$3:$AP$245,地图配置辅助表!O$1,FALSE)</f>
        <v>1</v>
      </c>
      <c r="AD183">
        <f>VLOOKUP($A183,地图配置辅助表!$A$3:$AP$245,地图配置辅助表!P$1,FALSE)</f>
        <v>100</v>
      </c>
      <c r="AE183" s="8">
        <f>VLOOKUP($A183,地图配置辅助表!$A$3:$AP$245,地图配置辅助表!Q$1,FALSE)</f>
        <v>0</v>
      </c>
      <c r="AF183" s="8">
        <f>VLOOKUP($A183,地图配置辅助表!$A$3:$AP$245,地图配置辅助表!R$1,FALSE)</f>
        <v>0</v>
      </c>
      <c r="AG183" s="11">
        <f>VLOOKUP($A183,地图配置辅助表!$A$3:$AP$245,地图配置辅助表!S$1,FALSE)</f>
        <v>501603</v>
      </c>
      <c r="AH183" s="11">
        <f>VLOOKUP($A183,地图配置辅助表!$A$3:$AP$245,地图配置辅助表!T$1,FALSE)</f>
        <v>0</v>
      </c>
      <c r="AI183" s="9">
        <f>VLOOKUP($A183,地图配置辅助表!$A$3:$AP$245,地图配置辅助表!U$1,FALSE)</f>
        <v>3</v>
      </c>
      <c r="AJ183" s="9">
        <f>VLOOKUP($A183,地图配置辅助表!$A$3:$AP$245,地图配置辅助表!V$1,FALSE)</f>
        <v>160301</v>
      </c>
      <c r="AK183" s="9">
        <f>VLOOKUP($A183,地图配置辅助表!$A$3:$AP$245,地图配置辅助表!W$1,FALSE)</f>
        <v>160302</v>
      </c>
      <c r="AL183" s="9">
        <f>VLOOKUP($A183,地图配置辅助表!$A$3:$AP$245,地图配置辅助表!X$1,FALSE)</f>
        <v>160303</v>
      </c>
      <c r="AM183" s="9">
        <f>VLOOKUP($A183,地图配置辅助表!$A$3:$AP$245,地图配置辅助表!Y$1,FALSE)</f>
        <v>0</v>
      </c>
      <c r="AN183" s="9">
        <f>VLOOKUP($A183,地图配置辅助表!$A$3:$AP$245,地图配置辅助表!Z$1,FALSE)</f>
        <v>0</v>
      </c>
      <c r="AO183" s="9">
        <f>VLOOKUP($A183,地图配置辅助表!$A$3:$AP$245,地图配置辅助表!AA$1,FALSE)</f>
        <v>0</v>
      </c>
      <c r="AP183" s="9">
        <f>VLOOKUP($A183,地图配置辅助表!$A$3:$AP$245,地图配置辅助表!AB$1,FALSE)</f>
        <v>0</v>
      </c>
      <c r="AQ183" s="9">
        <f>VLOOKUP($A183,地图配置辅助表!$A$3:$AP$245,地图配置辅助表!AC$1,FALSE)</f>
        <v>0</v>
      </c>
      <c r="AR183" s="9">
        <f>VLOOKUP($A183,地图配置辅助表!$A$3:$AP$245,地图配置辅助表!AD$1,FALSE)</f>
        <v>0</v>
      </c>
      <c r="AS183" s="9">
        <f>VLOOKUP($A183,地图配置辅助表!$A$3:$AP$245,地图配置辅助表!AE$1,FALSE)</f>
        <v>0</v>
      </c>
      <c r="AT183" s="9">
        <f>VLOOKUP($A183,地图配置辅助表!$A$3:$AP$245,地图配置辅助表!AF$1,FALSE)</f>
        <v>0</v>
      </c>
      <c r="AU183" s="9">
        <f>VLOOKUP($A183,地图配置辅助表!$A$3:$AP$245,地图配置辅助表!AG$1,FALSE)</f>
        <v>0</v>
      </c>
      <c r="AV183" s="9">
        <f>VLOOKUP($A183,地图配置辅助表!$A$3:$AP$245,地图配置辅助表!AH$1,FALSE)</f>
        <v>0</v>
      </c>
      <c r="AW183" s="9">
        <f>VLOOKUP($A183,地图配置辅助表!$A$3:$AP$245,地图配置辅助表!AI$1,FALSE)</f>
        <v>0</v>
      </c>
      <c r="AX183" s="9">
        <f>VLOOKUP($A183,地图配置辅助表!$A$3:$AP$245,地图配置辅助表!AJ$1,FALSE)</f>
        <v>0</v>
      </c>
      <c r="AY183" s="9">
        <f>VLOOKUP($A183,地图配置辅助表!$A$3:$AP$245,地图配置辅助表!AK$1,FALSE)</f>
        <v>0</v>
      </c>
      <c r="AZ183" s="9">
        <f>VLOOKUP($A183,地图配置辅助表!$A$3:$AP$245,地图配置辅助表!AL$1,FALSE)</f>
        <v>0</v>
      </c>
      <c r="BA183" s="9">
        <f>VLOOKUP($A183,地图配置辅助表!$A$3:$AP$245,地图配置辅助表!AM$1,FALSE)</f>
        <v>0</v>
      </c>
      <c r="BB183" s="9">
        <f>VLOOKUP($A183,地图配置辅助表!$A$3:$AP$245,地图配置辅助表!AN$1,FALSE)</f>
        <v>0</v>
      </c>
      <c r="BC183" s="9">
        <f>VLOOKUP($A183,地图配置辅助表!$A$3:$AP$245,地图配置辅助表!AO$1,FALSE)</f>
        <v>0</v>
      </c>
      <c r="BD183" s="9">
        <f>VLOOKUP($A183,地图配置辅助表!$A$3:$AP$245,地图配置辅助表!AP$1,FALSE)</f>
        <v>0</v>
      </c>
    </row>
    <row r="184" spans="1:56" s="9" customFormat="1" x14ac:dyDescent="0.15">
      <c r="A184">
        <f>地图配置辅助表!A185</f>
        <v>2401</v>
      </c>
      <c r="B184" s="8">
        <f>地图配置辅助表!B185</f>
        <v>4</v>
      </c>
      <c r="C184" s="9">
        <f>地图配置辅助表!C185</f>
        <v>1</v>
      </c>
      <c r="D184" s="9" t="str">
        <f>地图配置辅助表!D185</f>
        <v>竞技场1</v>
      </c>
      <c r="E184" s="9" t="s">
        <v>404</v>
      </c>
      <c r="F184" s="9" t="s">
        <v>4</v>
      </c>
      <c r="G184" s="9">
        <v>29</v>
      </c>
      <c r="H184" s="9">
        <v>140</v>
      </c>
      <c r="I184" s="9">
        <v>140</v>
      </c>
      <c r="J184" s="9">
        <v>1560</v>
      </c>
      <c r="K184" s="9">
        <v>140</v>
      </c>
      <c r="L184" s="9" t="s">
        <v>236</v>
      </c>
      <c r="M184" s="9">
        <v>0</v>
      </c>
      <c r="R184" s="9" t="s">
        <v>251</v>
      </c>
      <c r="S184" s="11">
        <f>VLOOKUP($A184,地图配置辅助表!$A$3:$AP$245,地图配置辅助表!E$1,FALSE)</f>
        <v>14</v>
      </c>
      <c r="T184" s="9">
        <f>VLOOKUP($A184,地图配置辅助表!$A$3:$AP$245,地图配置辅助表!F$1,FALSE)</f>
        <v>0</v>
      </c>
      <c r="U184" s="9">
        <f>VLOOKUP($A184,地图配置辅助表!$A$3:$AP$245,地图配置辅助表!G$1,FALSE)</f>
        <v>2</v>
      </c>
      <c r="V184" s="9">
        <f>VLOOKUP($A184,地图配置辅助表!$A$3:$AP$245,地图配置辅助表!H$1,FALSE)</f>
        <v>2</v>
      </c>
      <c r="W184" s="9">
        <f>VLOOKUP($A184,地图配置辅助表!$A$3:$AP$245,地图配置辅助表!I$1,FALSE)</f>
        <v>5</v>
      </c>
      <c r="X184" s="9">
        <f>VLOOKUP($A184,地图配置辅助表!$A$3:$AP$245,地图配置辅助表!J$1,FALSE)</f>
        <v>300</v>
      </c>
      <c r="Y184" s="9">
        <f>VLOOKUP($A184,地图配置辅助表!$A$3:$AP$245,地图配置辅助表!K$1,FALSE)</f>
        <v>0</v>
      </c>
      <c r="Z184" s="9">
        <f>VLOOKUP($A184,地图配置辅助表!$A$3:$AP$245,地图配置辅助表!L$1,FALSE)</f>
        <v>0</v>
      </c>
      <c r="AA184" s="9">
        <f>VLOOKUP($A184,地图配置辅助表!$A$3:$AP$245,地图配置辅助表!M$1,FALSE)</f>
        <v>1</v>
      </c>
      <c r="AB184">
        <f>VLOOKUP($A184,地图配置辅助表!$A$3:$AP$245,地图配置辅助表!N$1,FALSE)</f>
        <v>1</v>
      </c>
      <c r="AC184" s="9">
        <f>VLOOKUP($A184,地图配置辅助表!$A$3:$AP$245,地图配置辅助表!O$1,FALSE)</f>
        <v>1</v>
      </c>
      <c r="AD184">
        <f>VLOOKUP($A184,地图配置辅助表!$A$3:$AP$245,地图配置辅助表!P$1,FALSE)</f>
        <v>20</v>
      </c>
      <c r="AE184" s="8">
        <f>VLOOKUP($A184,地图配置辅助表!$A$3:$AP$245,地图配置辅助表!Q$1,FALSE)</f>
        <v>0</v>
      </c>
      <c r="AF184" s="8">
        <f>VLOOKUP($A184,地图配置辅助表!$A$3:$AP$245,地图配置辅助表!R$1,FALSE)</f>
        <v>0</v>
      </c>
      <c r="AG184" s="11">
        <f>VLOOKUP($A184,地图配置辅助表!$A$3:$AP$245,地图配置辅助表!S$1,FALSE)</f>
        <v>502401</v>
      </c>
      <c r="AH184" s="11">
        <f>VLOOKUP($A184,地图配置辅助表!$A$3:$AP$245,地图配置辅助表!T$1,FALSE)</f>
        <v>0</v>
      </c>
      <c r="AI184" s="9">
        <f>VLOOKUP($A184,地图配置辅助表!$A$3:$AP$245,地图配置辅助表!U$1,FALSE)</f>
        <v>0</v>
      </c>
      <c r="AJ184" s="9">
        <f>VLOOKUP($A184,地图配置辅助表!$A$3:$AP$245,地图配置辅助表!V$1,FALSE)</f>
        <v>0</v>
      </c>
      <c r="AK184" s="9">
        <f>VLOOKUP($A184,地图配置辅助表!$A$3:$AP$245,地图配置辅助表!W$1,FALSE)</f>
        <v>0</v>
      </c>
      <c r="AL184" s="9">
        <f>VLOOKUP($A184,地图配置辅助表!$A$3:$AP$245,地图配置辅助表!X$1,FALSE)</f>
        <v>0</v>
      </c>
      <c r="AM184" s="9">
        <f>VLOOKUP($A184,地图配置辅助表!$A$3:$AP$245,地图配置辅助表!Y$1,FALSE)</f>
        <v>0</v>
      </c>
      <c r="AN184" s="9">
        <f>VLOOKUP($A184,地图配置辅助表!$A$3:$AP$245,地图配置辅助表!Z$1,FALSE)</f>
        <v>0</v>
      </c>
      <c r="AO184" s="9">
        <f>VLOOKUP($A184,地图配置辅助表!$A$3:$AP$245,地图配置辅助表!AA$1,FALSE)</f>
        <v>0</v>
      </c>
      <c r="AP184" s="9">
        <f>VLOOKUP($A184,地图配置辅助表!$A$3:$AP$245,地图配置辅助表!AB$1,FALSE)</f>
        <v>0</v>
      </c>
      <c r="AQ184" s="9">
        <f>VLOOKUP($A184,地图配置辅助表!$A$3:$AP$245,地图配置辅助表!AC$1,FALSE)</f>
        <v>0</v>
      </c>
      <c r="AR184" s="9">
        <f>VLOOKUP($A184,地图配置辅助表!$A$3:$AP$245,地图配置辅助表!AD$1,FALSE)</f>
        <v>0</v>
      </c>
      <c r="AS184" s="9">
        <f>VLOOKUP($A184,地图配置辅助表!$A$3:$AP$245,地图配置辅助表!AE$1,FALSE)</f>
        <v>0</v>
      </c>
      <c r="AT184" s="9">
        <f>VLOOKUP($A184,地图配置辅助表!$A$3:$AP$245,地图配置辅助表!AF$1,FALSE)</f>
        <v>0</v>
      </c>
      <c r="AU184" s="9">
        <f>VLOOKUP($A184,地图配置辅助表!$A$3:$AP$245,地图配置辅助表!AG$1,FALSE)</f>
        <v>0</v>
      </c>
      <c r="AV184" s="9">
        <f>VLOOKUP($A184,地图配置辅助表!$A$3:$AP$245,地图配置辅助表!AH$1,FALSE)</f>
        <v>0</v>
      </c>
      <c r="AW184" s="9">
        <f>VLOOKUP($A184,地图配置辅助表!$A$3:$AP$245,地图配置辅助表!AI$1,FALSE)</f>
        <v>0</v>
      </c>
      <c r="AX184" s="9">
        <f>VLOOKUP($A184,地图配置辅助表!$A$3:$AP$245,地图配置辅助表!AJ$1,FALSE)</f>
        <v>0</v>
      </c>
      <c r="AY184" s="9">
        <f>VLOOKUP($A184,地图配置辅助表!$A$3:$AP$245,地图配置辅助表!AK$1,FALSE)</f>
        <v>0</v>
      </c>
      <c r="AZ184" s="9">
        <f>VLOOKUP($A184,地图配置辅助表!$A$3:$AP$245,地图配置辅助表!AL$1,FALSE)</f>
        <v>0</v>
      </c>
      <c r="BA184" s="9">
        <f>VLOOKUP($A184,地图配置辅助表!$A$3:$AP$245,地图配置辅助表!AM$1,FALSE)</f>
        <v>0</v>
      </c>
      <c r="BB184" s="9">
        <f>VLOOKUP($A184,地图配置辅助表!$A$3:$AP$245,地图配置辅助表!AN$1,FALSE)</f>
        <v>0</v>
      </c>
      <c r="BC184" s="9">
        <f>VLOOKUP($A184,地图配置辅助表!$A$3:$AP$245,地图配置辅助表!AO$1,FALSE)</f>
        <v>0</v>
      </c>
      <c r="BD184" s="9">
        <f>VLOOKUP($A184,地图配置辅助表!$A$3:$AP$245,地图配置辅助表!AP$1,FALSE)</f>
        <v>0</v>
      </c>
    </row>
    <row r="185" spans="1:56" s="9" customFormat="1" x14ac:dyDescent="0.15">
      <c r="A185">
        <f>地图配置辅助表!A186</f>
        <v>2402</v>
      </c>
      <c r="B185" s="8">
        <f>地图配置辅助表!B186</f>
        <v>4</v>
      </c>
      <c r="C185" s="9">
        <f>地图配置辅助表!C186</f>
        <v>1</v>
      </c>
      <c r="D185" s="9" t="str">
        <f>地图配置辅助表!D186</f>
        <v>竞技场2</v>
      </c>
      <c r="E185" s="9" t="s">
        <v>405</v>
      </c>
      <c r="F185" s="9" t="s">
        <v>5</v>
      </c>
      <c r="G185" s="9">
        <v>29</v>
      </c>
      <c r="H185" s="9">
        <v>140</v>
      </c>
      <c r="I185" s="9">
        <v>140</v>
      </c>
      <c r="J185" s="9">
        <v>1560</v>
      </c>
      <c r="K185" s="9">
        <v>140</v>
      </c>
      <c r="L185" s="9" t="s">
        <v>236</v>
      </c>
      <c r="M185" s="9">
        <v>0</v>
      </c>
      <c r="R185" s="9" t="s">
        <v>251</v>
      </c>
      <c r="S185" s="11">
        <f>VLOOKUP($A185,地图配置辅助表!$A$3:$AP$245,地图配置辅助表!E$1,FALSE)</f>
        <v>14</v>
      </c>
      <c r="T185" s="9">
        <f>VLOOKUP($A185,地图配置辅助表!$A$3:$AP$245,地图配置辅助表!F$1,FALSE)</f>
        <v>0</v>
      </c>
      <c r="U185" s="9">
        <f>VLOOKUP($A185,地图配置辅助表!$A$3:$AP$245,地图配置辅助表!G$1,FALSE)</f>
        <v>2</v>
      </c>
      <c r="V185" s="9">
        <f>VLOOKUP($A185,地图配置辅助表!$A$3:$AP$245,地图配置辅助表!H$1,FALSE)</f>
        <v>2</v>
      </c>
      <c r="W185" s="9">
        <f>VLOOKUP($A185,地图配置辅助表!$A$3:$AP$245,地图配置辅助表!I$1,FALSE)</f>
        <v>5</v>
      </c>
      <c r="X185" s="9">
        <f>VLOOKUP($A185,地图配置辅助表!$A$3:$AP$245,地图配置辅助表!J$1,FALSE)</f>
        <v>300</v>
      </c>
      <c r="Y185" s="9">
        <f>VLOOKUP($A185,地图配置辅助表!$A$3:$AP$245,地图配置辅助表!K$1,FALSE)</f>
        <v>0</v>
      </c>
      <c r="Z185" s="9">
        <f>VLOOKUP($A185,地图配置辅助表!$A$3:$AP$245,地图配置辅助表!L$1,FALSE)</f>
        <v>0</v>
      </c>
      <c r="AA185" s="9">
        <f>VLOOKUP($A185,地图配置辅助表!$A$3:$AP$245,地图配置辅助表!M$1,FALSE)</f>
        <v>1</v>
      </c>
      <c r="AB185">
        <f>VLOOKUP($A185,地图配置辅助表!$A$3:$AP$245,地图配置辅助表!N$1,FALSE)</f>
        <v>1</v>
      </c>
      <c r="AC185" s="9">
        <f>VLOOKUP($A185,地图配置辅助表!$A$3:$AP$245,地图配置辅助表!O$1,FALSE)</f>
        <v>1</v>
      </c>
      <c r="AD185">
        <f>VLOOKUP($A185,地图配置辅助表!$A$3:$AP$245,地图配置辅助表!P$1,FALSE)</f>
        <v>20</v>
      </c>
      <c r="AE185" s="8">
        <f>VLOOKUP($A185,地图配置辅助表!$A$3:$AP$245,地图配置辅助表!Q$1,FALSE)</f>
        <v>0</v>
      </c>
      <c r="AF185" s="8">
        <f>VLOOKUP($A185,地图配置辅助表!$A$3:$AP$245,地图配置辅助表!R$1,FALSE)</f>
        <v>0</v>
      </c>
      <c r="AG185" s="11">
        <f>VLOOKUP($A185,地图配置辅助表!$A$3:$AP$245,地图配置辅助表!S$1,FALSE)</f>
        <v>502402</v>
      </c>
      <c r="AH185" s="11">
        <f>VLOOKUP($A185,地图配置辅助表!$A$3:$AP$245,地图配置辅助表!T$1,FALSE)</f>
        <v>0</v>
      </c>
      <c r="AI185" s="9">
        <f>VLOOKUP($A185,地图配置辅助表!$A$3:$AP$245,地图配置辅助表!U$1,FALSE)</f>
        <v>0</v>
      </c>
      <c r="AJ185" s="9">
        <f>VLOOKUP($A185,地图配置辅助表!$A$3:$AP$245,地图配置辅助表!V$1,FALSE)</f>
        <v>0</v>
      </c>
      <c r="AK185" s="9">
        <f>VLOOKUP($A185,地图配置辅助表!$A$3:$AP$245,地图配置辅助表!W$1,FALSE)</f>
        <v>0</v>
      </c>
      <c r="AL185" s="9">
        <f>VLOOKUP($A185,地图配置辅助表!$A$3:$AP$245,地图配置辅助表!X$1,FALSE)</f>
        <v>0</v>
      </c>
      <c r="AM185" s="9">
        <f>VLOOKUP($A185,地图配置辅助表!$A$3:$AP$245,地图配置辅助表!Y$1,FALSE)</f>
        <v>0</v>
      </c>
      <c r="AN185" s="9">
        <f>VLOOKUP($A185,地图配置辅助表!$A$3:$AP$245,地图配置辅助表!Z$1,FALSE)</f>
        <v>0</v>
      </c>
      <c r="AO185" s="9">
        <f>VLOOKUP($A185,地图配置辅助表!$A$3:$AP$245,地图配置辅助表!AA$1,FALSE)</f>
        <v>0</v>
      </c>
      <c r="AP185" s="9">
        <f>VLOOKUP($A185,地图配置辅助表!$A$3:$AP$245,地图配置辅助表!AB$1,FALSE)</f>
        <v>0</v>
      </c>
      <c r="AQ185" s="9">
        <f>VLOOKUP($A185,地图配置辅助表!$A$3:$AP$245,地图配置辅助表!AC$1,FALSE)</f>
        <v>0</v>
      </c>
      <c r="AR185" s="9">
        <f>VLOOKUP($A185,地图配置辅助表!$A$3:$AP$245,地图配置辅助表!AD$1,FALSE)</f>
        <v>0</v>
      </c>
      <c r="AS185" s="9">
        <f>VLOOKUP($A185,地图配置辅助表!$A$3:$AP$245,地图配置辅助表!AE$1,FALSE)</f>
        <v>0</v>
      </c>
      <c r="AT185" s="9">
        <f>VLOOKUP($A185,地图配置辅助表!$A$3:$AP$245,地图配置辅助表!AF$1,FALSE)</f>
        <v>0</v>
      </c>
      <c r="AU185" s="9">
        <f>VLOOKUP($A185,地图配置辅助表!$A$3:$AP$245,地图配置辅助表!AG$1,FALSE)</f>
        <v>0</v>
      </c>
      <c r="AV185" s="9">
        <f>VLOOKUP($A185,地图配置辅助表!$A$3:$AP$245,地图配置辅助表!AH$1,FALSE)</f>
        <v>0</v>
      </c>
      <c r="AW185" s="9">
        <f>VLOOKUP($A185,地图配置辅助表!$A$3:$AP$245,地图配置辅助表!AI$1,FALSE)</f>
        <v>0</v>
      </c>
      <c r="AX185" s="9">
        <f>VLOOKUP($A185,地图配置辅助表!$A$3:$AP$245,地图配置辅助表!AJ$1,FALSE)</f>
        <v>0</v>
      </c>
      <c r="AY185" s="9">
        <f>VLOOKUP($A185,地图配置辅助表!$A$3:$AP$245,地图配置辅助表!AK$1,FALSE)</f>
        <v>0</v>
      </c>
      <c r="AZ185" s="9">
        <f>VLOOKUP($A185,地图配置辅助表!$A$3:$AP$245,地图配置辅助表!AL$1,FALSE)</f>
        <v>0</v>
      </c>
      <c r="BA185" s="9">
        <f>VLOOKUP($A185,地图配置辅助表!$A$3:$AP$245,地图配置辅助表!AM$1,FALSE)</f>
        <v>0</v>
      </c>
      <c r="BB185" s="9">
        <f>VLOOKUP($A185,地图配置辅助表!$A$3:$AP$245,地图配置辅助表!AN$1,FALSE)</f>
        <v>0</v>
      </c>
      <c r="BC185" s="9">
        <f>VLOOKUP($A185,地图配置辅助表!$A$3:$AP$245,地图配置辅助表!AO$1,FALSE)</f>
        <v>0</v>
      </c>
      <c r="BD185" s="9">
        <f>VLOOKUP($A185,地图配置辅助表!$A$3:$AP$245,地图配置辅助表!AP$1,FALSE)</f>
        <v>0</v>
      </c>
    </row>
    <row r="186" spans="1:56" s="9" customFormat="1" x14ac:dyDescent="0.15">
      <c r="A186">
        <f>地图配置辅助表!A187</f>
        <v>2403</v>
      </c>
      <c r="B186" s="8">
        <f>地图配置辅助表!B187</f>
        <v>4</v>
      </c>
      <c r="C186" s="9">
        <f>地图配置辅助表!C187</f>
        <v>1</v>
      </c>
      <c r="D186" s="9" t="str">
        <f>地图配置辅助表!D187</f>
        <v>竞技场3</v>
      </c>
      <c r="E186" s="9" t="s">
        <v>405</v>
      </c>
      <c r="F186" s="9" t="s">
        <v>6</v>
      </c>
      <c r="G186" s="9">
        <v>29</v>
      </c>
      <c r="H186" s="9">
        <v>140</v>
      </c>
      <c r="I186" s="9">
        <v>140</v>
      </c>
      <c r="J186" s="9">
        <v>1560</v>
      </c>
      <c r="K186" s="9">
        <v>140</v>
      </c>
      <c r="L186" s="9" t="s">
        <v>236</v>
      </c>
      <c r="M186" s="9">
        <v>0</v>
      </c>
      <c r="R186" s="9" t="s">
        <v>251</v>
      </c>
      <c r="S186" s="11">
        <f>VLOOKUP($A186,地图配置辅助表!$A$3:$AP$245,地图配置辅助表!E$1,FALSE)</f>
        <v>14</v>
      </c>
      <c r="T186" s="9">
        <f>VLOOKUP($A186,地图配置辅助表!$A$3:$AP$245,地图配置辅助表!F$1,FALSE)</f>
        <v>0</v>
      </c>
      <c r="U186" s="9">
        <f>VLOOKUP($A186,地图配置辅助表!$A$3:$AP$245,地图配置辅助表!G$1,FALSE)</f>
        <v>2</v>
      </c>
      <c r="V186" s="9">
        <f>VLOOKUP($A186,地图配置辅助表!$A$3:$AP$245,地图配置辅助表!H$1,FALSE)</f>
        <v>2</v>
      </c>
      <c r="W186" s="9">
        <f>VLOOKUP($A186,地图配置辅助表!$A$3:$AP$245,地图配置辅助表!I$1,FALSE)</f>
        <v>5</v>
      </c>
      <c r="X186" s="9">
        <f>VLOOKUP($A186,地图配置辅助表!$A$3:$AP$245,地图配置辅助表!J$1,FALSE)</f>
        <v>300</v>
      </c>
      <c r="Y186" s="9">
        <f>VLOOKUP($A186,地图配置辅助表!$A$3:$AP$245,地图配置辅助表!K$1,FALSE)</f>
        <v>0</v>
      </c>
      <c r="Z186" s="9">
        <f>VLOOKUP($A186,地图配置辅助表!$A$3:$AP$245,地图配置辅助表!L$1,FALSE)</f>
        <v>0</v>
      </c>
      <c r="AA186" s="9">
        <f>VLOOKUP($A186,地图配置辅助表!$A$3:$AP$245,地图配置辅助表!M$1,FALSE)</f>
        <v>1</v>
      </c>
      <c r="AB186">
        <f>VLOOKUP($A186,地图配置辅助表!$A$3:$AP$245,地图配置辅助表!N$1,FALSE)</f>
        <v>1</v>
      </c>
      <c r="AC186" s="9">
        <f>VLOOKUP($A186,地图配置辅助表!$A$3:$AP$245,地图配置辅助表!O$1,FALSE)</f>
        <v>1</v>
      </c>
      <c r="AD186">
        <f>VLOOKUP($A186,地图配置辅助表!$A$3:$AP$245,地图配置辅助表!P$1,FALSE)</f>
        <v>20</v>
      </c>
      <c r="AE186" s="8">
        <f>VLOOKUP($A186,地图配置辅助表!$A$3:$AP$245,地图配置辅助表!Q$1,FALSE)</f>
        <v>0</v>
      </c>
      <c r="AF186" s="8">
        <f>VLOOKUP($A186,地图配置辅助表!$A$3:$AP$245,地图配置辅助表!R$1,FALSE)</f>
        <v>0</v>
      </c>
      <c r="AG186" s="11">
        <f>VLOOKUP($A186,地图配置辅助表!$A$3:$AP$245,地图配置辅助表!S$1,FALSE)</f>
        <v>502403</v>
      </c>
      <c r="AH186" s="11">
        <f>VLOOKUP($A186,地图配置辅助表!$A$3:$AP$245,地图配置辅助表!T$1,FALSE)</f>
        <v>0</v>
      </c>
      <c r="AI186" s="9">
        <f>VLOOKUP($A186,地图配置辅助表!$A$3:$AP$245,地图配置辅助表!U$1,FALSE)</f>
        <v>0</v>
      </c>
      <c r="AJ186" s="9">
        <f>VLOOKUP($A186,地图配置辅助表!$A$3:$AP$245,地图配置辅助表!V$1,FALSE)</f>
        <v>0</v>
      </c>
      <c r="AK186" s="9">
        <f>VLOOKUP($A186,地图配置辅助表!$A$3:$AP$245,地图配置辅助表!W$1,FALSE)</f>
        <v>0</v>
      </c>
      <c r="AL186" s="9">
        <f>VLOOKUP($A186,地图配置辅助表!$A$3:$AP$245,地图配置辅助表!X$1,FALSE)</f>
        <v>0</v>
      </c>
      <c r="AM186" s="9">
        <f>VLOOKUP($A186,地图配置辅助表!$A$3:$AP$245,地图配置辅助表!Y$1,FALSE)</f>
        <v>0</v>
      </c>
      <c r="AN186" s="9">
        <f>VLOOKUP($A186,地图配置辅助表!$A$3:$AP$245,地图配置辅助表!Z$1,FALSE)</f>
        <v>0</v>
      </c>
      <c r="AO186" s="9">
        <f>VLOOKUP($A186,地图配置辅助表!$A$3:$AP$245,地图配置辅助表!AA$1,FALSE)</f>
        <v>0</v>
      </c>
      <c r="AP186" s="9">
        <f>VLOOKUP($A186,地图配置辅助表!$A$3:$AP$245,地图配置辅助表!AB$1,FALSE)</f>
        <v>0</v>
      </c>
      <c r="AQ186" s="9">
        <f>VLOOKUP($A186,地图配置辅助表!$A$3:$AP$245,地图配置辅助表!AC$1,FALSE)</f>
        <v>0</v>
      </c>
      <c r="AR186" s="9">
        <f>VLOOKUP($A186,地图配置辅助表!$A$3:$AP$245,地图配置辅助表!AD$1,FALSE)</f>
        <v>0</v>
      </c>
      <c r="AS186" s="9">
        <f>VLOOKUP($A186,地图配置辅助表!$A$3:$AP$245,地图配置辅助表!AE$1,FALSE)</f>
        <v>0</v>
      </c>
      <c r="AT186" s="9">
        <f>VLOOKUP($A186,地图配置辅助表!$A$3:$AP$245,地图配置辅助表!AF$1,FALSE)</f>
        <v>0</v>
      </c>
      <c r="AU186" s="9">
        <f>VLOOKUP($A186,地图配置辅助表!$A$3:$AP$245,地图配置辅助表!AG$1,FALSE)</f>
        <v>0</v>
      </c>
      <c r="AV186" s="9">
        <f>VLOOKUP($A186,地图配置辅助表!$A$3:$AP$245,地图配置辅助表!AH$1,FALSE)</f>
        <v>0</v>
      </c>
      <c r="AW186" s="9">
        <f>VLOOKUP($A186,地图配置辅助表!$A$3:$AP$245,地图配置辅助表!AI$1,FALSE)</f>
        <v>0</v>
      </c>
      <c r="AX186" s="9">
        <f>VLOOKUP($A186,地图配置辅助表!$A$3:$AP$245,地图配置辅助表!AJ$1,FALSE)</f>
        <v>0</v>
      </c>
      <c r="AY186" s="9">
        <f>VLOOKUP($A186,地图配置辅助表!$A$3:$AP$245,地图配置辅助表!AK$1,FALSE)</f>
        <v>0</v>
      </c>
      <c r="AZ186" s="9">
        <f>VLOOKUP($A186,地图配置辅助表!$A$3:$AP$245,地图配置辅助表!AL$1,FALSE)</f>
        <v>0</v>
      </c>
      <c r="BA186" s="9">
        <f>VLOOKUP($A186,地图配置辅助表!$A$3:$AP$245,地图配置辅助表!AM$1,FALSE)</f>
        <v>0</v>
      </c>
      <c r="BB186" s="9">
        <f>VLOOKUP($A186,地图配置辅助表!$A$3:$AP$245,地图配置辅助表!AN$1,FALSE)</f>
        <v>0</v>
      </c>
      <c r="BC186" s="9">
        <f>VLOOKUP($A186,地图配置辅助表!$A$3:$AP$245,地图配置辅助表!AO$1,FALSE)</f>
        <v>0</v>
      </c>
      <c r="BD186" s="9">
        <f>VLOOKUP($A186,地图配置辅助表!$A$3:$AP$245,地图配置辅助表!AP$1,FALSE)</f>
        <v>0</v>
      </c>
    </row>
    <row r="187" spans="1:56" s="9" customFormat="1" x14ac:dyDescent="0.15">
      <c r="A187">
        <f>地图配置辅助表!A188</f>
        <v>999</v>
      </c>
      <c r="B187" s="8">
        <f>地图配置辅助表!B188</f>
        <v>1</v>
      </c>
      <c r="C187" s="9">
        <f>地图配置辅助表!C188</f>
        <v>9</v>
      </c>
      <c r="D187" s="9" t="str">
        <f>地图配置辅助表!D188</f>
        <v>打豆豆</v>
      </c>
      <c r="E187" s="9" t="s">
        <v>406</v>
      </c>
      <c r="F187" s="9" t="s">
        <v>0</v>
      </c>
      <c r="G187" s="9">
        <v>29</v>
      </c>
      <c r="H187" s="9">
        <v>400</v>
      </c>
      <c r="I187" s="9">
        <v>130</v>
      </c>
      <c r="J187" s="9">
        <v>400</v>
      </c>
      <c r="K187" s="9">
        <v>130</v>
      </c>
      <c r="L187" s="9" t="s">
        <v>237</v>
      </c>
      <c r="M187" s="9">
        <v>120</v>
      </c>
      <c r="R187" s="9" t="s">
        <v>249</v>
      </c>
      <c r="S187" s="11">
        <f>VLOOKUP($A187,地图配置辅助表!$A$3:$AP$245,地图配置辅助表!E$1,FALSE)</f>
        <v>11</v>
      </c>
      <c r="T187" s="9">
        <f>VLOOKUP($A187,地图配置辅助表!$A$3:$AP$245,地图配置辅助表!F$1,FALSE)</f>
        <v>0</v>
      </c>
      <c r="U187" s="9">
        <f>VLOOKUP($A187,地图配置辅助表!$A$3:$AP$245,地图配置辅助表!G$1,FALSE)</f>
        <v>1</v>
      </c>
      <c r="V187" s="9">
        <f>VLOOKUP($A187,地图配置辅助表!$A$3:$AP$245,地图配置辅助表!H$1,FALSE)</f>
        <v>1</v>
      </c>
      <c r="W187" s="9">
        <f>VLOOKUP($A187,地图配置辅助表!$A$3:$AP$245,地图配置辅助表!I$1,FALSE)</f>
        <v>0</v>
      </c>
      <c r="X187" s="9">
        <f>VLOOKUP($A187,地图配置辅助表!$A$3:$AP$245,地图配置辅助表!J$1,FALSE)</f>
        <v>0</v>
      </c>
      <c r="Y187" s="9">
        <f>VLOOKUP($A187,地图配置辅助表!$A$3:$AP$245,地图配置辅助表!K$1,FALSE)</f>
        <v>0</v>
      </c>
      <c r="Z187" s="9">
        <f>VLOOKUP($A187,地图配置辅助表!$A$3:$AP$245,地图配置辅助表!L$1,FALSE)</f>
        <v>0</v>
      </c>
      <c r="AA187" s="9">
        <f>VLOOKUP($A187,地图配置辅助表!$A$3:$AP$245,地图配置辅助表!M$1,FALSE)</f>
        <v>0</v>
      </c>
      <c r="AB187">
        <f>VLOOKUP($A187,地图配置辅助表!$A$3:$AP$245,地图配置辅助表!N$1,FALSE)</f>
        <v>1</v>
      </c>
      <c r="AC187" s="9">
        <f>VLOOKUP($A187,地图配置辅助表!$A$3:$AP$245,地图配置辅助表!O$1,FALSE)</f>
        <v>0</v>
      </c>
      <c r="AD187">
        <f>VLOOKUP($A187,地图配置辅助表!$A$3:$AP$245,地图配置辅助表!P$1,FALSE)</f>
        <v>0</v>
      </c>
      <c r="AE187" s="8">
        <f>VLOOKUP($A187,地图配置辅助表!$A$3:$AP$245,地图配置辅助表!Q$1,FALSE)</f>
        <v>0</v>
      </c>
      <c r="AF187" s="8">
        <f>VLOOKUP($A187,地图配置辅助表!$A$3:$AP$245,地图配置辅助表!R$1,FALSE)</f>
        <v>0</v>
      </c>
      <c r="AG187" s="11">
        <f>VLOOKUP($A187,地图配置辅助表!$A$3:$AP$245,地图配置辅助表!S$1,FALSE)</f>
        <v>500999</v>
      </c>
      <c r="AH187" s="11">
        <f>VLOOKUP($A187,地图配置辅助表!$A$3:$AP$245,地图配置辅助表!T$1,FALSE)</f>
        <v>0</v>
      </c>
      <c r="AI187" s="9">
        <f>VLOOKUP($A187,地图配置辅助表!$A$3:$AP$245,地图配置辅助表!U$1,FALSE)</f>
        <v>0</v>
      </c>
      <c r="AJ187" s="9">
        <f>VLOOKUP($A187,地图配置辅助表!$A$3:$AP$245,地图配置辅助表!V$1,FALSE)</f>
        <v>0</v>
      </c>
      <c r="AK187" s="9">
        <f>VLOOKUP($A187,地图配置辅助表!$A$3:$AP$245,地图配置辅助表!W$1,FALSE)</f>
        <v>0</v>
      </c>
      <c r="AL187" s="9">
        <f>VLOOKUP($A187,地图配置辅助表!$A$3:$AP$245,地图配置辅助表!X$1,FALSE)</f>
        <v>0</v>
      </c>
      <c r="AM187" s="9">
        <f>VLOOKUP($A187,地图配置辅助表!$A$3:$AP$245,地图配置辅助表!Y$1,FALSE)</f>
        <v>0</v>
      </c>
      <c r="AN187" s="9">
        <f>VLOOKUP($A187,地图配置辅助表!$A$3:$AP$245,地图配置辅助表!Z$1,FALSE)</f>
        <v>0</v>
      </c>
      <c r="AO187" s="9">
        <f>VLOOKUP($A187,地图配置辅助表!$A$3:$AP$245,地图配置辅助表!AA$1,FALSE)</f>
        <v>0</v>
      </c>
      <c r="AP187" s="9">
        <f>VLOOKUP($A187,地图配置辅助表!$A$3:$AP$245,地图配置辅助表!AB$1,FALSE)</f>
        <v>0</v>
      </c>
      <c r="AQ187" s="9">
        <f>VLOOKUP($A187,地图配置辅助表!$A$3:$AP$245,地图配置辅助表!AC$1,FALSE)</f>
        <v>0</v>
      </c>
      <c r="AR187" s="9">
        <f>VLOOKUP($A187,地图配置辅助表!$A$3:$AP$245,地图配置辅助表!AD$1,FALSE)</f>
        <v>0</v>
      </c>
      <c r="AS187" s="9">
        <f>VLOOKUP($A187,地图配置辅助表!$A$3:$AP$245,地图配置辅助表!AE$1,FALSE)</f>
        <v>0</v>
      </c>
      <c r="AT187" s="9">
        <f>VLOOKUP($A187,地图配置辅助表!$A$3:$AP$245,地图配置辅助表!AF$1,FALSE)</f>
        <v>1</v>
      </c>
      <c r="AU187" s="9">
        <f>VLOOKUP($A187,地图配置辅助表!$A$3:$AP$245,地图配置辅助表!AG$1,FALSE)</f>
        <v>185</v>
      </c>
      <c r="AV187" s="9">
        <f>VLOOKUP($A187,地图配置辅助表!$A$3:$AP$245,地图配置辅助表!AH$1,FALSE)</f>
        <v>0</v>
      </c>
      <c r="AW187" s="9">
        <f>VLOOKUP($A187,地图配置辅助表!$A$3:$AP$245,地图配置辅助表!AI$1,FALSE)</f>
        <v>0</v>
      </c>
      <c r="AX187" s="9">
        <f>VLOOKUP($A187,地图配置辅助表!$A$3:$AP$245,地图配置辅助表!AJ$1,FALSE)</f>
        <v>0</v>
      </c>
      <c r="AY187" s="9">
        <f>VLOOKUP($A187,地图配置辅助表!$A$3:$AP$245,地图配置辅助表!AK$1,FALSE)</f>
        <v>0</v>
      </c>
      <c r="AZ187" s="9">
        <f>VLOOKUP($A187,地图配置辅助表!$A$3:$AP$245,地图配置辅助表!AL$1,FALSE)</f>
        <v>0</v>
      </c>
      <c r="BA187" s="9">
        <f>VLOOKUP($A187,地图配置辅助表!$A$3:$AP$245,地图配置辅助表!AM$1,FALSE)</f>
        <v>0</v>
      </c>
      <c r="BB187" s="9">
        <f>VLOOKUP($A187,地图配置辅助表!$A$3:$AP$245,地图配置辅助表!AN$1,FALSE)</f>
        <v>0</v>
      </c>
      <c r="BC187" s="9">
        <f>VLOOKUP($A187,地图配置辅助表!$A$3:$AP$245,地图配置辅助表!AO$1,FALSE)</f>
        <v>0</v>
      </c>
      <c r="BD187" s="9">
        <f>VLOOKUP($A187,地图配置辅助表!$A$3:$AP$245,地图配置辅助表!AP$1,FALSE)</f>
        <v>0</v>
      </c>
    </row>
    <row r="188" spans="1:56" s="9" customFormat="1" x14ac:dyDescent="0.15">
      <c r="A188">
        <f>地图配置辅助表!A189</f>
        <v>1901</v>
      </c>
      <c r="B188" s="8">
        <f>地图配置辅助表!B189</f>
        <v>6</v>
      </c>
      <c r="C188" s="9">
        <f>地图配置辅助表!C189</f>
        <v>1</v>
      </c>
      <c r="D188" s="9" t="str">
        <f>地图配置辅助表!D189</f>
        <v>英雄之路1</v>
      </c>
      <c r="E188" s="9" t="s">
        <v>411</v>
      </c>
      <c r="F188" s="9" t="s">
        <v>8</v>
      </c>
      <c r="G188" s="9">
        <v>29</v>
      </c>
      <c r="H188" s="9">
        <v>1300</v>
      </c>
      <c r="I188" s="9">
        <v>130</v>
      </c>
      <c r="J188" s="9">
        <v>1300</v>
      </c>
      <c r="K188" s="9">
        <v>130</v>
      </c>
      <c r="L188" s="9" t="s">
        <v>238</v>
      </c>
      <c r="M188" s="9">
        <v>180</v>
      </c>
      <c r="R188" s="9" t="s">
        <v>431</v>
      </c>
      <c r="S188" s="11">
        <f>VLOOKUP($A188,地图配置辅助表!$A$3:$AP$245,地图配置辅助表!E$1,FALSE)</f>
        <v>0</v>
      </c>
      <c r="T188" s="9">
        <f>VLOOKUP($A188,地图配置辅助表!$A$3:$AP$245,地图配置辅助表!F$1,FALSE)</f>
        <v>0</v>
      </c>
      <c r="U188" s="9">
        <f>VLOOKUP($A188,地图配置辅助表!$A$3:$AP$245,地图配置辅助表!G$1,FALSE)</f>
        <v>1</v>
      </c>
      <c r="V188" s="9">
        <f>VLOOKUP($A188,地图配置辅助表!$A$3:$AP$245,地图配置辅助表!H$1,FALSE)</f>
        <v>1</v>
      </c>
      <c r="W188" s="9">
        <f>VLOOKUP($A188,地图配置辅助表!$A$3:$AP$245,地图配置辅助表!I$1,FALSE)</f>
        <v>0</v>
      </c>
      <c r="X188" s="9">
        <f>VLOOKUP($A188,地图配置辅助表!$A$3:$AP$245,地图配置辅助表!J$1,FALSE)</f>
        <v>0</v>
      </c>
      <c r="Y188" s="9">
        <f>VLOOKUP($A188,地图配置辅助表!$A$3:$AP$245,地图配置辅助表!K$1,FALSE)</f>
        <v>0</v>
      </c>
      <c r="Z188" s="9">
        <f>VLOOKUP($A188,地图配置辅助表!$A$3:$AP$245,地图配置辅助表!L$1,FALSE)</f>
        <v>0</v>
      </c>
      <c r="AA188" s="9">
        <f>VLOOKUP($A188,地图配置辅助表!$A$3:$AP$245,地图配置辅助表!M$1,FALSE)</f>
        <v>0</v>
      </c>
      <c r="AB188">
        <f>VLOOKUP($A188,地图配置辅助表!$A$3:$AP$245,地图配置辅助表!N$1,FALSE)</f>
        <v>1</v>
      </c>
      <c r="AC188" s="9">
        <f>VLOOKUP($A188,地图配置辅助表!$A$3:$AP$245,地图配置辅助表!O$1,FALSE)</f>
        <v>0</v>
      </c>
      <c r="AD188">
        <f>VLOOKUP($A188,地图配置辅助表!$A$3:$AP$245,地图配置辅助表!P$1,FALSE)</f>
        <v>0</v>
      </c>
      <c r="AE188" s="8">
        <f>VLOOKUP($A188,地图配置辅助表!$A$3:$AP$245,地图配置辅助表!Q$1,FALSE)</f>
        <v>0</v>
      </c>
      <c r="AF188" s="8">
        <f>VLOOKUP($A188,地图配置辅助表!$A$3:$AP$245,地图配置辅助表!R$1,FALSE)</f>
        <v>0</v>
      </c>
      <c r="AG188" s="11">
        <f>VLOOKUP($A188,地图配置辅助表!$A$3:$AP$245,地图配置辅助表!S$1,FALSE)</f>
        <v>501901</v>
      </c>
      <c r="AH188" s="11">
        <f>VLOOKUP($A188,地图配置辅助表!$A$3:$AP$245,地图配置辅助表!T$1,FALSE)</f>
        <v>0</v>
      </c>
      <c r="AI188" s="9">
        <f>VLOOKUP($A188,地图配置辅助表!$A$3:$AP$245,地图配置辅助表!U$1,FALSE)</f>
        <v>0</v>
      </c>
      <c r="AJ188" s="9">
        <f>VLOOKUP($A188,地图配置辅助表!$A$3:$AP$245,地图配置辅助表!V$1,FALSE)</f>
        <v>0</v>
      </c>
      <c r="AK188" s="9">
        <f>VLOOKUP($A188,地图配置辅助表!$A$3:$AP$245,地图配置辅助表!W$1,FALSE)</f>
        <v>0</v>
      </c>
      <c r="AL188" s="9">
        <f>VLOOKUP($A188,地图配置辅助表!$A$3:$AP$245,地图配置辅助表!X$1,FALSE)</f>
        <v>0</v>
      </c>
      <c r="AM188" s="9">
        <f>VLOOKUP($A188,地图配置辅助表!$A$3:$AP$245,地图配置辅助表!Y$1,FALSE)</f>
        <v>0</v>
      </c>
      <c r="AN188" s="9">
        <f>VLOOKUP($A188,地图配置辅助表!$A$3:$AP$245,地图配置辅助表!Z$1,FALSE)</f>
        <v>0</v>
      </c>
      <c r="AO188" s="9">
        <f>VLOOKUP($A188,地图配置辅助表!$A$3:$AP$245,地图配置辅助表!AA$1,FALSE)</f>
        <v>0</v>
      </c>
      <c r="AP188" s="9">
        <f>VLOOKUP($A188,地图配置辅助表!$A$3:$AP$245,地图配置辅助表!AB$1,FALSE)</f>
        <v>0</v>
      </c>
      <c r="AQ188" s="9">
        <f>VLOOKUP($A188,地图配置辅助表!$A$3:$AP$245,地图配置辅助表!AC$1,FALSE)</f>
        <v>0</v>
      </c>
      <c r="AR188" s="9">
        <f>VLOOKUP($A188,地图配置辅助表!$A$3:$AP$245,地图配置辅助表!AD$1,FALSE)</f>
        <v>0</v>
      </c>
      <c r="AS188" s="9">
        <f>VLOOKUP($A188,地图配置辅助表!$A$3:$AP$245,地图配置辅助表!AE$1,FALSE)</f>
        <v>0</v>
      </c>
      <c r="AT188" s="9">
        <f>VLOOKUP($A188,地图配置辅助表!$A$3:$AP$245,地图配置辅助表!AF$1,FALSE)</f>
        <v>10</v>
      </c>
      <c r="AU188" s="9">
        <f>VLOOKUP($A188,地图配置辅助表!$A$3:$AP$245,地图配置辅助表!AG$1,FALSE)</f>
        <v>14</v>
      </c>
      <c r="AV188" s="9">
        <f>VLOOKUP($A188,地图配置辅助表!$A$3:$AP$245,地图配置辅助表!AH$1,FALSE)</f>
        <v>15</v>
      </c>
      <c r="AW188" s="9">
        <f>VLOOKUP($A188,地图配置辅助表!$A$3:$AP$245,地图配置辅助表!AI$1,FALSE)</f>
        <v>16</v>
      </c>
      <c r="AX188" s="9">
        <f>VLOOKUP($A188,地图配置辅助表!$A$3:$AP$245,地图配置辅助表!AJ$1,FALSE)</f>
        <v>17</v>
      </c>
      <c r="AY188" s="9">
        <f>VLOOKUP($A188,地图配置辅助表!$A$3:$AP$245,地图配置辅助表!AK$1,FALSE)</f>
        <v>18</v>
      </c>
      <c r="AZ188" s="9">
        <f>VLOOKUP($A188,地图配置辅助表!$A$3:$AP$245,地图配置辅助表!AL$1,FALSE)</f>
        <v>19</v>
      </c>
      <c r="BA188" s="9">
        <f>VLOOKUP($A188,地图配置辅助表!$A$3:$AP$245,地图配置辅助表!AM$1,FALSE)</f>
        <v>20</v>
      </c>
      <c r="BB188" s="9">
        <f>VLOOKUP($A188,地图配置辅助表!$A$3:$AP$245,地图配置辅助表!AN$1,FALSE)</f>
        <v>21</v>
      </c>
      <c r="BC188" s="9">
        <f>VLOOKUP($A188,地图配置辅助表!$A$3:$AP$245,地图配置辅助表!AO$1,FALSE)</f>
        <v>22</v>
      </c>
      <c r="BD188" s="9">
        <f>VLOOKUP($A188,地图配置辅助表!$A$3:$AP$245,地图配置辅助表!AP$1,FALSE)</f>
        <v>23</v>
      </c>
    </row>
    <row r="189" spans="1:56" s="9" customFormat="1" x14ac:dyDescent="0.15">
      <c r="A189">
        <f>地图配置辅助表!A190</f>
        <v>1902</v>
      </c>
      <c r="B189" s="8">
        <f>地图配置辅助表!B190</f>
        <v>6</v>
      </c>
      <c r="C189" s="9">
        <f>地图配置辅助表!C190</f>
        <v>1</v>
      </c>
      <c r="D189" s="9" t="str">
        <f>地图配置辅助表!D190</f>
        <v>英雄之路2</v>
      </c>
      <c r="E189" s="9" t="s">
        <v>413</v>
      </c>
      <c r="F189" s="9" t="s">
        <v>8</v>
      </c>
      <c r="G189" s="9">
        <v>29</v>
      </c>
      <c r="H189" s="9">
        <v>650</v>
      </c>
      <c r="I189" s="9">
        <v>130</v>
      </c>
      <c r="J189" s="9">
        <v>650</v>
      </c>
      <c r="K189" s="9">
        <v>130</v>
      </c>
      <c r="L189" s="9" t="s">
        <v>239</v>
      </c>
      <c r="M189" s="9">
        <v>0</v>
      </c>
      <c r="R189" s="9" t="s">
        <v>133</v>
      </c>
      <c r="S189" s="11">
        <f>VLOOKUP($A189,地图配置辅助表!$A$3:$AP$245,地图配置辅助表!E$1,FALSE)</f>
        <v>0</v>
      </c>
      <c r="T189" s="9">
        <f>VLOOKUP($A189,地图配置辅助表!$A$3:$AP$245,地图配置辅助表!F$1,FALSE)</f>
        <v>0</v>
      </c>
      <c r="U189" s="9">
        <f>VLOOKUP($A189,地图配置辅助表!$A$3:$AP$245,地图配置辅助表!G$1,FALSE)</f>
        <v>1</v>
      </c>
      <c r="V189" s="9">
        <f>VLOOKUP($A189,地图配置辅助表!$A$3:$AP$245,地图配置辅助表!H$1,FALSE)</f>
        <v>1</v>
      </c>
      <c r="W189" s="9">
        <f>VLOOKUP($A189,地图配置辅助表!$A$3:$AP$245,地图配置辅助表!I$1,FALSE)</f>
        <v>0</v>
      </c>
      <c r="X189" s="9">
        <f>VLOOKUP($A189,地图配置辅助表!$A$3:$AP$245,地图配置辅助表!J$1,FALSE)</f>
        <v>0</v>
      </c>
      <c r="Y189" s="9">
        <f>VLOOKUP($A189,地图配置辅助表!$A$3:$AP$245,地图配置辅助表!K$1,FALSE)</f>
        <v>0</v>
      </c>
      <c r="Z189" s="9">
        <f>VLOOKUP($A189,地图配置辅助表!$A$3:$AP$245,地图配置辅助表!L$1,FALSE)</f>
        <v>0</v>
      </c>
      <c r="AA189" s="9">
        <f>VLOOKUP($A189,地图配置辅助表!$A$3:$AP$245,地图配置辅助表!M$1,FALSE)</f>
        <v>0</v>
      </c>
      <c r="AB189">
        <f>VLOOKUP($A189,地图配置辅助表!$A$3:$AP$245,地图配置辅助表!N$1,FALSE)</f>
        <v>1</v>
      </c>
      <c r="AC189" s="9">
        <f>VLOOKUP($A189,地图配置辅助表!$A$3:$AP$245,地图配置辅助表!O$1,FALSE)</f>
        <v>0</v>
      </c>
      <c r="AD189">
        <f>VLOOKUP($A189,地图配置辅助表!$A$3:$AP$245,地图配置辅助表!P$1,FALSE)</f>
        <v>0</v>
      </c>
      <c r="AE189" s="8">
        <f>VLOOKUP($A189,地图配置辅助表!$A$3:$AP$245,地图配置辅助表!Q$1,FALSE)</f>
        <v>0</v>
      </c>
      <c r="AF189" s="8">
        <f>VLOOKUP($A189,地图配置辅助表!$A$3:$AP$245,地图配置辅助表!R$1,FALSE)</f>
        <v>0</v>
      </c>
      <c r="AG189" s="11">
        <f>VLOOKUP($A189,地图配置辅助表!$A$3:$AP$245,地图配置辅助表!S$1,FALSE)</f>
        <v>501902</v>
      </c>
      <c r="AH189" s="11">
        <f>VLOOKUP($A189,地图配置辅助表!$A$3:$AP$245,地图配置辅助表!T$1,FALSE)</f>
        <v>0</v>
      </c>
      <c r="AI189" s="9">
        <f>VLOOKUP($A189,地图配置辅助表!$A$3:$AP$245,地图配置辅助表!U$1,FALSE)</f>
        <v>0</v>
      </c>
      <c r="AJ189" s="9">
        <f>VLOOKUP($A189,地图配置辅助表!$A$3:$AP$245,地图配置辅助表!V$1,FALSE)</f>
        <v>0</v>
      </c>
      <c r="AK189" s="9">
        <f>VLOOKUP($A189,地图配置辅助表!$A$3:$AP$245,地图配置辅助表!W$1,FALSE)</f>
        <v>0</v>
      </c>
      <c r="AL189" s="9">
        <f>VLOOKUP($A189,地图配置辅助表!$A$3:$AP$245,地图配置辅助表!X$1,FALSE)</f>
        <v>0</v>
      </c>
      <c r="AM189" s="9">
        <f>VLOOKUP($A189,地图配置辅助表!$A$3:$AP$245,地图配置辅助表!Y$1,FALSE)</f>
        <v>0</v>
      </c>
      <c r="AN189" s="9">
        <f>VLOOKUP($A189,地图配置辅助表!$A$3:$AP$245,地图配置辅助表!Z$1,FALSE)</f>
        <v>0</v>
      </c>
      <c r="AO189" s="9">
        <f>VLOOKUP($A189,地图配置辅助表!$A$3:$AP$245,地图配置辅助表!AA$1,FALSE)</f>
        <v>0</v>
      </c>
      <c r="AP189" s="9">
        <f>VLOOKUP($A189,地图配置辅助表!$A$3:$AP$245,地图配置辅助表!AB$1,FALSE)</f>
        <v>0</v>
      </c>
      <c r="AQ189" s="9">
        <f>VLOOKUP($A189,地图配置辅助表!$A$3:$AP$245,地图配置辅助表!AC$1,FALSE)</f>
        <v>0</v>
      </c>
      <c r="AR189" s="9">
        <f>VLOOKUP($A189,地图配置辅助表!$A$3:$AP$245,地图配置辅助表!AD$1,FALSE)</f>
        <v>0</v>
      </c>
      <c r="AS189" s="9">
        <f>VLOOKUP($A189,地图配置辅助表!$A$3:$AP$245,地图配置辅助表!AE$1,FALSE)</f>
        <v>0</v>
      </c>
      <c r="AT189" s="9">
        <f>VLOOKUP($A189,地图配置辅助表!$A$3:$AP$245,地图配置辅助表!AF$1,FALSE)</f>
        <v>4</v>
      </c>
      <c r="AU189" s="9">
        <f>VLOOKUP($A189,地图配置辅助表!$A$3:$AP$245,地图配置辅助表!AG$1,FALSE)</f>
        <v>248</v>
      </c>
      <c r="AV189" s="9">
        <f>VLOOKUP($A189,地图配置辅助表!$A$3:$AP$245,地图配置辅助表!AH$1,FALSE)</f>
        <v>249</v>
      </c>
      <c r="AW189" s="9">
        <f>VLOOKUP($A189,地图配置辅助表!$A$3:$AP$245,地图配置辅助表!AI$1,FALSE)</f>
        <v>250</v>
      </c>
      <c r="AX189" s="9">
        <f>VLOOKUP($A189,地图配置辅助表!$A$3:$AP$245,地图配置辅助表!AJ$1,FALSE)</f>
        <v>251</v>
      </c>
      <c r="AY189" s="9">
        <f>VLOOKUP($A189,地图配置辅助表!$A$3:$AP$245,地图配置辅助表!AK$1,FALSE)</f>
        <v>0</v>
      </c>
      <c r="AZ189" s="9">
        <f>VLOOKUP($A189,地图配置辅助表!$A$3:$AP$245,地图配置辅助表!AL$1,FALSE)</f>
        <v>0</v>
      </c>
      <c r="BA189" s="9">
        <f>VLOOKUP($A189,地图配置辅助表!$A$3:$AP$245,地图配置辅助表!AM$1,FALSE)</f>
        <v>0</v>
      </c>
      <c r="BB189" s="9">
        <f>VLOOKUP($A189,地图配置辅助表!$A$3:$AP$245,地图配置辅助表!AN$1,FALSE)</f>
        <v>0</v>
      </c>
      <c r="BC189" s="9">
        <f>VLOOKUP($A189,地图配置辅助表!$A$3:$AP$245,地图配置辅助表!AO$1,FALSE)</f>
        <v>0</v>
      </c>
      <c r="BD189" s="9">
        <f>VLOOKUP($A189,地图配置辅助表!$A$3:$AP$245,地图配置辅助表!AP$1,FALSE)</f>
        <v>0</v>
      </c>
    </row>
    <row r="190" spans="1:56" s="9" customFormat="1" x14ac:dyDescent="0.15">
      <c r="A190">
        <f>地图配置辅助表!A191</f>
        <v>1903</v>
      </c>
      <c r="B190" s="8">
        <f>地图配置辅助表!B191</f>
        <v>6</v>
      </c>
      <c r="C190" s="9">
        <f>地图配置辅助表!C191</f>
        <v>1</v>
      </c>
      <c r="D190" s="9" t="str">
        <f>地图配置辅助表!D191</f>
        <v>英雄之路3</v>
      </c>
      <c r="E190" s="9" t="s">
        <v>541</v>
      </c>
      <c r="F190" s="9" t="s">
        <v>100</v>
      </c>
      <c r="G190" s="9">
        <v>29</v>
      </c>
      <c r="H190" s="9">
        <v>400</v>
      </c>
      <c r="I190" s="9">
        <v>130</v>
      </c>
      <c r="J190" s="9">
        <v>400</v>
      </c>
      <c r="K190" s="9">
        <v>130</v>
      </c>
      <c r="L190" s="9" t="s">
        <v>237</v>
      </c>
      <c r="M190" s="9">
        <v>120</v>
      </c>
      <c r="R190" s="9" t="s">
        <v>249</v>
      </c>
      <c r="S190" s="11">
        <f>VLOOKUP($A190,地图配置辅助表!$A$3:$AP$245,地图配置辅助表!E$1,FALSE)</f>
        <v>0</v>
      </c>
      <c r="T190" s="9">
        <f>VLOOKUP($A190,地图配置辅助表!$A$3:$AP$245,地图配置辅助表!F$1,FALSE)</f>
        <v>0</v>
      </c>
      <c r="U190" s="9">
        <f>VLOOKUP($A190,地图配置辅助表!$A$3:$AP$245,地图配置辅助表!G$1,FALSE)</f>
        <v>1</v>
      </c>
      <c r="V190" s="9">
        <f>VLOOKUP($A190,地图配置辅助表!$A$3:$AP$245,地图配置辅助表!H$1,FALSE)</f>
        <v>1</v>
      </c>
      <c r="W190" s="9">
        <f>VLOOKUP($A190,地图配置辅助表!$A$3:$AP$245,地图配置辅助表!I$1,FALSE)</f>
        <v>0</v>
      </c>
      <c r="X190" s="9">
        <f>VLOOKUP($A190,地图配置辅助表!$A$3:$AP$245,地图配置辅助表!J$1,FALSE)</f>
        <v>0</v>
      </c>
      <c r="Y190" s="9">
        <f>VLOOKUP($A190,地图配置辅助表!$A$3:$AP$245,地图配置辅助表!K$1,FALSE)</f>
        <v>0</v>
      </c>
      <c r="Z190" s="9">
        <f>VLOOKUP($A190,地图配置辅助表!$A$3:$AP$245,地图配置辅助表!L$1,FALSE)</f>
        <v>0</v>
      </c>
      <c r="AA190" s="9">
        <f>VLOOKUP($A190,地图配置辅助表!$A$3:$AP$245,地图配置辅助表!M$1,FALSE)</f>
        <v>0</v>
      </c>
      <c r="AB190">
        <f>VLOOKUP($A190,地图配置辅助表!$A$3:$AP$245,地图配置辅助表!N$1,FALSE)</f>
        <v>1</v>
      </c>
      <c r="AC190" s="9">
        <f>VLOOKUP($A190,地图配置辅助表!$A$3:$AP$245,地图配置辅助表!O$1,FALSE)</f>
        <v>0</v>
      </c>
      <c r="AD190">
        <f>VLOOKUP($A190,地图配置辅助表!$A$3:$AP$245,地图配置辅助表!P$1,FALSE)</f>
        <v>0</v>
      </c>
      <c r="AE190" s="8">
        <f>VLOOKUP($A190,地图配置辅助表!$A$3:$AP$245,地图配置辅助表!Q$1,FALSE)</f>
        <v>0</v>
      </c>
      <c r="AF190" s="8">
        <f>VLOOKUP($A190,地图配置辅助表!$A$3:$AP$245,地图配置辅助表!R$1,FALSE)</f>
        <v>0</v>
      </c>
      <c r="AG190" s="11">
        <f>VLOOKUP($A190,地图配置辅助表!$A$3:$AP$245,地图配置辅助表!S$1,FALSE)</f>
        <v>501903</v>
      </c>
      <c r="AH190" s="11">
        <f>VLOOKUP($A190,地图配置辅助表!$A$3:$AP$245,地图配置辅助表!T$1,FALSE)</f>
        <v>0</v>
      </c>
      <c r="AI190" s="9">
        <f>VLOOKUP($A190,地图配置辅助表!$A$3:$AP$245,地图配置辅助表!U$1,FALSE)</f>
        <v>0</v>
      </c>
      <c r="AJ190" s="9">
        <f>VLOOKUP($A190,地图配置辅助表!$A$3:$AP$245,地图配置辅助表!V$1,FALSE)</f>
        <v>0</v>
      </c>
      <c r="AK190" s="9">
        <f>VLOOKUP($A190,地图配置辅助表!$A$3:$AP$245,地图配置辅助表!W$1,FALSE)</f>
        <v>0</v>
      </c>
      <c r="AL190" s="9">
        <f>VLOOKUP($A190,地图配置辅助表!$A$3:$AP$245,地图配置辅助表!X$1,FALSE)</f>
        <v>0</v>
      </c>
      <c r="AM190" s="9">
        <f>VLOOKUP($A190,地图配置辅助表!$A$3:$AP$245,地图配置辅助表!Y$1,FALSE)</f>
        <v>0</v>
      </c>
      <c r="AN190" s="9">
        <f>VLOOKUP($A190,地图配置辅助表!$A$3:$AP$245,地图配置辅助表!Z$1,FALSE)</f>
        <v>0</v>
      </c>
      <c r="AO190" s="9">
        <f>VLOOKUP($A190,地图配置辅助表!$A$3:$AP$245,地图配置辅助表!AA$1,FALSE)</f>
        <v>0</v>
      </c>
      <c r="AP190" s="9">
        <f>VLOOKUP($A190,地图配置辅助表!$A$3:$AP$245,地图配置辅助表!AB$1,FALSE)</f>
        <v>0</v>
      </c>
      <c r="AQ190" s="9">
        <f>VLOOKUP($A190,地图配置辅助表!$A$3:$AP$245,地图配置辅助表!AC$1,FALSE)</f>
        <v>0</v>
      </c>
      <c r="AR190" s="9">
        <f>VLOOKUP($A190,地图配置辅助表!$A$3:$AP$245,地图配置辅助表!AD$1,FALSE)</f>
        <v>0</v>
      </c>
      <c r="AS190" s="9">
        <f>VLOOKUP($A190,地图配置辅助表!$A$3:$AP$245,地图配置辅助表!AE$1,FALSE)</f>
        <v>0</v>
      </c>
      <c r="AT190" s="9">
        <f>VLOOKUP($A190,地图配置辅助表!$A$3:$AP$245,地图配置辅助表!AF$1,FALSE)</f>
        <v>1</v>
      </c>
      <c r="AU190" s="9">
        <f>VLOOKUP($A190,地图配置辅助表!$A$3:$AP$245,地图配置辅助表!AG$1,FALSE)</f>
        <v>180</v>
      </c>
      <c r="AV190" s="9">
        <f>VLOOKUP($A190,地图配置辅助表!$A$3:$AP$245,地图配置辅助表!AH$1,FALSE)</f>
        <v>0</v>
      </c>
      <c r="AW190" s="9">
        <f>VLOOKUP($A190,地图配置辅助表!$A$3:$AP$245,地图配置辅助表!AI$1,FALSE)</f>
        <v>0</v>
      </c>
      <c r="AX190" s="9">
        <f>VLOOKUP($A190,地图配置辅助表!$A$3:$AP$245,地图配置辅助表!AJ$1,FALSE)</f>
        <v>0</v>
      </c>
      <c r="AY190" s="9">
        <f>VLOOKUP($A190,地图配置辅助表!$A$3:$AP$245,地图配置辅助表!AK$1,FALSE)</f>
        <v>0</v>
      </c>
      <c r="AZ190" s="9">
        <f>VLOOKUP($A190,地图配置辅助表!$A$3:$AP$245,地图配置辅助表!AL$1,FALSE)</f>
        <v>0</v>
      </c>
      <c r="BA190" s="9">
        <f>VLOOKUP($A190,地图配置辅助表!$A$3:$AP$245,地图配置辅助表!AM$1,FALSE)</f>
        <v>0</v>
      </c>
      <c r="BB190" s="9">
        <f>VLOOKUP($A190,地图配置辅助表!$A$3:$AP$245,地图配置辅助表!AN$1,FALSE)</f>
        <v>0</v>
      </c>
      <c r="BC190" s="9">
        <f>VLOOKUP($A190,地图配置辅助表!$A$3:$AP$245,地图配置辅助表!AO$1,FALSE)</f>
        <v>0</v>
      </c>
      <c r="BD190" s="9">
        <f>VLOOKUP($A190,地图配置辅助表!$A$3:$AP$245,地图配置辅助表!AP$1,FALSE)</f>
        <v>0</v>
      </c>
    </row>
    <row r="191" spans="1:56" s="9" customFormat="1" x14ac:dyDescent="0.15">
      <c r="A191">
        <f>地图配置辅助表!A192</f>
        <v>1904</v>
      </c>
      <c r="B191" s="8">
        <f>地图配置辅助表!B192</f>
        <v>6</v>
      </c>
      <c r="C191" s="9">
        <f>地图配置辅助表!C192</f>
        <v>1</v>
      </c>
      <c r="D191" s="9" t="str">
        <f>地图配置辅助表!D192</f>
        <v>英雄之路4</v>
      </c>
      <c r="E191" s="9" t="s">
        <v>542</v>
      </c>
      <c r="F191" s="9" t="s">
        <v>101</v>
      </c>
      <c r="G191" s="9">
        <v>29</v>
      </c>
      <c r="H191" s="9">
        <v>400</v>
      </c>
      <c r="I191" s="9">
        <v>130</v>
      </c>
      <c r="J191" s="9">
        <v>400</v>
      </c>
      <c r="K191" s="9">
        <v>130</v>
      </c>
      <c r="L191" s="9" t="s">
        <v>237</v>
      </c>
      <c r="M191" s="9">
        <v>120</v>
      </c>
      <c r="R191" s="9" t="s">
        <v>249</v>
      </c>
      <c r="S191" s="11">
        <f>VLOOKUP($A191,地图配置辅助表!$A$3:$AP$245,地图配置辅助表!E$1,FALSE)</f>
        <v>0</v>
      </c>
      <c r="T191" s="9">
        <f>VLOOKUP($A191,地图配置辅助表!$A$3:$AP$245,地图配置辅助表!F$1,FALSE)</f>
        <v>0</v>
      </c>
      <c r="U191" s="9">
        <f>VLOOKUP($A191,地图配置辅助表!$A$3:$AP$245,地图配置辅助表!G$1,FALSE)</f>
        <v>1</v>
      </c>
      <c r="V191" s="9">
        <f>VLOOKUP($A191,地图配置辅助表!$A$3:$AP$245,地图配置辅助表!H$1,FALSE)</f>
        <v>1</v>
      </c>
      <c r="W191" s="9">
        <f>VLOOKUP($A191,地图配置辅助表!$A$3:$AP$245,地图配置辅助表!I$1,FALSE)</f>
        <v>0</v>
      </c>
      <c r="X191" s="9">
        <f>VLOOKUP($A191,地图配置辅助表!$A$3:$AP$245,地图配置辅助表!J$1,FALSE)</f>
        <v>0</v>
      </c>
      <c r="Y191" s="9">
        <f>VLOOKUP($A191,地图配置辅助表!$A$3:$AP$245,地图配置辅助表!K$1,FALSE)</f>
        <v>0</v>
      </c>
      <c r="Z191" s="9">
        <f>VLOOKUP($A191,地图配置辅助表!$A$3:$AP$245,地图配置辅助表!L$1,FALSE)</f>
        <v>0</v>
      </c>
      <c r="AA191" s="9">
        <f>VLOOKUP($A191,地图配置辅助表!$A$3:$AP$245,地图配置辅助表!M$1,FALSE)</f>
        <v>0</v>
      </c>
      <c r="AB191">
        <f>VLOOKUP($A191,地图配置辅助表!$A$3:$AP$245,地图配置辅助表!N$1,FALSE)</f>
        <v>1</v>
      </c>
      <c r="AC191" s="9">
        <f>VLOOKUP($A191,地图配置辅助表!$A$3:$AP$245,地图配置辅助表!O$1,FALSE)</f>
        <v>0</v>
      </c>
      <c r="AD191">
        <f>VLOOKUP($A191,地图配置辅助表!$A$3:$AP$245,地图配置辅助表!P$1,FALSE)</f>
        <v>0</v>
      </c>
      <c r="AE191" s="8">
        <f>VLOOKUP($A191,地图配置辅助表!$A$3:$AP$245,地图配置辅助表!Q$1,FALSE)</f>
        <v>0</v>
      </c>
      <c r="AF191" s="8">
        <f>VLOOKUP($A191,地图配置辅助表!$A$3:$AP$245,地图配置辅助表!R$1,FALSE)</f>
        <v>0</v>
      </c>
      <c r="AG191" s="11">
        <f>VLOOKUP($A191,地图配置辅助表!$A$3:$AP$245,地图配置辅助表!S$1,FALSE)</f>
        <v>501904</v>
      </c>
      <c r="AH191" s="11">
        <f>VLOOKUP($A191,地图配置辅助表!$A$3:$AP$245,地图配置辅助表!T$1,FALSE)</f>
        <v>0</v>
      </c>
      <c r="AI191" s="9">
        <f>VLOOKUP($A191,地图配置辅助表!$A$3:$AP$245,地图配置辅助表!U$1,FALSE)</f>
        <v>0</v>
      </c>
      <c r="AJ191" s="9">
        <f>VLOOKUP($A191,地图配置辅助表!$A$3:$AP$245,地图配置辅助表!V$1,FALSE)</f>
        <v>0</v>
      </c>
      <c r="AK191" s="9">
        <f>VLOOKUP($A191,地图配置辅助表!$A$3:$AP$245,地图配置辅助表!W$1,FALSE)</f>
        <v>0</v>
      </c>
      <c r="AL191" s="9">
        <f>VLOOKUP($A191,地图配置辅助表!$A$3:$AP$245,地图配置辅助表!X$1,FALSE)</f>
        <v>0</v>
      </c>
      <c r="AM191" s="9">
        <f>VLOOKUP($A191,地图配置辅助表!$A$3:$AP$245,地图配置辅助表!Y$1,FALSE)</f>
        <v>0</v>
      </c>
      <c r="AN191" s="9">
        <f>VLOOKUP($A191,地图配置辅助表!$A$3:$AP$245,地图配置辅助表!Z$1,FALSE)</f>
        <v>0</v>
      </c>
      <c r="AO191" s="9">
        <f>VLOOKUP($A191,地图配置辅助表!$A$3:$AP$245,地图配置辅助表!AA$1,FALSE)</f>
        <v>0</v>
      </c>
      <c r="AP191" s="9">
        <f>VLOOKUP($A191,地图配置辅助表!$A$3:$AP$245,地图配置辅助表!AB$1,FALSE)</f>
        <v>0</v>
      </c>
      <c r="AQ191" s="9">
        <f>VLOOKUP($A191,地图配置辅助表!$A$3:$AP$245,地图配置辅助表!AC$1,FALSE)</f>
        <v>0</v>
      </c>
      <c r="AR191" s="9">
        <f>VLOOKUP($A191,地图配置辅助表!$A$3:$AP$245,地图配置辅助表!AD$1,FALSE)</f>
        <v>0</v>
      </c>
      <c r="AS191" s="9">
        <f>VLOOKUP($A191,地图配置辅助表!$A$3:$AP$245,地图配置辅助表!AE$1,FALSE)</f>
        <v>0</v>
      </c>
      <c r="AT191" s="9">
        <f>VLOOKUP($A191,地图配置辅助表!$A$3:$AP$245,地图配置辅助表!AF$1,FALSE)</f>
        <v>1</v>
      </c>
      <c r="AU191" s="9">
        <f>VLOOKUP($A191,地图配置辅助表!$A$3:$AP$245,地图配置辅助表!AG$1,FALSE)</f>
        <v>181</v>
      </c>
      <c r="AV191" s="9">
        <f>VLOOKUP($A191,地图配置辅助表!$A$3:$AP$245,地图配置辅助表!AH$1,FALSE)</f>
        <v>0</v>
      </c>
      <c r="AW191" s="9">
        <f>VLOOKUP($A191,地图配置辅助表!$A$3:$AP$245,地图配置辅助表!AI$1,FALSE)</f>
        <v>0</v>
      </c>
      <c r="AX191" s="9">
        <f>VLOOKUP($A191,地图配置辅助表!$A$3:$AP$245,地图配置辅助表!AJ$1,FALSE)</f>
        <v>0</v>
      </c>
      <c r="AY191" s="9">
        <f>VLOOKUP($A191,地图配置辅助表!$A$3:$AP$245,地图配置辅助表!AK$1,FALSE)</f>
        <v>0</v>
      </c>
      <c r="AZ191" s="9">
        <f>VLOOKUP($A191,地图配置辅助表!$A$3:$AP$245,地图配置辅助表!AL$1,FALSE)</f>
        <v>0</v>
      </c>
      <c r="BA191" s="9">
        <f>VLOOKUP($A191,地图配置辅助表!$A$3:$AP$245,地图配置辅助表!AM$1,FALSE)</f>
        <v>0</v>
      </c>
      <c r="BB191" s="9">
        <f>VLOOKUP($A191,地图配置辅助表!$A$3:$AP$245,地图配置辅助表!AN$1,FALSE)</f>
        <v>0</v>
      </c>
      <c r="BC191" s="9">
        <f>VLOOKUP($A191,地图配置辅助表!$A$3:$AP$245,地图配置辅助表!AO$1,FALSE)</f>
        <v>0</v>
      </c>
      <c r="BD191" s="9">
        <f>VLOOKUP($A191,地图配置辅助表!$A$3:$AP$245,地图配置辅助表!AP$1,FALSE)</f>
        <v>0</v>
      </c>
    </row>
    <row r="192" spans="1:56" s="9" customFormat="1" x14ac:dyDescent="0.15">
      <c r="A192">
        <f>地图配置辅助表!A193</f>
        <v>1905</v>
      </c>
      <c r="B192" s="8">
        <f>地图配置辅助表!B193</f>
        <v>6</v>
      </c>
      <c r="C192" s="9">
        <f>地图配置辅助表!C193</f>
        <v>1</v>
      </c>
      <c r="D192" s="9" t="str">
        <f>地图配置辅助表!D193</f>
        <v>英雄之路5</v>
      </c>
      <c r="E192" s="9" t="s">
        <v>543</v>
      </c>
      <c r="F192" s="9" t="s">
        <v>102</v>
      </c>
      <c r="G192" s="9">
        <v>29</v>
      </c>
      <c r="H192" s="9">
        <v>400</v>
      </c>
      <c r="I192" s="9">
        <v>130</v>
      </c>
      <c r="J192" s="9">
        <v>400</v>
      </c>
      <c r="K192" s="9">
        <v>130</v>
      </c>
      <c r="L192" s="9" t="s">
        <v>237</v>
      </c>
      <c r="M192" s="9">
        <v>120</v>
      </c>
      <c r="R192" s="9" t="s">
        <v>249</v>
      </c>
      <c r="S192" s="11">
        <f>VLOOKUP($A192,地图配置辅助表!$A$3:$AP$245,地图配置辅助表!E$1,FALSE)</f>
        <v>0</v>
      </c>
      <c r="T192" s="9">
        <f>VLOOKUP($A192,地图配置辅助表!$A$3:$AP$245,地图配置辅助表!F$1,FALSE)</f>
        <v>0</v>
      </c>
      <c r="U192" s="9">
        <f>VLOOKUP($A192,地图配置辅助表!$A$3:$AP$245,地图配置辅助表!G$1,FALSE)</f>
        <v>1</v>
      </c>
      <c r="V192" s="9">
        <f>VLOOKUP($A192,地图配置辅助表!$A$3:$AP$245,地图配置辅助表!H$1,FALSE)</f>
        <v>1</v>
      </c>
      <c r="W192" s="9">
        <f>VLOOKUP($A192,地图配置辅助表!$A$3:$AP$245,地图配置辅助表!I$1,FALSE)</f>
        <v>0</v>
      </c>
      <c r="X192" s="9">
        <f>VLOOKUP($A192,地图配置辅助表!$A$3:$AP$245,地图配置辅助表!J$1,FALSE)</f>
        <v>0</v>
      </c>
      <c r="Y192" s="9">
        <f>VLOOKUP($A192,地图配置辅助表!$A$3:$AP$245,地图配置辅助表!K$1,FALSE)</f>
        <v>0</v>
      </c>
      <c r="Z192" s="9">
        <f>VLOOKUP($A192,地图配置辅助表!$A$3:$AP$245,地图配置辅助表!L$1,FALSE)</f>
        <v>0</v>
      </c>
      <c r="AA192" s="9">
        <f>VLOOKUP($A192,地图配置辅助表!$A$3:$AP$245,地图配置辅助表!M$1,FALSE)</f>
        <v>0</v>
      </c>
      <c r="AB192">
        <f>VLOOKUP($A192,地图配置辅助表!$A$3:$AP$245,地图配置辅助表!N$1,FALSE)</f>
        <v>1</v>
      </c>
      <c r="AC192" s="9">
        <f>VLOOKUP($A192,地图配置辅助表!$A$3:$AP$245,地图配置辅助表!O$1,FALSE)</f>
        <v>0</v>
      </c>
      <c r="AD192">
        <f>VLOOKUP($A192,地图配置辅助表!$A$3:$AP$245,地图配置辅助表!P$1,FALSE)</f>
        <v>0</v>
      </c>
      <c r="AE192" s="8">
        <f>VLOOKUP($A192,地图配置辅助表!$A$3:$AP$245,地图配置辅助表!Q$1,FALSE)</f>
        <v>0</v>
      </c>
      <c r="AF192" s="8">
        <f>VLOOKUP($A192,地图配置辅助表!$A$3:$AP$245,地图配置辅助表!R$1,FALSE)</f>
        <v>0</v>
      </c>
      <c r="AG192" s="11">
        <f>VLOOKUP($A192,地图配置辅助表!$A$3:$AP$245,地图配置辅助表!S$1,FALSE)</f>
        <v>501905</v>
      </c>
      <c r="AH192" s="11">
        <f>VLOOKUP($A192,地图配置辅助表!$A$3:$AP$245,地图配置辅助表!T$1,FALSE)</f>
        <v>0</v>
      </c>
      <c r="AI192" s="9">
        <f>VLOOKUP($A192,地图配置辅助表!$A$3:$AP$245,地图配置辅助表!U$1,FALSE)</f>
        <v>0</v>
      </c>
      <c r="AJ192" s="9">
        <f>VLOOKUP($A192,地图配置辅助表!$A$3:$AP$245,地图配置辅助表!V$1,FALSE)</f>
        <v>0</v>
      </c>
      <c r="AK192" s="9">
        <f>VLOOKUP($A192,地图配置辅助表!$A$3:$AP$245,地图配置辅助表!W$1,FALSE)</f>
        <v>0</v>
      </c>
      <c r="AL192" s="9">
        <f>VLOOKUP($A192,地图配置辅助表!$A$3:$AP$245,地图配置辅助表!X$1,FALSE)</f>
        <v>0</v>
      </c>
      <c r="AM192" s="9">
        <f>VLOOKUP($A192,地图配置辅助表!$A$3:$AP$245,地图配置辅助表!Y$1,FALSE)</f>
        <v>0</v>
      </c>
      <c r="AN192" s="9">
        <f>VLOOKUP($A192,地图配置辅助表!$A$3:$AP$245,地图配置辅助表!Z$1,FALSE)</f>
        <v>0</v>
      </c>
      <c r="AO192" s="9">
        <f>VLOOKUP($A192,地图配置辅助表!$A$3:$AP$245,地图配置辅助表!AA$1,FALSE)</f>
        <v>0</v>
      </c>
      <c r="AP192" s="9">
        <f>VLOOKUP($A192,地图配置辅助表!$A$3:$AP$245,地图配置辅助表!AB$1,FALSE)</f>
        <v>0</v>
      </c>
      <c r="AQ192" s="9">
        <f>VLOOKUP($A192,地图配置辅助表!$A$3:$AP$245,地图配置辅助表!AC$1,FALSE)</f>
        <v>0</v>
      </c>
      <c r="AR192" s="9">
        <f>VLOOKUP($A192,地图配置辅助表!$A$3:$AP$245,地图配置辅助表!AD$1,FALSE)</f>
        <v>0</v>
      </c>
      <c r="AS192" s="9">
        <f>VLOOKUP($A192,地图配置辅助表!$A$3:$AP$245,地图配置辅助表!AE$1,FALSE)</f>
        <v>0</v>
      </c>
      <c r="AT192" s="9">
        <f>VLOOKUP($A192,地图配置辅助表!$A$3:$AP$245,地图配置辅助表!AF$1,FALSE)</f>
        <v>1</v>
      </c>
      <c r="AU192" s="9">
        <f>VLOOKUP($A192,地图配置辅助表!$A$3:$AP$245,地图配置辅助表!AG$1,FALSE)</f>
        <v>182</v>
      </c>
      <c r="AV192" s="9">
        <f>VLOOKUP($A192,地图配置辅助表!$A$3:$AP$245,地图配置辅助表!AH$1,FALSE)</f>
        <v>0</v>
      </c>
      <c r="AW192" s="9">
        <f>VLOOKUP($A192,地图配置辅助表!$A$3:$AP$245,地图配置辅助表!AI$1,FALSE)</f>
        <v>0</v>
      </c>
      <c r="AX192" s="9">
        <f>VLOOKUP($A192,地图配置辅助表!$A$3:$AP$245,地图配置辅助表!AJ$1,FALSE)</f>
        <v>0</v>
      </c>
      <c r="AY192" s="9">
        <f>VLOOKUP($A192,地图配置辅助表!$A$3:$AP$245,地图配置辅助表!AK$1,FALSE)</f>
        <v>0</v>
      </c>
      <c r="AZ192" s="9">
        <f>VLOOKUP($A192,地图配置辅助表!$A$3:$AP$245,地图配置辅助表!AL$1,FALSE)</f>
        <v>0</v>
      </c>
      <c r="BA192" s="9">
        <f>VLOOKUP($A192,地图配置辅助表!$A$3:$AP$245,地图配置辅助表!AM$1,FALSE)</f>
        <v>0</v>
      </c>
      <c r="BB192" s="9">
        <f>VLOOKUP($A192,地图配置辅助表!$A$3:$AP$245,地图配置辅助表!AN$1,FALSE)</f>
        <v>0</v>
      </c>
      <c r="BC192" s="9">
        <f>VLOOKUP($A192,地图配置辅助表!$A$3:$AP$245,地图配置辅助表!AO$1,FALSE)</f>
        <v>0</v>
      </c>
      <c r="BD192" s="9">
        <f>VLOOKUP($A192,地图配置辅助表!$A$3:$AP$245,地图配置辅助表!AP$1,FALSE)</f>
        <v>0</v>
      </c>
    </row>
    <row r="193" spans="1:56" s="9" customFormat="1" x14ac:dyDescent="0.15">
      <c r="A193">
        <f>地图配置辅助表!A194</f>
        <v>1906</v>
      </c>
      <c r="B193" s="8">
        <f>地图配置辅助表!B194</f>
        <v>6</v>
      </c>
      <c r="C193" s="9">
        <f>地图配置辅助表!C194</f>
        <v>1</v>
      </c>
      <c r="D193" s="9" t="str">
        <f>地图配置辅助表!D194</f>
        <v>英雄之路6</v>
      </c>
      <c r="E193" s="9" t="s">
        <v>544</v>
      </c>
      <c r="F193" s="9" t="s">
        <v>103</v>
      </c>
      <c r="G193" s="9">
        <v>29</v>
      </c>
      <c r="H193" s="9">
        <v>400</v>
      </c>
      <c r="I193" s="9">
        <v>130</v>
      </c>
      <c r="J193" s="9">
        <v>400</v>
      </c>
      <c r="K193" s="9">
        <v>130</v>
      </c>
      <c r="L193" s="9" t="s">
        <v>237</v>
      </c>
      <c r="M193" s="9">
        <v>120</v>
      </c>
      <c r="R193" s="9" t="s">
        <v>249</v>
      </c>
      <c r="S193" s="11">
        <f>VLOOKUP($A193,地图配置辅助表!$A$3:$AP$245,地图配置辅助表!E$1,FALSE)</f>
        <v>0</v>
      </c>
      <c r="T193" s="9">
        <f>VLOOKUP($A193,地图配置辅助表!$A$3:$AP$245,地图配置辅助表!F$1,FALSE)</f>
        <v>0</v>
      </c>
      <c r="U193" s="9">
        <f>VLOOKUP($A193,地图配置辅助表!$A$3:$AP$245,地图配置辅助表!G$1,FALSE)</f>
        <v>1</v>
      </c>
      <c r="V193" s="9">
        <f>VLOOKUP($A193,地图配置辅助表!$A$3:$AP$245,地图配置辅助表!H$1,FALSE)</f>
        <v>1</v>
      </c>
      <c r="W193" s="9">
        <f>VLOOKUP($A193,地图配置辅助表!$A$3:$AP$245,地图配置辅助表!I$1,FALSE)</f>
        <v>0</v>
      </c>
      <c r="X193" s="9">
        <f>VLOOKUP($A193,地图配置辅助表!$A$3:$AP$245,地图配置辅助表!J$1,FALSE)</f>
        <v>0</v>
      </c>
      <c r="Y193" s="9">
        <f>VLOOKUP($A193,地图配置辅助表!$A$3:$AP$245,地图配置辅助表!K$1,FALSE)</f>
        <v>0</v>
      </c>
      <c r="Z193" s="9">
        <f>VLOOKUP($A193,地图配置辅助表!$A$3:$AP$245,地图配置辅助表!L$1,FALSE)</f>
        <v>0</v>
      </c>
      <c r="AA193" s="9">
        <f>VLOOKUP($A193,地图配置辅助表!$A$3:$AP$245,地图配置辅助表!M$1,FALSE)</f>
        <v>0</v>
      </c>
      <c r="AB193">
        <f>VLOOKUP($A193,地图配置辅助表!$A$3:$AP$245,地图配置辅助表!N$1,FALSE)</f>
        <v>1</v>
      </c>
      <c r="AC193" s="9">
        <f>VLOOKUP($A193,地图配置辅助表!$A$3:$AP$245,地图配置辅助表!O$1,FALSE)</f>
        <v>0</v>
      </c>
      <c r="AD193">
        <f>VLOOKUP($A193,地图配置辅助表!$A$3:$AP$245,地图配置辅助表!P$1,FALSE)</f>
        <v>0</v>
      </c>
      <c r="AE193" s="8">
        <f>VLOOKUP($A193,地图配置辅助表!$A$3:$AP$245,地图配置辅助表!Q$1,FALSE)</f>
        <v>0</v>
      </c>
      <c r="AF193" s="8">
        <f>VLOOKUP($A193,地图配置辅助表!$A$3:$AP$245,地图配置辅助表!R$1,FALSE)</f>
        <v>0</v>
      </c>
      <c r="AG193" s="11">
        <f>VLOOKUP($A193,地图配置辅助表!$A$3:$AP$245,地图配置辅助表!S$1,FALSE)</f>
        <v>501906</v>
      </c>
      <c r="AH193" s="11">
        <f>VLOOKUP($A193,地图配置辅助表!$A$3:$AP$245,地图配置辅助表!T$1,FALSE)</f>
        <v>0</v>
      </c>
      <c r="AI193" s="9">
        <f>VLOOKUP($A193,地图配置辅助表!$A$3:$AP$245,地图配置辅助表!U$1,FALSE)</f>
        <v>0</v>
      </c>
      <c r="AJ193" s="9">
        <f>VLOOKUP($A193,地图配置辅助表!$A$3:$AP$245,地图配置辅助表!V$1,FALSE)</f>
        <v>0</v>
      </c>
      <c r="AK193" s="9">
        <f>VLOOKUP($A193,地图配置辅助表!$A$3:$AP$245,地图配置辅助表!W$1,FALSE)</f>
        <v>0</v>
      </c>
      <c r="AL193" s="9">
        <f>VLOOKUP($A193,地图配置辅助表!$A$3:$AP$245,地图配置辅助表!X$1,FALSE)</f>
        <v>0</v>
      </c>
      <c r="AM193" s="9">
        <f>VLOOKUP($A193,地图配置辅助表!$A$3:$AP$245,地图配置辅助表!Y$1,FALSE)</f>
        <v>0</v>
      </c>
      <c r="AN193" s="9">
        <f>VLOOKUP($A193,地图配置辅助表!$A$3:$AP$245,地图配置辅助表!Z$1,FALSE)</f>
        <v>0</v>
      </c>
      <c r="AO193" s="9">
        <f>VLOOKUP($A193,地图配置辅助表!$A$3:$AP$245,地图配置辅助表!AA$1,FALSE)</f>
        <v>0</v>
      </c>
      <c r="AP193" s="9">
        <f>VLOOKUP($A193,地图配置辅助表!$A$3:$AP$245,地图配置辅助表!AB$1,FALSE)</f>
        <v>0</v>
      </c>
      <c r="AQ193" s="9">
        <f>VLOOKUP($A193,地图配置辅助表!$A$3:$AP$245,地图配置辅助表!AC$1,FALSE)</f>
        <v>0</v>
      </c>
      <c r="AR193" s="9">
        <f>VLOOKUP($A193,地图配置辅助表!$A$3:$AP$245,地图配置辅助表!AD$1,FALSE)</f>
        <v>0</v>
      </c>
      <c r="AS193" s="9">
        <f>VLOOKUP($A193,地图配置辅助表!$A$3:$AP$245,地图配置辅助表!AE$1,FALSE)</f>
        <v>0</v>
      </c>
      <c r="AT193" s="9">
        <f>VLOOKUP($A193,地图配置辅助表!$A$3:$AP$245,地图配置辅助表!AF$1,FALSE)</f>
        <v>1</v>
      </c>
      <c r="AU193" s="9">
        <f>VLOOKUP($A193,地图配置辅助表!$A$3:$AP$245,地图配置辅助表!AG$1,FALSE)</f>
        <v>183</v>
      </c>
      <c r="AV193" s="9">
        <f>VLOOKUP($A193,地图配置辅助表!$A$3:$AP$245,地图配置辅助表!AH$1,FALSE)</f>
        <v>0</v>
      </c>
      <c r="AW193" s="9">
        <f>VLOOKUP($A193,地图配置辅助表!$A$3:$AP$245,地图配置辅助表!AI$1,FALSE)</f>
        <v>0</v>
      </c>
      <c r="AX193" s="9">
        <f>VLOOKUP($A193,地图配置辅助表!$A$3:$AP$245,地图配置辅助表!AJ$1,FALSE)</f>
        <v>0</v>
      </c>
      <c r="AY193" s="9">
        <f>VLOOKUP($A193,地图配置辅助表!$A$3:$AP$245,地图配置辅助表!AK$1,FALSE)</f>
        <v>0</v>
      </c>
      <c r="AZ193" s="9">
        <f>VLOOKUP($A193,地图配置辅助表!$A$3:$AP$245,地图配置辅助表!AL$1,FALSE)</f>
        <v>0</v>
      </c>
      <c r="BA193" s="9">
        <f>VLOOKUP($A193,地图配置辅助表!$A$3:$AP$245,地图配置辅助表!AM$1,FALSE)</f>
        <v>0</v>
      </c>
      <c r="BB193" s="9">
        <f>VLOOKUP($A193,地图配置辅助表!$A$3:$AP$245,地图配置辅助表!AN$1,FALSE)</f>
        <v>0</v>
      </c>
      <c r="BC193" s="9">
        <f>VLOOKUP($A193,地图配置辅助表!$A$3:$AP$245,地图配置辅助表!AO$1,FALSE)</f>
        <v>0</v>
      </c>
      <c r="BD193" s="9">
        <f>VLOOKUP($A193,地图配置辅助表!$A$3:$AP$245,地图配置辅助表!AP$1,FALSE)</f>
        <v>0</v>
      </c>
    </row>
    <row r="194" spans="1:56" s="9" customFormat="1" x14ac:dyDescent="0.15">
      <c r="A194">
        <f>地图配置辅助表!A195</f>
        <v>1907</v>
      </c>
      <c r="B194" s="8">
        <f>地图配置辅助表!B195</f>
        <v>6</v>
      </c>
      <c r="C194" s="9">
        <f>地图配置辅助表!C195</f>
        <v>1</v>
      </c>
      <c r="D194" s="9" t="str">
        <f>地图配置辅助表!D195</f>
        <v>英雄之路7</v>
      </c>
      <c r="E194" s="9" t="s">
        <v>545</v>
      </c>
      <c r="F194" s="9" t="s">
        <v>104</v>
      </c>
      <c r="G194" s="9">
        <v>29</v>
      </c>
      <c r="H194" s="9">
        <v>400</v>
      </c>
      <c r="I194" s="9">
        <v>130</v>
      </c>
      <c r="J194" s="9">
        <v>400</v>
      </c>
      <c r="K194" s="9">
        <v>130</v>
      </c>
      <c r="L194" s="9" t="s">
        <v>237</v>
      </c>
      <c r="M194" s="9">
        <v>120</v>
      </c>
      <c r="R194" s="9" t="s">
        <v>249</v>
      </c>
      <c r="S194" s="11">
        <f>VLOOKUP($A194,地图配置辅助表!$A$3:$AP$245,地图配置辅助表!E$1,FALSE)</f>
        <v>0</v>
      </c>
      <c r="T194" s="9">
        <f>VLOOKUP($A194,地图配置辅助表!$A$3:$AP$245,地图配置辅助表!F$1,FALSE)</f>
        <v>0</v>
      </c>
      <c r="U194" s="9">
        <f>VLOOKUP($A194,地图配置辅助表!$A$3:$AP$245,地图配置辅助表!G$1,FALSE)</f>
        <v>1</v>
      </c>
      <c r="V194" s="9">
        <f>VLOOKUP($A194,地图配置辅助表!$A$3:$AP$245,地图配置辅助表!H$1,FALSE)</f>
        <v>1</v>
      </c>
      <c r="W194" s="9">
        <f>VLOOKUP($A194,地图配置辅助表!$A$3:$AP$245,地图配置辅助表!I$1,FALSE)</f>
        <v>0</v>
      </c>
      <c r="X194" s="9">
        <f>VLOOKUP($A194,地图配置辅助表!$A$3:$AP$245,地图配置辅助表!J$1,FALSE)</f>
        <v>0</v>
      </c>
      <c r="Y194" s="9">
        <f>VLOOKUP($A194,地图配置辅助表!$A$3:$AP$245,地图配置辅助表!K$1,FALSE)</f>
        <v>0</v>
      </c>
      <c r="Z194" s="9">
        <f>VLOOKUP($A194,地图配置辅助表!$A$3:$AP$245,地图配置辅助表!L$1,FALSE)</f>
        <v>0</v>
      </c>
      <c r="AA194" s="9">
        <f>VLOOKUP($A194,地图配置辅助表!$A$3:$AP$245,地图配置辅助表!M$1,FALSE)</f>
        <v>0</v>
      </c>
      <c r="AB194">
        <f>VLOOKUP($A194,地图配置辅助表!$A$3:$AP$245,地图配置辅助表!N$1,FALSE)</f>
        <v>1</v>
      </c>
      <c r="AC194" s="9">
        <f>VLOOKUP($A194,地图配置辅助表!$A$3:$AP$245,地图配置辅助表!O$1,FALSE)</f>
        <v>0</v>
      </c>
      <c r="AD194">
        <f>VLOOKUP($A194,地图配置辅助表!$A$3:$AP$245,地图配置辅助表!P$1,FALSE)</f>
        <v>0</v>
      </c>
      <c r="AE194" s="8">
        <f>VLOOKUP($A194,地图配置辅助表!$A$3:$AP$245,地图配置辅助表!Q$1,FALSE)</f>
        <v>0</v>
      </c>
      <c r="AF194" s="8">
        <f>VLOOKUP($A194,地图配置辅助表!$A$3:$AP$245,地图配置辅助表!R$1,FALSE)</f>
        <v>0</v>
      </c>
      <c r="AG194" s="11">
        <f>VLOOKUP($A194,地图配置辅助表!$A$3:$AP$245,地图配置辅助表!S$1,FALSE)</f>
        <v>501907</v>
      </c>
      <c r="AH194" s="11">
        <f>VLOOKUP($A194,地图配置辅助表!$A$3:$AP$245,地图配置辅助表!T$1,FALSE)</f>
        <v>0</v>
      </c>
      <c r="AI194" s="9">
        <f>VLOOKUP($A194,地图配置辅助表!$A$3:$AP$245,地图配置辅助表!U$1,FALSE)</f>
        <v>0</v>
      </c>
      <c r="AJ194" s="9">
        <f>VLOOKUP($A194,地图配置辅助表!$A$3:$AP$245,地图配置辅助表!V$1,FALSE)</f>
        <v>0</v>
      </c>
      <c r="AK194" s="9">
        <f>VLOOKUP($A194,地图配置辅助表!$A$3:$AP$245,地图配置辅助表!W$1,FALSE)</f>
        <v>0</v>
      </c>
      <c r="AL194" s="9">
        <f>VLOOKUP($A194,地图配置辅助表!$A$3:$AP$245,地图配置辅助表!X$1,FALSE)</f>
        <v>0</v>
      </c>
      <c r="AM194" s="9">
        <f>VLOOKUP($A194,地图配置辅助表!$A$3:$AP$245,地图配置辅助表!Y$1,FALSE)</f>
        <v>0</v>
      </c>
      <c r="AN194" s="9">
        <f>VLOOKUP($A194,地图配置辅助表!$A$3:$AP$245,地图配置辅助表!Z$1,FALSE)</f>
        <v>0</v>
      </c>
      <c r="AO194" s="9">
        <f>VLOOKUP($A194,地图配置辅助表!$A$3:$AP$245,地图配置辅助表!AA$1,FALSE)</f>
        <v>0</v>
      </c>
      <c r="AP194" s="9">
        <f>VLOOKUP($A194,地图配置辅助表!$A$3:$AP$245,地图配置辅助表!AB$1,FALSE)</f>
        <v>0</v>
      </c>
      <c r="AQ194" s="9">
        <f>VLOOKUP($A194,地图配置辅助表!$A$3:$AP$245,地图配置辅助表!AC$1,FALSE)</f>
        <v>0</v>
      </c>
      <c r="AR194" s="9">
        <f>VLOOKUP($A194,地图配置辅助表!$A$3:$AP$245,地图配置辅助表!AD$1,FALSE)</f>
        <v>0</v>
      </c>
      <c r="AS194" s="9">
        <f>VLOOKUP($A194,地图配置辅助表!$A$3:$AP$245,地图配置辅助表!AE$1,FALSE)</f>
        <v>0</v>
      </c>
      <c r="AT194" s="9">
        <f>VLOOKUP($A194,地图配置辅助表!$A$3:$AP$245,地图配置辅助表!AF$1,FALSE)</f>
        <v>1</v>
      </c>
      <c r="AU194" s="9">
        <f>VLOOKUP($A194,地图配置辅助表!$A$3:$AP$245,地图配置辅助表!AG$1,FALSE)</f>
        <v>184</v>
      </c>
      <c r="AV194" s="9">
        <f>VLOOKUP($A194,地图配置辅助表!$A$3:$AP$245,地图配置辅助表!AH$1,FALSE)</f>
        <v>0</v>
      </c>
      <c r="AW194" s="9">
        <f>VLOOKUP($A194,地图配置辅助表!$A$3:$AP$245,地图配置辅助表!AI$1,FALSE)</f>
        <v>0</v>
      </c>
      <c r="AX194" s="9">
        <f>VLOOKUP($A194,地图配置辅助表!$A$3:$AP$245,地图配置辅助表!AJ$1,FALSE)</f>
        <v>0</v>
      </c>
      <c r="AY194" s="9">
        <f>VLOOKUP($A194,地图配置辅助表!$A$3:$AP$245,地图配置辅助表!AK$1,FALSE)</f>
        <v>0</v>
      </c>
      <c r="AZ194" s="9">
        <f>VLOOKUP($A194,地图配置辅助表!$A$3:$AP$245,地图配置辅助表!AL$1,FALSE)</f>
        <v>0</v>
      </c>
      <c r="BA194" s="9">
        <f>VLOOKUP($A194,地图配置辅助表!$A$3:$AP$245,地图配置辅助表!AM$1,FALSE)</f>
        <v>0</v>
      </c>
      <c r="BB194" s="9">
        <f>VLOOKUP($A194,地图配置辅助表!$A$3:$AP$245,地图配置辅助表!AN$1,FALSE)</f>
        <v>0</v>
      </c>
      <c r="BC194" s="9">
        <f>VLOOKUP($A194,地图配置辅助表!$A$3:$AP$245,地图配置辅助表!AO$1,FALSE)</f>
        <v>0</v>
      </c>
      <c r="BD194" s="9">
        <f>VLOOKUP($A194,地图配置辅助表!$A$3:$AP$245,地图配置辅助表!AP$1,FALSE)</f>
        <v>0</v>
      </c>
    </row>
    <row r="195" spans="1:56" s="9" customFormat="1" x14ac:dyDescent="0.15">
      <c r="A195">
        <f>地图配置辅助表!A196</f>
        <v>1908</v>
      </c>
      <c r="B195" s="8">
        <f>地图配置辅助表!B196</f>
        <v>6</v>
      </c>
      <c r="C195" s="9">
        <f>地图配置辅助表!C196</f>
        <v>1</v>
      </c>
      <c r="D195" s="9" t="str">
        <f>地图配置辅助表!D196</f>
        <v>英雄之路8</v>
      </c>
      <c r="E195" s="9" t="s">
        <v>546</v>
      </c>
      <c r="F195" s="9" t="s">
        <v>105</v>
      </c>
      <c r="G195" s="9">
        <v>29</v>
      </c>
      <c r="H195" s="9">
        <v>400</v>
      </c>
      <c r="I195" s="9">
        <v>130</v>
      </c>
      <c r="J195" s="9">
        <v>400</v>
      </c>
      <c r="K195" s="9">
        <v>130</v>
      </c>
      <c r="L195" s="9" t="s">
        <v>237</v>
      </c>
      <c r="M195" s="9">
        <v>120</v>
      </c>
      <c r="R195" s="9" t="s">
        <v>249</v>
      </c>
      <c r="S195" s="11">
        <f>VLOOKUP($A195,地图配置辅助表!$A$3:$AP$245,地图配置辅助表!E$1,FALSE)</f>
        <v>0</v>
      </c>
      <c r="T195" s="9">
        <f>VLOOKUP($A195,地图配置辅助表!$A$3:$AP$245,地图配置辅助表!F$1,FALSE)</f>
        <v>0</v>
      </c>
      <c r="U195" s="9">
        <f>VLOOKUP($A195,地图配置辅助表!$A$3:$AP$245,地图配置辅助表!G$1,FALSE)</f>
        <v>1</v>
      </c>
      <c r="V195" s="9">
        <f>VLOOKUP($A195,地图配置辅助表!$A$3:$AP$245,地图配置辅助表!H$1,FALSE)</f>
        <v>1</v>
      </c>
      <c r="W195" s="9">
        <f>VLOOKUP($A195,地图配置辅助表!$A$3:$AP$245,地图配置辅助表!I$1,FALSE)</f>
        <v>0</v>
      </c>
      <c r="X195" s="9">
        <f>VLOOKUP($A195,地图配置辅助表!$A$3:$AP$245,地图配置辅助表!J$1,FALSE)</f>
        <v>0</v>
      </c>
      <c r="Y195" s="9">
        <f>VLOOKUP($A195,地图配置辅助表!$A$3:$AP$245,地图配置辅助表!K$1,FALSE)</f>
        <v>0</v>
      </c>
      <c r="Z195" s="9">
        <f>VLOOKUP($A195,地图配置辅助表!$A$3:$AP$245,地图配置辅助表!L$1,FALSE)</f>
        <v>0</v>
      </c>
      <c r="AA195" s="9">
        <f>VLOOKUP($A195,地图配置辅助表!$A$3:$AP$245,地图配置辅助表!M$1,FALSE)</f>
        <v>0</v>
      </c>
      <c r="AB195">
        <f>VLOOKUP($A195,地图配置辅助表!$A$3:$AP$245,地图配置辅助表!N$1,FALSE)</f>
        <v>1</v>
      </c>
      <c r="AC195" s="9">
        <f>VLOOKUP($A195,地图配置辅助表!$A$3:$AP$245,地图配置辅助表!O$1,FALSE)</f>
        <v>0</v>
      </c>
      <c r="AD195">
        <f>VLOOKUP($A195,地图配置辅助表!$A$3:$AP$245,地图配置辅助表!P$1,FALSE)</f>
        <v>0</v>
      </c>
      <c r="AE195" s="8">
        <f>VLOOKUP($A195,地图配置辅助表!$A$3:$AP$245,地图配置辅助表!Q$1,FALSE)</f>
        <v>0</v>
      </c>
      <c r="AF195" s="8">
        <f>VLOOKUP($A195,地图配置辅助表!$A$3:$AP$245,地图配置辅助表!R$1,FALSE)</f>
        <v>0</v>
      </c>
      <c r="AG195" s="11">
        <f>VLOOKUP($A195,地图配置辅助表!$A$3:$AP$245,地图配置辅助表!S$1,FALSE)</f>
        <v>501908</v>
      </c>
      <c r="AH195" s="11">
        <f>VLOOKUP($A195,地图配置辅助表!$A$3:$AP$245,地图配置辅助表!T$1,FALSE)</f>
        <v>0</v>
      </c>
      <c r="AI195" s="9">
        <f>VLOOKUP($A195,地图配置辅助表!$A$3:$AP$245,地图配置辅助表!U$1,FALSE)</f>
        <v>0</v>
      </c>
      <c r="AJ195" s="9">
        <f>VLOOKUP($A195,地图配置辅助表!$A$3:$AP$245,地图配置辅助表!V$1,FALSE)</f>
        <v>0</v>
      </c>
      <c r="AK195" s="9">
        <f>VLOOKUP($A195,地图配置辅助表!$A$3:$AP$245,地图配置辅助表!W$1,FALSE)</f>
        <v>0</v>
      </c>
      <c r="AL195" s="9">
        <f>VLOOKUP($A195,地图配置辅助表!$A$3:$AP$245,地图配置辅助表!X$1,FALSE)</f>
        <v>0</v>
      </c>
      <c r="AM195" s="9">
        <f>VLOOKUP($A195,地图配置辅助表!$A$3:$AP$245,地图配置辅助表!Y$1,FALSE)</f>
        <v>0</v>
      </c>
      <c r="AN195" s="9">
        <f>VLOOKUP($A195,地图配置辅助表!$A$3:$AP$245,地图配置辅助表!Z$1,FALSE)</f>
        <v>0</v>
      </c>
      <c r="AO195" s="9">
        <f>VLOOKUP($A195,地图配置辅助表!$A$3:$AP$245,地图配置辅助表!AA$1,FALSE)</f>
        <v>0</v>
      </c>
      <c r="AP195" s="9">
        <f>VLOOKUP($A195,地图配置辅助表!$A$3:$AP$245,地图配置辅助表!AB$1,FALSE)</f>
        <v>0</v>
      </c>
      <c r="AQ195" s="9">
        <f>VLOOKUP($A195,地图配置辅助表!$A$3:$AP$245,地图配置辅助表!AC$1,FALSE)</f>
        <v>0</v>
      </c>
      <c r="AR195" s="9">
        <f>VLOOKUP($A195,地图配置辅助表!$A$3:$AP$245,地图配置辅助表!AD$1,FALSE)</f>
        <v>0</v>
      </c>
      <c r="AS195" s="9">
        <f>VLOOKUP($A195,地图配置辅助表!$A$3:$AP$245,地图配置辅助表!AE$1,FALSE)</f>
        <v>0</v>
      </c>
      <c r="AT195" s="9">
        <f>VLOOKUP($A195,地图配置辅助表!$A$3:$AP$245,地图配置辅助表!AF$1,FALSE)</f>
        <v>1</v>
      </c>
      <c r="AU195" s="9">
        <f>VLOOKUP($A195,地图配置辅助表!$A$3:$AP$245,地图配置辅助表!AG$1,FALSE)</f>
        <v>185</v>
      </c>
      <c r="AV195" s="9">
        <f>VLOOKUP($A195,地图配置辅助表!$A$3:$AP$245,地图配置辅助表!AH$1,FALSE)</f>
        <v>0</v>
      </c>
      <c r="AW195" s="9">
        <f>VLOOKUP($A195,地图配置辅助表!$A$3:$AP$245,地图配置辅助表!AI$1,FALSE)</f>
        <v>0</v>
      </c>
      <c r="AX195" s="9">
        <f>VLOOKUP($A195,地图配置辅助表!$A$3:$AP$245,地图配置辅助表!AJ$1,FALSE)</f>
        <v>0</v>
      </c>
      <c r="AY195" s="9">
        <f>VLOOKUP($A195,地图配置辅助表!$A$3:$AP$245,地图配置辅助表!AK$1,FALSE)</f>
        <v>0</v>
      </c>
      <c r="AZ195" s="9">
        <f>VLOOKUP($A195,地图配置辅助表!$A$3:$AP$245,地图配置辅助表!AL$1,FALSE)</f>
        <v>0</v>
      </c>
      <c r="BA195" s="9">
        <f>VLOOKUP($A195,地图配置辅助表!$A$3:$AP$245,地图配置辅助表!AM$1,FALSE)</f>
        <v>0</v>
      </c>
      <c r="BB195" s="9">
        <f>VLOOKUP($A195,地图配置辅助表!$A$3:$AP$245,地图配置辅助表!AN$1,FALSE)</f>
        <v>0</v>
      </c>
      <c r="BC195" s="9">
        <f>VLOOKUP($A195,地图配置辅助表!$A$3:$AP$245,地图配置辅助表!AO$1,FALSE)</f>
        <v>0</v>
      </c>
      <c r="BD195" s="9">
        <f>VLOOKUP($A195,地图配置辅助表!$A$3:$AP$245,地图配置辅助表!AP$1,FALSE)</f>
        <v>0</v>
      </c>
    </row>
    <row r="196" spans="1:56" s="9" customFormat="1" x14ac:dyDescent="0.15">
      <c r="A196">
        <f>地图配置辅助表!A197</f>
        <v>1909</v>
      </c>
      <c r="B196" s="8">
        <f>地图配置辅助表!B197</f>
        <v>6</v>
      </c>
      <c r="C196" s="9">
        <f>地图配置辅助表!C197</f>
        <v>1</v>
      </c>
      <c r="D196" s="9" t="str">
        <f>地图配置辅助表!D197</f>
        <v>英雄之路9</v>
      </c>
      <c r="E196" s="9" t="s">
        <v>414</v>
      </c>
      <c r="F196" s="9" t="s">
        <v>8</v>
      </c>
      <c r="G196" s="9">
        <v>29</v>
      </c>
      <c r="H196" s="9">
        <v>500</v>
      </c>
      <c r="I196" s="9">
        <v>130</v>
      </c>
      <c r="J196" s="9">
        <v>400</v>
      </c>
      <c r="K196" s="9">
        <v>130</v>
      </c>
      <c r="L196" s="9" t="s">
        <v>240</v>
      </c>
      <c r="M196" s="9">
        <v>120</v>
      </c>
      <c r="R196" s="9" t="s">
        <v>240</v>
      </c>
      <c r="S196" s="11">
        <f>VLOOKUP($A196,地图配置辅助表!$A$3:$AP$245,地图配置辅助表!E$1,FALSE)</f>
        <v>0</v>
      </c>
      <c r="T196" s="9">
        <f>VLOOKUP($A196,地图配置辅助表!$A$3:$AP$245,地图配置辅助表!F$1,FALSE)</f>
        <v>0</v>
      </c>
      <c r="U196" s="9">
        <f>VLOOKUP($A196,地图配置辅助表!$A$3:$AP$245,地图配置辅助表!G$1,FALSE)</f>
        <v>1</v>
      </c>
      <c r="V196" s="9">
        <f>VLOOKUP($A196,地图配置辅助表!$A$3:$AP$245,地图配置辅助表!H$1,FALSE)</f>
        <v>1</v>
      </c>
      <c r="W196" s="9">
        <f>VLOOKUP($A196,地图配置辅助表!$A$3:$AP$245,地图配置辅助表!I$1,FALSE)</f>
        <v>0</v>
      </c>
      <c r="X196" s="9">
        <f>VLOOKUP($A196,地图配置辅助表!$A$3:$AP$245,地图配置辅助表!J$1,FALSE)</f>
        <v>0</v>
      </c>
      <c r="Y196" s="9">
        <f>VLOOKUP($A196,地图配置辅助表!$A$3:$AP$245,地图配置辅助表!K$1,FALSE)</f>
        <v>0</v>
      </c>
      <c r="Z196" s="9">
        <f>VLOOKUP($A196,地图配置辅助表!$A$3:$AP$245,地图配置辅助表!L$1,FALSE)</f>
        <v>0</v>
      </c>
      <c r="AA196" s="9">
        <f>VLOOKUP($A196,地图配置辅助表!$A$3:$AP$245,地图配置辅助表!M$1,FALSE)</f>
        <v>0</v>
      </c>
      <c r="AB196">
        <f>VLOOKUP($A196,地图配置辅助表!$A$3:$AP$245,地图配置辅助表!N$1,FALSE)</f>
        <v>1</v>
      </c>
      <c r="AC196" s="9">
        <f>VLOOKUP($A196,地图配置辅助表!$A$3:$AP$245,地图配置辅助表!O$1,FALSE)</f>
        <v>0</v>
      </c>
      <c r="AD196">
        <f>VLOOKUP($A196,地图配置辅助表!$A$3:$AP$245,地图配置辅助表!P$1,FALSE)</f>
        <v>0</v>
      </c>
      <c r="AE196" s="8">
        <f>VLOOKUP($A196,地图配置辅助表!$A$3:$AP$245,地图配置辅助表!Q$1,FALSE)</f>
        <v>0</v>
      </c>
      <c r="AF196" s="8">
        <f>VLOOKUP($A196,地图配置辅助表!$A$3:$AP$245,地图配置辅助表!R$1,FALSE)</f>
        <v>0</v>
      </c>
      <c r="AG196" s="11">
        <f>VLOOKUP($A196,地图配置辅助表!$A$3:$AP$245,地图配置辅助表!S$1,FALSE)</f>
        <v>501909</v>
      </c>
      <c r="AH196" s="11">
        <f>VLOOKUP($A196,地图配置辅助表!$A$3:$AP$245,地图配置辅助表!T$1,FALSE)</f>
        <v>0</v>
      </c>
      <c r="AI196" s="9">
        <f>VLOOKUP($A196,地图配置辅助表!$A$3:$AP$245,地图配置辅助表!U$1,FALSE)</f>
        <v>0</v>
      </c>
      <c r="AJ196" s="9">
        <f>VLOOKUP($A196,地图配置辅助表!$A$3:$AP$245,地图配置辅助表!V$1,FALSE)</f>
        <v>0</v>
      </c>
      <c r="AK196" s="9">
        <f>VLOOKUP($A196,地图配置辅助表!$A$3:$AP$245,地图配置辅助表!W$1,FALSE)</f>
        <v>0</v>
      </c>
      <c r="AL196" s="9">
        <f>VLOOKUP($A196,地图配置辅助表!$A$3:$AP$245,地图配置辅助表!X$1,FALSE)</f>
        <v>0</v>
      </c>
      <c r="AM196" s="9">
        <f>VLOOKUP($A196,地图配置辅助表!$A$3:$AP$245,地图配置辅助表!Y$1,FALSE)</f>
        <v>0</v>
      </c>
      <c r="AN196" s="9">
        <f>VLOOKUP($A196,地图配置辅助表!$A$3:$AP$245,地图配置辅助表!Z$1,FALSE)</f>
        <v>0</v>
      </c>
      <c r="AO196" s="9">
        <f>VLOOKUP($A196,地图配置辅助表!$A$3:$AP$245,地图配置辅助表!AA$1,FALSE)</f>
        <v>0</v>
      </c>
      <c r="AP196" s="9">
        <f>VLOOKUP($A196,地图配置辅助表!$A$3:$AP$245,地图配置辅助表!AB$1,FALSE)</f>
        <v>0</v>
      </c>
      <c r="AQ196" s="9">
        <f>VLOOKUP($A196,地图配置辅助表!$A$3:$AP$245,地图配置辅助表!AC$1,FALSE)</f>
        <v>0</v>
      </c>
      <c r="AR196" s="9">
        <f>VLOOKUP($A196,地图配置辅助表!$A$3:$AP$245,地图配置辅助表!AD$1,FALSE)</f>
        <v>0</v>
      </c>
      <c r="AS196" s="9">
        <f>VLOOKUP($A196,地图配置辅助表!$A$3:$AP$245,地图配置辅助表!AE$1,FALSE)</f>
        <v>0</v>
      </c>
      <c r="AT196" s="9">
        <f>VLOOKUP($A196,地图配置辅助表!$A$3:$AP$245,地图配置辅助表!AF$1,FALSE)</f>
        <v>5</v>
      </c>
      <c r="AU196" s="9">
        <f>VLOOKUP($A196,地图配置辅助表!$A$3:$AP$245,地图配置辅助表!AG$1,FALSE)</f>
        <v>217</v>
      </c>
      <c r="AV196" s="9">
        <f>VLOOKUP($A196,地图配置辅助表!$A$3:$AP$245,地图配置辅助表!AH$1,FALSE)</f>
        <v>218</v>
      </c>
      <c r="AW196" s="9">
        <f>VLOOKUP($A196,地图配置辅助表!$A$3:$AP$245,地图配置辅助表!AI$1,FALSE)</f>
        <v>219</v>
      </c>
      <c r="AX196" s="9">
        <f>VLOOKUP($A196,地图配置辅助表!$A$3:$AP$245,地图配置辅助表!AJ$1,FALSE)</f>
        <v>220</v>
      </c>
      <c r="AY196" s="9">
        <f>VLOOKUP($A196,地图配置辅助表!$A$3:$AP$245,地图配置辅助表!AK$1,FALSE)</f>
        <v>221</v>
      </c>
      <c r="AZ196" s="9">
        <f>VLOOKUP($A196,地图配置辅助表!$A$3:$AP$245,地图配置辅助表!AL$1,FALSE)</f>
        <v>0</v>
      </c>
      <c r="BA196" s="9">
        <f>VLOOKUP($A196,地图配置辅助表!$A$3:$AP$245,地图配置辅助表!AM$1,FALSE)</f>
        <v>0</v>
      </c>
      <c r="BB196" s="9">
        <f>VLOOKUP($A196,地图配置辅助表!$A$3:$AP$245,地图配置辅助表!AN$1,FALSE)</f>
        <v>0</v>
      </c>
      <c r="BC196" s="9">
        <f>VLOOKUP($A196,地图配置辅助表!$A$3:$AP$245,地图配置辅助表!AO$1,FALSE)</f>
        <v>0</v>
      </c>
      <c r="BD196" s="9">
        <f>VLOOKUP($A196,地图配置辅助表!$A$3:$AP$245,地图配置辅助表!AP$1,FALSE)</f>
        <v>0</v>
      </c>
    </row>
    <row r="197" spans="1:56" s="9" customFormat="1" x14ac:dyDescent="0.15">
      <c r="A197">
        <f>地图配置辅助表!A198</f>
        <v>1910</v>
      </c>
      <c r="B197" s="8">
        <f>地图配置辅助表!B198</f>
        <v>6</v>
      </c>
      <c r="C197" s="9">
        <f>地图配置辅助表!C198</f>
        <v>1</v>
      </c>
      <c r="D197" s="9" t="str">
        <f>地图配置辅助表!D198</f>
        <v>英雄之路10</v>
      </c>
      <c r="E197" s="9" t="s">
        <v>415</v>
      </c>
      <c r="F197" s="9" t="s">
        <v>8</v>
      </c>
      <c r="G197" s="9">
        <v>29</v>
      </c>
      <c r="H197" s="9">
        <v>2450</v>
      </c>
      <c r="I197" s="9">
        <v>60</v>
      </c>
      <c r="J197" s="9">
        <v>2450</v>
      </c>
      <c r="K197" s="9">
        <v>60</v>
      </c>
      <c r="L197" s="9" t="s">
        <v>241</v>
      </c>
      <c r="M197" s="9">
        <v>120</v>
      </c>
      <c r="R197" s="9" t="s">
        <v>252</v>
      </c>
      <c r="S197" s="11">
        <f>VLOOKUP($A197,地图配置辅助表!$A$3:$AP$245,地图配置辅助表!E$1,FALSE)</f>
        <v>0</v>
      </c>
      <c r="T197" s="9">
        <f>VLOOKUP($A197,地图配置辅助表!$A$3:$AP$245,地图配置辅助表!F$1,FALSE)</f>
        <v>0</v>
      </c>
      <c r="U197" s="9">
        <f>VLOOKUP($A197,地图配置辅助表!$A$3:$AP$245,地图配置辅助表!G$1,FALSE)</f>
        <v>1</v>
      </c>
      <c r="V197" s="9">
        <f>VLOOKUP($A197,地图配置辅助表!$A$3:$AP$245,地图配置辅助表!H$1,FALSE)</f>
        <v>1</v>
      </c>
      <c r="W197" s="9">
        <f>VLOOKUP($A197,地图配置辅助表!$A$3:$AP$245,地图配置辅助表!I$1,FALSE)</f>
        <v>0</v>
      </c>
      <c r="X197" s="9">
        <f>VLOOKUP($A197,地图配置辅助表!$A$3:$AP$245,地图配置辅助表!J$1,FALSE)</f>
        <v>0</v>
      </c>
      <c r="Y197" s="9">
        <f>VLOOKUP($A197,地图配置辅助表!$A$3:$AP$245,地图配置辅助表!K$1,FALSE)</f>
        <v>0</v>
      </c>
      <c r="Z197" s="9">
        <f>VLOOKUP($A197,地图配置辅助表!$A$3:$AP$245,地图配置辅助表!L$1,FALSE)</f>
        <v>0</v>
      </c>
      <c r="AA197" s="9">
        <f>VLOOKUP($A197,地图配置辅助表!$A$3:$AP$245,地图配置辅助表!M$1,FALSE)</f>
        <v>0</v>
      </c>
      <c r="AB197">
        <f>VLOOKUP($A197,地图配置辅助表!$A$3:$AP$245,地图配置辅助表!N$1,FALSE)</f>
        <v>1</v>
      </c>
      <c r="AC197" s="9">
        <f>VLOOKUP($A197,地图配置辅助表!$A$3:$AP$245,地图配置辅助表!O$1,FALSE)</f>
        <v>0</v>
      </c>
      <c r="AD197">
        <f>VLOOKUP($A197,地图配置辅助表!$A$3:$AP$245,地图配置辅助表!P$1,FALSE)</f>
        <v>0</v>
      </c>
      <c r="AE197" s="8">
        <f>VLOOKUP($A197,地图配置辅助表!$A$3:$AP$245,地图配置辅助表!Q$1,FALSE)</f>
        <v>0</v>
      </c>
      <c r="AF197" s="8">
        <f>VLOOKUP($A197,地图配置辅助表!$A$3:$AP$245,地图配置辅助表!R$1,FALSE)</f>
        <v>0</v>
      </c>
      <c r="AG197" s="11">
        <f>VLOOKUP($A197,地图配置辅助表!$A$3:$AP$245,地图配置辅助表!S$1,FALSE)</f>
        <v>501910</v>
      </c>
      <c r="AH197" s="11">
        <f>VLOOKUP($A197,地图配置辅助表!$A$3:$AP$245,地图配置辅助表!T$1,FALSE)</f>
        <v>0</v>
      </c>
      <c r="AI197" s="9">
        <f>VLOOKUP($A197,地图配置辅助表!$A$3:$AP$245,地图配置辅助表!U$1,FALSE)</f>
        <v>0</v>
      </c>
      <c r="AJ197" s="9">
        <f>VLOOKUP($A197,地图配置辅助表!$A$3:$AP$245,地图配置辅助表!V$1,FALSE)</f>
        <v>0</v>
      </c>
      <c r="AK197" s="9">
        <f>VLOOKUP($A197,地图配置辅助表!$A$3:$AP$245,地图配置辅助表!W$1,FALSE)</f>
        <v>0</v>
      </c>
      <c r="AL197" s="9">
        <f>VLOOKUP($A197,地图配置辅助表!$A$3:$AP$245,地图配置辅助表!X$1,FALSE)</f>
        <v>0</v>
      </c>
      <c r="AM197" s="9">
        <f>VLOOKUP($A197,地图配置辅助表!$A$3:$AP$245,地图配置辅助表!Y$1,FALSE)</f>
        <v>0</v>
      </c>
      <c r="AN197" s="9">
        <f>VLOOKUP($A197,地图配置辅助表!$A$3:$AP$245,地图配置辅助表!Z$1,FALSE)</f>
        <v>0</v>
      </c>
      <c r="AO197" s="9">
        <f>VLOOKUP($A197,地图配置辅助表!$A$3:$AP$245,地图配置辅助表!AA$1,FALSE)</f>
        <v>0</v>
      </c>
      <c r="AP197" s="9">
        <f>VLOOKUP($A197,地图配置辅助表!$A$3:$AP$245,地图配置辅助表!AB$1,FALSE)</f>
        <v>0</v>
      </c>
      <c r="AQ197" s="9">
        <f>VLOOKUP($A197,地图配置辅助表!$A$3:$AP$245,地图配置辅助表!AC$1,FALSE)</f>
        <v>0</v>
      </c>
      <c r="AR197" s="9">
        <f>VLOOKUP($A197,地图配置辅助表!$A$3:$AP$245,地图配置辅助表!AD$1,FALSE)</f>
        <v>0</v>
      </c>
      <c r="AS197" s="9">
        <f>VLOOKUP($A197,地图配置辅助表!$A$3:$AP$245,地图配置辅助表!AE$1,FALSE)</f>
        <v>0</v>
      </c>
      <c r="AT197" s="9">
        <f>VLOOKUP($A197,地图配置辅助表!$A$3:$AP$245,地图配置辅助表!AF$1,FALSE)</f>
        <v>6</v>
      </c>
      <c r="AU197" s="9">
        <f>VLOOKUP($A197,地图配置辅助表!$A$3:$AP$245,地图配置辅助表!AG$1,FALSE)</f>
        <v>138</v>
      </c>
      <c r="AV197" s="9">
        <f>VLOOKUP($A197,地图配置辅助表!$A$3:$AP$245,地图配置辅助表!AH$1,FALSE)</f>
        <v>139</v>
      </c>
      <c r="AW197" s="9">
        <f>VLOOKUP($A197,地图配置辅助表!$A$3:$AP$245,地图配置辅助表!AI$1,FALSE)</f>
        <v>140</v>
      </c>
      <c r="AX197" s="9">
        <f>VLOOKUP($A197,地图配置辅助表!$A$3:$AP$245,地图配置辅助表!AJ$1,FALSE)</f>
        <v>141</v>
      </c>
      <c r="AY197" s="9">
        <f>VLOOKUP($A197,地图配置辅助表!$A$3:$AP$245,地图配置辅助表!AK$1,FALSE)</f>
        <v>142</v>
      </c>
      <c r="AZ197" s="9">
        <f>VLOOKUP($A197,地图配置辅助表!$A$3:$AP$245,地图配置辅助表!AL$1,FALSE)</f>
        <v>143</v>
      </c>
      <c r="BA197" s="9">
        <f>VLOOKUP($A197,地图配置辅助表!$A$3:$AP$245,地图配置辅助表!AM$1,FALSE)</f>
        <v>0</v>
      </c>
      <c r="BB197" s="9">
        <f>VLOOKUP($A197,地图配置辅助表!$A$3:$AP$245,地图配置辅助表!AN$1,FALSE)</f>
        <v>0</v>
      </c>
      <c r="BC197" s="9">
        <f>VLOOKUP($A197,地图配置辅助表!$A$3:$AP$245,地图配置辅助表!AO$1,FALSE)</f>
        <v>0</v>
      </c>
      <c r="BD197" s="9">
        <f>VLOOKUP($A197,地图配置辅助表!$A$3:$AP$245,地图配置辅助表!AP$1,FALSE)</f>
        <v>0</v>
      </c>
    </row>
    <row r="198" spans="1:56" s="9" customFormat="1" x14ac:dyDescent="0.15">
      <c r="A198">
        <f>地图配置辅助表!A199</f>
        <v>1911</v>
      </c>
      <c r="B198" s="8">
        <f>地图配置辅助表!B199</f>
        <v>6</v>
      </c>
      <c r="C198" s="9">
        <f>地图配置辅助表!C199</f>
        <v>1</v>
      </c>
      <c r="D198" s="9" t="str">
        <f>地图配置辅助表!D199</f>
        <v>英雄之路11</v>
      </c>
      <c r="E198" s="9" t="s">
        <v>410</v>
      </c>
      <c r="F198" s="9" t="s">
        <v>8</v>
      </c>
      <c r="G198" s="9">
        <v>29</v>
      </c>
      <c r="H198" s="9">
        <v>1300</v>
      </c>
      <c r="I198" s="9">
        <v>130</v>
      </c>
      <c r="J198" s="9">
        <v>1300</v>
      </c>
      <c r="K198" s="9">
        <v>130</v>
      </c>
      <c r="L198" s="9" t="s">
        <v>238</v>
      </c>
      <c r="M198" s="9">
        <v>180</v>
      </c>
      <c r="R198" s="9" t="s">
        <v>431</v>
      </c>
      <c r="S198" s="11">
        <f>VLOOKUP($A198,地图配置辅助表!$A$3:$AP$245,地图配置辅助表!E$1,FALSE)</f>
        <v>0</v>
      </c>
      <c r="T198" s="9">
        <f>VLOOKUP($A198,地图配置辅助表!$A$3:$AP$245,地图配置辅助表!F$1,FALSE)</f>
        <v>0</v>
      </c>
      <c r="U198" s="9">
        <f>VLOOKUP($A198,地图配置辅助表!$A$3:$AP$245,地图配置辅助表!G$1,FALSE)</f>
        <v>1</v>
      </c>
      <c r="V198" s="9">
        <f>VLOOKUP($A198,地图配置辅助表!$A$3:$AP$245,地图配置辅助表!H$1,FALSE)</f>
        <v>1</v>
      </c>
      <c r="W198" s="9">
        <f>VLOOKUP($A198,地图配置辅助表!$A$3:$AP$245,地图配置辅助表!I$1,FALSE)</f>
        <v>0</v>
      </c>
      <c r="X198" s="9">
        <f>VLOOKUP($A198,地图配置辅助表!$A$3:$AP$245,地图配置辅助表!J$1,FALSE)</f>
        <v>0</v>
      </c>
      <c r="Y198" s="9">
        <f>VLOOKUP($A198,地图配置辅助表!$A$3:$AP$245,地图配置辅助表!K$1,FALSE)</f>
        <v>0</v>
      </c>
      <c r="Z198" s="9">
        <f>VLOOKUP($A198,地图配置辅助表!$A$3:$AP$245,地图配置辅助表!L$1,FALSE)</f>
        <v>0</v>
      </c>
      <c r="AA198" s="9">
        <f>VLOOKUP($A198,地图配置辅助表!$A$3:$AP$245,地图配置辅助表!M$1,FALSE)</f>
        <v>0</v>
      </c>
      <c r="AB198">
        <f>VLOOKUP($A198,地图配置辅助表!$A$3:$AP$245,地图配置辅助表!N$1,FALSE)</f>
        <v>1</v>
      </c>
      <c r="AC198" s="9">
        <f>VLOOKUP($A198,地图配置辅助表!$A$3:$AP$245,地图配置辅助表!O$1,FALSE)</f>
        <v>0</v>
      </c>
      <c r="AD198">
        <f>VLOOKUP($A198,地图配置辅助表!$A$3:$AP$245,地图配置辅助表!P$1,FALSE)</f>
        <v>0</v>
      </c>
      <c r="AE198" s="8">
        <f>VLOOKUP($A198,地图配置辅助表!$A$3:$AP$245,地图配置辅助表!Q$1,FALSE)</f>
        <v>0</v>
      </c>
      <c r="AF198" s="8">
        <f>VLOOKUP($A198,地图配置辅助表!$A$3:$AP$245,地图配置辅助表!R$1,FALSE)</f>
        <v>0</v>
      </c>
      <c r="AG198" s="11">
        <f>VLOOKUP($A198,地图配置辅助表!$A$3:$AP$245,地图配置辅助表!S$1,FALSE)</f>
        <v>501911</v>
      </c>
      <c r="AH198" s="11">
        <f>VLOOKUP($A198,地图配置辅助表!$A$3:$AP$245,地图配置辅助表!T$1,FALSE)</f>
        <v>0</v>
      </c>
      <c r="AI198" s="9">
        <f>VLOOKUP($A198,地图配置辅助表!$A$3:$AP$245,地图配置辅助表!U$1,FALSE)</f>
        <v>0</v>
      </c>
      <c r="AJ198" s="9">
        <f>VLOOKUP($A198,地图配置辅助表!$A$3:$AP$245,地图配置辅助表!V$1,FALSE)</f>
        <v>0</v>
      </c>
      <c r="AK198" s="9">
        <f>VLOOKUP($A198,地图配置辅助表!$A$3:$AP$245,地图配置辅助表!W$1,FALSE)</f>
        <v>0</v>
      </c>
      <c r="AL198" s="9">
        <f>VLOOKUP($A198,地图配置辅助表!$A$3:$AP$245,地图配置辅助表!X$1,FALSE)</f>
        <v>0</v>
      </c>
      <c r="AM198" s="9">
        <f>VLOOKUP($A198,地图配置辅助表!$A$3:$AP$245,地图配置辅助表!Y$1,FALSE)</f>
        <v>0</v>
      </c>
      <c r="AN198" s="9">
        <f>VLOOKUP($A198,地图配置辅助表!$A$3:$AP$245,地图配置辅助表!Z$1,FALSE)</f>
        <v>0</v>
      </c>
      <c r="AO198" s="9">
        <f>VLOOKUP($A198,地图配置辅助表!$A$3:$AP$245,地图配置辅助表!AA$1,FALSE)</f>
        <v>0</v>
      </c>
      <c r="AP198" s="9">
        <f>VLOOKUP($A198,地图配置辅助表!$A$3:$AP$245,地图配置辅助表!AB$1,FALSE)</f>
        <v>0</v>
      </c>
      <c r="AQ198" s="9">
        <f>VLOOKUP($A198,地图配置辅助表!$A$3:$AP$245,地图配置辅助表!AC$1,FALSE)</f>
        <v>0</v>
      </c>
      <c r="AR198" s="9">
        <f>VLOOKUP($A198,地图配置辅助表!$A$3:$AP$245,地图配置辅助表!AD$1,FALSE)</f>
        <v>0</v>
      </c>
      <c r="AS198" s="9">
        <f>VLOOKUP($A198,地图配置辅助表!$A$3:$AP$245,地图配置辅助表!AE$1,FALSE)</f>
        <v>0</v>
      </c>
      <c r="AT198" s="9">
        <f>VLOOKUP($A198,地图配置辅助表!$A$3:$AP$245,地图配置辅助表!AF$1,FALSE)</f>
        <v>10</v>
      </c>
      <c r="AU198" s="9">
        <f>VLOOKUP($A198,地图配置辅助表!$A$3:$AP$245,地图配置辅助表!AG$1,FALSE)</f>
        <v>14</v>
      </c>
      <c r="AV198" s="9">
        <f>VLOOKUP($A198,地图配置辅助表!$A$3:$AP$245,地图配置辅助表!AH$1,FALSE)</f>
        <v>15</v>
      </c>
      <c r="AW198" s="9">
        <f>VLOOKUP($A198,地图配置辅助表!$A$3:$AP$245,地图配置辅助表!AI$1,FALSE)</f>
        <v>16</v>
      </c>
      <c r="AX198" s="9">
        <f>VLOOKUP($A198,地图配置辅助表!$A$3:$AP$245,地图配置辅助表!AJ$1,FALSE)</f>
        <v>17</v>
      </c>
      <c r="AY198" s="9">
        <f>VLOOKUP($A198,地图配置辅助表!$A$3:$AP$245,地图配置辅助表!AK$1,FALSE)</f>
        <v>18</v>
      </c>
      <c r="AZ198" s="9">
        <f>VLOOKUP($A198,地图配置辅助表!$A$3:$AP$245,地图配置辅助表!AL$1,FALSE)</f>
        <v>19</v>
      </c>
      <c r="BA198" s="9">
        <f>VLOOKUP($A198,地图配置辅助表!$A$3:$AP$245,地图配置辅助表!AM$1,FALSE)</f>
        <v>20</v>
      </c>
      <c r="BB198" s="9">
        <f>VLOOKUP($A198,地图配置辅助表!$A$3:$AP$245,地图配置辅助表!AN$1,FALSE)</f>
        <v>21</v>
      </c>
      <c r="BC198" s="9">
        <f>VLOOKUP($A198,地图配置辅助表!$A$3:$AP$245,地图配置辅助表!AO$1,FALSE)</f>
        <v>22</v>
      </c>
      <c r="BD198" s="9">
        <f>VLOOKUP($A198,地图配置辅助表!$A$3:$AP$245,地图配置辅助表!AP$1,FALSE)</f>
        <v>23</v>
      </c>
    </row>
    <row r="199" spans="1:56" s="9" customFormat="1" x14ac:dyDescent="0.15">
      <c r="A199">
        <f>地图配置辅助表!A200</f>
        <v>1912</v>
      </c>
      <c r="B199" s="8">
        <f>地图配置辅助表!B200</f>
        <v>6</v>
      </c>
      <c r="C199" s="9">
        <f>地图配置辅助表!C200</f>
        <v>1</v>
      </c>
      <c r="D199" s="9" t="str">
        <f>地图配置辅助表!D200</f>
        <v>英雄之路12</v>
      </c>
      <c r="E199" s="9" t="s">
        <v>412</v>
      </c>
      <c r="F199" s="9" t="s">
        <v>8</v>
      </c>
      <c r="G199" s="9">
        <v>29</v>
      </c>
      <c r="H199" s="9">
        <v>650</v>
      </c>
      <c r="I199" s="9">
        <v>130</v>
      </c>
      <c r="J199" s="9">
        <v>650</v>
      </c>
      <c r="K199" s="9">
        <v>130</v>
      </c>
      <c r="L199" s="9" t="s">
        <v>239</v>
      </c>
      <c r="M199" s="9">
        <v>0</v>
      </c>
      <c r="R199" s="9" t="s">
        <v>133</v>
      </c>
      <c r="S199" s="11">
        <f>VLOOKUP($A199,地图配置辅助表!$A$3:$AP$245,地图配置辅助表!E$1,FALSE)</f>
        <v>0</v>
      </c>
      <c r="T199" s="9">
        <f>VLOOKUP($A199,地图配置辅助表!$A$3:$AP$245,地图配置辅助表!F$1,FALSE)</f>
        <v>0</v>
      </c>
      <c r="U199" s="9">
        <f>VLOOKUP($A199,地图配置辅助表!$A$3:$AP$245,地图配置辅助表!G$1,FALSE)</f>
        <v>1</v>
      </c>
      <c r="V199" s="9">
        <f>VLOOKUP($A199,地图配置辅助表!$A$3:$AP$245,地图配置辅助表!H$1,FALSE)</f>
        <v>1</v>
      </c>
      <c r="W199" s="9">
        <f>VLOOKUP($A199,地图配置辅助表!$A$3:$AP$245,地图配置辅助表!I$1,FALSE)</f>
        <v>0</v>
      </c>
      <c r="X199" s="9">
        <f>VLOOKUP($A199,地图配置辅助表!$A$3:$AP$245,地图配置辅助表!J$1,FALSE)</f>
        <v>0</v>
      </c>
      <c r="Y199" s="9">
        <f>VLOOKUP($A199,地图配置辅助表!$A$3:$AP$245,地图配置辅助表!K$1,FALSE)</f>
        <v>0</v>
      </c>
      <c r="Z199" s="9">
        <f>VLOOKUP($A199,地图配置辅助表!$A$3:$AP$245,地图配置辅助表!L$1,FALSE)</f>
        <v>0</v>
      </c>
      <c r="AA199" s="9">
        <f>VLOOKUP($A199,地图配置辅助表!$A$3:$AP$245,地图配置辅助表!M$1,FALSE)</f>
        <v>0</v>
      </c>
      <c r="AB199">
        <f>VLOOKUP($A199,地图配置辅助表!$A$3:$AP$245,地图配置辅助表!N$1,FALSE)</f>
        <v>1</v>
      </c>
      <c r="AC199" s="9">
        <f>VLOOKUP($A199,地图配置辅助表!$A$3:$AP$245,地图配置辅助表!O$1,FALSE)</f>
        <v>0</v>
      </c>
      <c r="AD199">
        <f>VLOOKUP($A199,地图配置辅助表!$A$3:$AP$245,地图配置辅助表!P$1,FALSE)</f>
        <v>0</v>
      </c>
      <c r="AE199" s="8">
        <f>VLOOKUP($A199,地图配置辅助表!$A$3:$AP$245,地图配置辅助表!Q$1,FALSE)</f>
        <v>0</v>
      </c>
      <c r="AF199" s="8">
        <f>VLOOKUP($A199,地图配置辅助表!$A$3:$AP$245,地图配置辅助表!R$1,FALSE)</f>
        <v>0</v>
      </c>
      <c r="AG199" s="11">
        <f>VLOOKUP($A199,地图配置辅助表!$A$3:$AP$245,地图配置辅助表!S$1,FALSE)</f>
        <v>501912</v>
      </c>
      <c r="AH199" s="11">
        <f>VLOOKUP($A199,地图配置辅助表!$A$3:$AP$245,地图配置辅助表!T$1,FALSE)</f>
        <v>0</v>
      </c>
      <c r="AI199" s="9">
        <f>VLOOKUP($A199,地图配置辅助表!$A$3:$AP$245,地图配置辅助表!U$1,FALSE)</f>
        <v>0</v>
      </c>
      <c r="AJ199" s="9">
        <f>VLOOKUP($A199,地图配置辅助表!$A$3:$AP$245,地图配置辅助表!V$1,FALSE)</f>
        <v>0</v>
      </c>
      <c r="AK199" s="9">
        <f>VLOOKUP($A199,地图配置辅助表!$A$3:$AP$245,地图配置辅助表!W$1,FALSE)</f>
        <v>0</v>
      </c>
      <c r="AL199" s="9">
        <f>VLOOKUP($A199,地图配置辅助表!$A$3:$AP$245,地图配置辅助表!X$1,FALSE)</f>
        <v>0</v>
      </c>
      <c r="AM199" s="9">
        <f>VLOOKUP($A199,地图配置辅助表!$A$3:$AP$245,地图配置辅助表!Y$1,FALSE)</f>
        <v>0</v>
      </c>
      <c r="AN199" s="9">
        <f>VLOOKUP($A199,地图配置辅助表!$A$3:$AP$245,地图配置辅助表!Z$1,FALSE)</f>
        <v>0</v>
      </c>
      <c r="AO199" s="9">
        <f>VLOOKUP($A199,地图配置辅助表!$A$3:$AP$245,地图配置辅助表!AA$1,FALSE)</f>
        <v>0</v>
      </c>
      <c r="AP199" s="9">
        <f>VLOOKUP($A199,地图配置辅助表!$A$3:$AP$245,地图配置辅助表!AB$1,FALSE)</f>
        <v>0</v>
      </c>
      <c r="AQ199" s="9">
        <f>VLOOKUP($A199,地图配置辅助表!$A$3:$AP$245,地图配置辅助表!AC$1,FALSE)</f>
        <v>0</v>
      </c>
      <c r="AR199" s="9">
        <f>VLOOKUP($A199,地图配置辅助表!$A$3:$AP$245,地图配置辅助表!AD$1,FALSE)</f>
        <v>0</v>
      </c>
      <c r="AS199" s="9">
        <f>VLOOKUP($A199,地图配置辅助表!$A$3:$AP$245,地图配置辅助表!AE$1,FALSE)</f>
        <v>0</v>
      </c>
      <c r="AT199" s="9">
        <f>VLOOKUP($A199,地图配置辅助表!$A$3:$AP$245,地图配置辅助表!AF$1,FALSE)</f>
        <v>4</v>
      </c>
      <c r="AU199" s="9">
        <f>VLOOKUP($A199,地图配置辅助表!$A$3:$AP$245,地图配置辅助表!AG$1,FALSE)</f>
        <v>248</v>
      </c>
      <c r="AV199" s="9">
        <f>VLOOKUP($A199,地图配置辅助表!$A$3:$AP$245,地图配置辅助表!AH$1,FALSE)</f>
        <v>249</v>
      </c>
      <c r="AW199" s="9">
        <f>VLOOKUP($A199,地图配置辅助表!$A$3:$AP$245,地图配置辅助表!AI$1,FALSE)</f>
        <v>250</v>
      </c>
      <c r="AX199" s="9">
        <f>VLOOKUP($A199,地图配置辅助表!$A$3:$AP$245,地图配置辅助表!AJ$1,FALSE)</f>
        <v>251</v>
      </c>
      <c r="AY199" s="9">
        <f>VLOOKUP($A199,地图配置辅助表!$A$3:$AP$245,地图配置辅助表!AK$1,FALSE)</f>
        <v>0</v>
      </c>
      <c r="AZ199" s="9">
        <f>VLOOKUP($A199,地图配置辅助表!$A$3:$AP$245,地图配置辅助表!AL$1,FALSE)</f>
        <v>0</v>
      </c>
      <c r="BA199" s="9">
        <f>VLOOKUP($A199,地图配置辅助表!$A$3:$AP$245,地图配置辅助表!AM$1,FALSE)</f>
        <v>0</v>
      </c>
      <c r="BB199" s="9">
        <f>VLOOKUP($A199,地图配置辅助表!$A$3:$AP$245,地图配置辅助表!AN$1,FALSE)</f>
        <v>0</v>
      </c>
      <c r="BC199" s="9">
        <f>VLOOKUP($A199,地图配置辅助表!$A$3:$AP$245,地图配置辅助表!AO$1,FALSE)</f>
        <v>0</v>
      </c>
      <c r="BD199" s="9">
        <f>VLOOKUP($A199,地图配置辅助表!$A$3:$AP$245,地图配置辅助表!AP$1,FALSE)</f>
        <v>0</v>
      </c>
    </row>
    <row r="200" spans="1:56" s="9" customFormat="1" x14ac:dyDescent="0.15">
      <c r="A200">
        <f>地图配置辅助表!A201</f>
        <v>1913</v>
      </c>
      <c r="B200" s="8">
        <f>地图配置辅助表!B201</f>
        <v>6</v>
      </c>
      <c r="C200" s="9">
        <f>地图配置辅助表!C201</f>
        <v>1</v>
      </c>
      <c r="D200" s="9" t="str">
        <f>地图配置辅助表!D201</f>
        <v>英雄之路13</v>
      </c>
      <c r="E200" s="9" t="s">
        <v>416</v>
      </c>
      <c r="F200" s="9" t="s">
        <v>8</v>
      </c>
      <c r="G200" s="9">
        <v>29</v>
      </c>
      <c r="H200" s="9">
        <v>140</v>
      </c>
      <c r="I200" s="9">
        <v>140</v>
      </c>
      <c r="J200" s="9">
        <v>1560</v>
      </c>
      <c r="K200" s="9">
        <v>140</v>
      </c>
      <c r="L200" s="9" t="s">
        <v>236</v>
      </c>
      <c r="M200" s="9">
        <v>0</v>
      </c>
      <c r="R200" s="9" t="s">
        <v>251</v>
      </c>
      <c r="S200" s="11">
        <f>VLOOKUP($A200,地图配置辅助表!$A$3:$AP$245,地图配置辅助表!E$1,FALSE)</f>
        <v>0</v>
      </c>
      <c r="T200" s="9">
        <f>VLOOKUP($A200,地图配置辅助表!$A$3:$AP$245,地图配置辅助表!F$1,FALSE)</f>
        <v>0</v>
      </c>
      <c r="U200" s="9">
        <f>VLOOKUP($A200,地图配置辅助表!$A$3:$AP$245,地图配置辅助表!G$1,FALSE)</f>
        <v>1</v>
      </c>
      <c r="V200" s="9">
        <f>VLOOKUP($A200,地图配置辅助表!$A$3:$AP$245,地图配置辅助表!H$1,FALSE)</f>
        <v>1</v>
      </c>
      <c r="W200" s="9">
        <f>VLOOKUP($A200,地图配置辅助表!$A$3:$AP$245,地图配置辅助表!I$1,FALSE)</f>
        <v>0</v>
      </c>
      <c r="X200" s="9">
        <f>VLOOKUP($A200,地图配置辅助表!$A$3:$AP$245,地图配置辅助表!J$1,FALSE)</f>
        <v>0</v>
      </c>
      <c r="Y200" s="9">
        <f>VLOOKUP($A200,地图配置辅助表!$A$3:$AP$245,地图配置辅助表!K$1,FALSE)</f>
        <v>0</v>
      </c>
      <c r="Z200" s="9">
        <f>VLOOKUP($A200,地图配置辅助表!$A$3:$AP$245,地图配置辅助表!L$1,FALSE)</f>
        <v>0</v>
      </c>
      <c r="AA200" s="9">
        <f>VLOOKUP($A200,地图配置辅助表!$A$3:$AP$245,地图配置辅助表!M$1,FALSE)</f>
        <v>0</v>
      </c>
      <c r="AB200">
        <f>VLOOKUP($A200,地图配置辅助表!$A$3:$AP$245,地图配置辅助表!N$1,FALSE)</f>
        <v>1</v>
      </c>
      <c r="AC200" s="9">
        <f>VLOOKUP($A200,地图配置辅助表!$A$3:$AP$245,地图配置辅助表!O$1,FALSE)</f>
        <v>0</v>
      </c>
      <c r="AD200">
        <f>VLOOKUP($A200,地图配置辅助表!$A$3:$AP$245,地图配置辅助表!P$1,FALSE)</f>
        <v>0</v>
      </c>
      <c r="AE200" s="8">
        <f>VLOOKUP($A200,地图配置辅助表!$A$3:$AP$245,地图配置辅助表!Q$1,FALSE)</f>
        <v>0</v>
      </c>
      <c r="AF200" s="8">
        <f>VLOOKUP($A200,地图配置辅助表!$A$3:$AP$245,地图配置辅助表!R$1,FALSE)</f>
        <v>0</v>
      </c>
      <c r="AG200" s="11">
        <f>VLOOKUP($A200,地图配置辅助表!$A$3:$AP$245,地图配置辅助表!S$1,FALSE)</f>
        <v>501913</v>
      </c>
      <c r="AH200" s="11">
        <f>VLOOKUP($A200,地图配置辅助表!$A$3:$AP$245,地图配置辅助表!T$1,FALSE)</f>
        <v>0</v>
      </c>
      <c r="AI200" s="9">
        <f>VLOOKUP($A200,地图配置辅助表!$A$3:$AP$245,地图配置辅助表!U$1,FALSE)</f>
        <v>0</v>
      </c>
      <c r="AJ200" s="9">
        <f>VLOOKUP($A200,地图配置辅助表!$A$3:$AP$245,地图配置辅助表!V$1,FALSE)</f>
        <v>0</v>
      </c>
      <c r="AK200" s="9">
        <f>VLOOKUP($A200,地图配置辅助表!$A$3:$AP$245,地图配置辅助表!W$1,FALSE)</f>
        <v>0</v>
      </c>
      <c r="AL200" s="9">
        <f>VLOOKUP($A200,地图配置辅助表!$A$3:$AP$245,地图配置辅助表!X$1,FALSE)</f>
        <v>0</v>
      </c>
      <c r="AM200" s="9">
        <f>VLOOKUP($A200,地图配置辅助表!$A$3:$AP$245,地图配置辅助表!Y$1,FALSE)</f>
        <v>0</v>
      </c>
      <c r="AN200" s="9">
        <f>VLOOKUP($A200,地图配置辅助表!$A$3:$AP$245,地图配置辅助表!Z$1,FALSE)</f>
        <v>0</v>
      </c>
      <c r="AO200" s="9">
        <f>VLOOKUP($A200,地图配置辅助表!$A$3:$AP$245,地图配置辅助表!AA$1,FALSE)</f>
        <v>0</v>
      </c>
      <c r="AP200" s="9">
        <f>VLOOKUP($A200,地图配置辅助表!$A$3:$AP$245,地图配置辅助表!AB$1,FALSE)</f>
        <v>0</v>
      </c>
      <c r="AQ200" s="9">
        <f>VLOOKUP($A200,地图配置辅助表!$A$3:$AP$245,地图配置辅助表!AC$1,FALSE)</f>
        <v>0</v>
      </c>
      <c r="AR200" s="9">
        <f>VLOOKUP($A200,地图配置辅助表!$A$3:$AP$245,地图配置辅助表!AD$1,FALSE)</f>
        <v>0</v>
      </c>
      <c r="AS200" s="9">
        <f>VLOOKUP($A200,地图配置辅助表!$A$3:$AP$245,地图配置辅助表!AE$1,FALSE)</f>
        <v>0</v>
      </c>
      <c r="AT200" s="9">
        <f>VLOOKUP($A200,地图配置辅助表!$A$3:$AP$245,地图配置辅助表!AF$1,FALSE)</f>
        <v>0</v>
      </c>
      <c r="AU200" s="9">
        <f>VLOOKUP($A200,地图配置辅助表!$A$3:$AP$245,地图配置辅助表!AG$1,FALSE)</f>
        <v>0</v>
      </c>
      <c r="AV200" s="9">
        <f>VLOOKUP($A200,地图配置辅助表!$A$3:$AP$245,地图配置辅助表!AH$1,FALSE)</f>
        <v>0</v>
      </c>
      <c r="AW200" s="9">
        <f>VLOOKUP($A200,地图配置辅助表!$A$3:$AP$245,地图配置辅助表!AI$1,FALSE)</f>
        <v>0</v>
      </c>
      <c r="AX200" s="9">
        <f>VLOOKUP($A200,地图配置辅助表!$A$3:$AP$245,地图配置辅助表!AJ$1,FALSE)</f>
        <v>0</v>
      </c>
      <c r="AY200" s="9">
        <f>VLOOKUP($A200,地图配置辅助表!$A$3:$AP$245,地图配置辅助表!AK$1,FALSE)</f>
        <v>0</v>
      </c>
      <c r="AZ200" s="9">
        <f>VLOOKUP($A200,地图配置辅助表!$A$3:$AP$245,地图配置辅助表!AL$1,FALSE)</f>
        <v>0</v>
      </c>
      <c r="BA200" s="9">
        <f>VLOOKUP($A200,地图配置辅助表!$A$3:$AP$245,地图配置辅助表!AM$1,FALSE)</f>
        <v>0</v>
      </c>
      <c r="BB200" s="9">
        <f>VLOOKUP($A200,地图配置辅助表!$A$3:$AP$245,地图配置辅助表!AN$1,FALSE)</f>
        <v>0</v>
      </c>
      <c r="BC200" s="9">
        <f>VLOOKUP($A200,地图配置辅助表!$A$3:$AP$245,地图配置辅助表!AO$1,FALSE)</f>
        <v>0</v>
      </c>
      <c r="BD200" s="9">
        <f>VLOOKUP($A200,地图配置辅助表!$A$3:$AP$245,地图配置辅助表!AP$1,FALSE)</f>
        <v>0</v>
      </c>
    </row>
    <row r="201" spans="1:56" s="9" customFormat="1" x14ac:dyDescent="0.15">
      <c r="A201">
        <f>地图配置辅助表!A202</f>
        <v>1914</v>
      </c>
      <c r="B201" s="8">
        <f>地图配置辅助表!B202</f>
        <v>6</v>
      </c>
      <c r="C201" s="9">
        <f>地图配置辅助表!C202</f>
        <v>1</v>
      </c>
      <c r="D201" s="9" t="str">
        <f>地图配置辅助表!D202</f>
        <v>英雄之路14</v>
      </c>
      <c r="E201" s="9" t="s">
        <v>542</v>
      </c>
      <c r="F201" s="9" t="s">
        <v>101</v>
      </c>
      <c r="G201" s="9">
        <v>29</v>
      </c>
      <c r="H201" s="9">
        <v>400</v>
      </c>
      <c r="I201" s="9">
        <v>130</v>
      </c>
      <c r="J201" s="9">
        <v>400</v>
      </c>
      <c r="K201" s="9">
        <v>130</v>
      </c>
      <c r="L201" s="9" t="s">
        <v>237</v>
      </c>
      <c r="M201" s="9">
        <v>120</v>
      </c>
      <c r="R201" s="9" t="s">
        <v>249</v>
      </c>
      <c r="S201" s="11">
        <f>VLOOKUP($A201,地图配置辅助表!$A$3:$AP$245,地图配置辅助表!E$1,FALSE)</f>
        <v>0</v>
      </c>
      <c r="T201" s="9">
        <f>VLOOKUP($A201,地图配置辅助表!$A$3:$AP$245,地图配置辅助表!F$1,FALSE)</f>
        <v>0</v>
      </c>
      <c r="U201" s="9">
        <f>VLOOKUP($A201,地图配置辅助表!$A$3:$AP$245,地图配置辅助表!G$1,FALSE)</f>
        <v>1</v>
      </c>
      <c r="V201" s="9">
        <f>VLOOKUP($A201,地图配置辅助表!$A$3:$AP$245,地图配置辅助表!H$1,FALSE)</f>
        <v>1</v>
      </c>
      <c r="W201" s="9">
        <f>VLOOKUP($A201,地图配置辅助表!$A$3:$AP$245,地图配置辅助表!I$1,FALSE)</f>
        <v>0</v>
      </c>
      <c r="X201" s="9">
        <f>VLOOKUP($A201,地图配置辅助表!$A$3:$AP$245,地图配置辅助表!J$1,FALSE)</f>
        <v>0</v>
      </c>
      <c r="Y201" s="9">
        <f>VLOOKUP($A201,地图配置辅助表!$A$3:$AP$245,地图配置辅助表!K$1,FALSE)</f>
        <v>0</v>
      </c>
      <c r="Z201" s="9">
        <f>VLOOKUP($A201,地图配置辅助表!$A$3:$AP$245,地图配置辅助表!L$1,FALSE)</f>
        <v>0</v>
      </c>
      <c r="AA201" s="9">
        <f>VLOOKUP($A201,地图配置辅助表!$A$3:$AP$245,地图配置辅助表!M$1,FALSE)</f>
        <v>0</v>
      </c>
      <c r="AB201">
        <f>VLOOKUP($A201,地图配置辅助表!$A$3:$AP$245,地图配置辅助表!N$1,FALSE)</f>
        <v>1</v>
      </c>
      <c r="AC201" s="9">
        <f>VLOOKUP($A201,地图配置辅助表!$A$3:$AP$245,地图配置辅助表!O$1,FALSE)</f>
        <v>0</v>
      </c>
      <c r="AD201">
        <f>VLOOKUP($A201,地图配置辅助表!$A$3:$AP$245,地图配置辅助表!P$1,FALSE)</f>
        <v>0</v>
      </c>
      <c r="AE201" s="8">
        <f>VLOOKUP($A201,地图配置辅助表!$A$3:$AP$245,地图配置辅助表!Q$1,FALSE)</f>
        <v>0</v>
      </c>
      <c r="AF201" s="8">
        <f>VLOOKUP($A201,地图配置辅助表!$A$3:$AP$245,地图配置辅助表!R$1,FALSE)</f>
        <v>0</v>
      </c>
      <c r="AG201" s="11">
        <f>VLOOKUP($A201,地图配置辅助表!$A$3:$AP$245,地图配置辅助表!S$1,FALSE)</f>
        <v>501914</v>
      </c>
      <c r="AH201" s="11">
        <f>VLOOKUP($A201,地图配置辅助表!$A$3:$AP$245,地图配置辅助表!T$1,FALSE)</f>
        <v>0</v>
      </c>
      <c r="AI201" s="9">
        <f>VLOOKUP($A201,地图配置辅助表!$A$3:$AP$245,地图配置辅助表!U$1,FALSE)</f>
        <v>0</v>
      </c>
      <c r="AJ201" s="9">
        <f>VLOOKUP($A201,地图配置辅助表!$A$3:$AP$245,地图配置辅助表!V$1,FALSE)</f>
        <v>0</v>
      </c>
      <c r="AK201" s="9">
        <f>VLOOKUP($A201,地图配置辅助表!$A$3:$AP$245,地图配置辅助表!W$1,FALSE)</f>
        <v>0</v>
      </c>
      <c r="AL201" s="9">
        <f>VLOOKUP($A201,地图配置辅助表!$A$3:$AP$245,地图配置辅助表!X$1,FALSE)</f>
        <v>0</v>
      </c>
      <c r="AM201" s="9">
        <f>VLOOKUP($A201,地图配置辅助表!$A$3:$AP$245,地图配置辅助表!Y$1,FALSE)</f>
        <v>0</v>
      </c>
      <c r="AN201" s="9">
        <f>VLOOKUP($A201,地图配置辅助表!$A$3:$AP$245,地图配置辅助表!Z$1,FALSE)</f>
        <v>0</v>
      </c>
      <c r="AO201" s="9">
        <f>VLOOKUP($A201,地图配置辅助表!$A$3:$AP$245,地图配置辅助表!AA$1,FALSE)</f>
        <v>0</v>
      </c>
      <c r="AP201" s="9">
        <f>VLOOKUP($A201,地图配置辅助表!$A$3:$AP$245,地图配置辅助表!AB$1,FALSE)</f>
        <v>0</v>
      </c>
      <c r="AQ201" s="9">
        <f>VLOOKUP($A201,地图配置辅助表!$A$3:$AP$245,地图配置辅助表!AC$1,FALSE)</f>
        <v>0</v>
      </c>
      <c r="AR201" s="9">
        <f>VLOOKUP($A201,地图配置辅助表!$A$3:$AP$245,地图配置辅助表!AD$1,FALSE)</f>
        <v>0</v>
      </c>
      <c r="AS201" s="9">
        <f>VLOOKUP($A201,地图配置辅助表!$A$3:$AP$245,地图配置辅助表!AE$1,FALSE)</f>
        <v>0</v>
      </c>
      <c r="AT201" s="9">
        <f>VLOOKUP($A201,地图配置辅助表!$A$3:$AP$245,地图配置辅助表!AF$1,FALSE)</f>
        <v>1</v>
      </c>
      <c r="AU201" s="9">
        <f>VLOOKUP($A201,地图配置辅助表!$A$3:$AP$245,地图配置辅助表!AG$1,FALSE)</f>
        <v>181</v>
      </c>
      <c r="AV201" s="9">
        <f>VLOOKUP($A201,地图配置辅助表!$A$3:$AP$245,地图配置辅助表!AH$1,FALSE)</f>
        <v>0</v>
      </c>
      <c r="AW201" s="9">
        <f>VLOOKUP($A201,地图配置辅助表!$A$3:$AP$245,地图配置辅助表!AI$1,FALSE)</f>
        <v>0</v>
      </c>
      <c r="AX201" s="9">
        <f>VLOOKUP($A201,地图配置辅助表!$A$3:$AP$245,地图配置辅助表!AJ$1,FALSE)</f>
        <v>0</v>
      </c>
      <c r="AY201" s="9">
        <f>VLOOKUP($A201,地图配置辅助表!$A$3:$AP$245,地图配置辅助表!AK$1,FALSE)</f>
        <v>0</v>
      </c>
      <c r="AZ201" s="9">
        <f>VLOOKUP($A201,地图配置辅助表!$A$3:$AP$245,地图配置辅助表!AL$1,FALSE)</f>
        <v>0</v>
      </c>
      <c r="BA201" s="9">
        <f>VLOOKUP($A201,地图配置辅助表!$A$3:$AP$245,地图配置辅助表!AM$1,FALSE)</f>
        <v>0</v>
      </c>
      <c r="BB201" s="9">
        <f>VLOOKUP($A201,地图配置辅助表!$A$3:$AP$245,地图配置辅助表!AN$1,FALSE)</f>
        <v>0</v>
      </c>
      <c r="BC201" s="9">
        <f>VLOOKUP($A201,地图配置辅助表!$A$3:$AP$245,地图配置辅助表!AO$1,FALSE)</f>
        <v>0</v>
      </c>
      <c r="BD201" s="9">
        <f>VLOOKUP($A201,地图配置辅助表!$A$3:$AP$245,地图配置辅助表!AP$1,FALSE)</f>
        <v>0</v>
      </c>
    </row>
    <row r="202" spans="1:56" s="9" customFormat="1" x14ac:dyDescent="0.15">
      <c r="A202">
        <f>地图配置辅助表!A203</f>
        <v>1915</v>
      </c>
      <c r="B202" s="8">
        <f>地图配置辅助表!B203</f>
        <v>6</v>
      </c>
      <c r="C202" s="9">
        <f>地图配置辅助表!C203</f>
        <v>1</v>
      </c>
      <c r="D202" s="9" t="str">
        <f>地图配置辅助表!D203</f>
        <v>英雄之路15</v>
      </c>
      <c r="E202" s="9" t="s">
        <v>543</v>
      </c>
      <c r="F202" s="9" t="s">
        <v>102</v>
      </c>
      <c r="G202" s="9">
        <v>29</v>
      </c>
      <c r="H202" s="9">
        <v>400</v>
      </c>
      <c r="I202" s="9">
        <v>130</v>
      </c>
      <c r="J202" s="9">
        <v>400</v>
      </c>
      <c r="K202" s="9">
        <v>130</v>
      </c>
      <c r="L202" s="9" t="s">
        <v>237</v>
      </c>
      <c r="M202" s="9">
        <v>120</v>
      </c>
      <c r="R202" s="9" t="s">
        <v>249</v>
      </c>
      <c r="S202" s="11">
        <f>VLOOKUP($A202,地图配置辅助表!$A$3:$AP$245,地图配置辅助表!E$1,FALSE)</f>
        <v>0</v>
      </c>
      <c r="T202" s="9">
        <f>VLOOKUP($A202,地图配置辅助表!$A$3:$AP$245,地图配置辅助表!F$1,FALSE)</f>
        <v>0</v>
      </c>
      <c r="U202" s="9">
        <f>VLOOKUP($A202,地图配置辅助表!$A$3:$AP$245,地图配置辅助表!G$1,FALSE)</f>
        <v>1</v>
      </c>
      <c r="V202" s="9">
        <f>VLOOKUP($A202,地图配置辅助表!$A$3:$AP$245,地图配置辅助表!H$1,FALSE)</f>
        <v>1</v>
      </c>
      <c r="W202" s="9">
        <f>VLOOKUP($A202,地图配置辅助表!$A$3:$AP$245,地图配置辅助表!I$1,FALSE)</f>
        <v>0</v>
      </c>
      <c r="X202" s="9">
        <f>VLOOKUP($A202,地图配置辅助表!$A$3:$AP$245,地图配置辅助表!J$1,FALSE)</f>
        <v>0</v>
      </c>
      <c r="Y202" s="9">
        <f>VLOOKUP($A202,地图配置辅助表!$A$3:$AP$245,地图配置辅助表!K$1,FALSE)</f>
        <v>0</v>
      </c>
      <c r="Z202" s="9">
        <f>VLOOKUP($A202,地图配置辅助表!$A$3:$AP$245,地图配置辅助表!L$1,FALSE)</f>
        <v>0</v>
      </c>
      <c r="AA202" s="9">
        <f>VLOOKUP($A202,地图配置辅助表!$A$3:$AP$245,地图配置辅助表!M$1,FALSE)</f>
        <v>0</v>
      </c>
      <c r="AB202">
        <f>VLOOKUP($A202,地图配置辅助表!$A$3:$AP$245,地图配置辅助表!N$1,FALSE)</f>
        <v>1</v>
      </c>
      <c r="AC202" s="9">
        <f>VLOOKUP($A202,地图配置辅助表!$A$3:$AP$245,地图配置辅助表!O$1,FALSE)</f>
        <v>0</v>
      </c>
      <c r="AD202">
        <f>VLOOKUP($A202,地图配置辅助表!$A$3:$AP$245,地图配置辅助表!P$1,FALSE)</f>
        <v>0</v>
      </c>
      <c r="AE202" s="8">
        <f>VLOOKUP($A202,地图配置辅助表!$A$3:$AP$245,地图配置辅助表!Q$1,FALSE)</f>
        <v>0</v>
      </c>
      <c r="AF202" s="8">
        <f>VLOOKUP($A202,地图配置辅助表!$A$3:$AP$245,地图配置辅助表!R$1,FALSE)</f>
        <v>0</v>
      </c>
      <c r="AG202" s="11">
        <f>VLOOKUP($A202,地图配置辅助表!$A$3:$AP$245,地图配置辅助表!S$1,FALSE)</f>
        <v>501915</v>
      </c>
      <c r="AH202" s="11">
        <f>VLOOKUP($A202,地图配置辅助表!$A$3:$AP$245,地图配置辅助表!T$1,FALSE)</f>
        <v>0</v>
      </c>
      <c r="AI202" s="9">
        <f>VLOOKUP($A202,地图配置辅助表!$A$3:$AP$245,地图配置辅助表!U$1,FALSE)</f>
        <v>0</v>
      </c>
      <c r="AJ202" s="9">
        <f>VLOOKUP($A202,地图配置辅助表!$A$3:$AP$245,地图配置辅助表!V$1,FALSE)</f>
        <v>0</v>
      </c>
      <c r="AK202" s="9">
        <f>VLOOKUP($A202,地图配置辅助表!$A$3:$AP$245,地图配置辅助表!W$1,FALSE)</f>
        <v>0</v>
      </c>
      <c r="AL202" s="9">
        <f>VLOOKUP($A202,地图配置辅助表!$A$3:$AP$245,地图配置辅助表!X$1,FALSE)</f>
        <v>0</v>
      </c>
      <c r="AM202" s="9">
        <f>VLOOKUP($A202,地图配置辅助表!$A$3:$AP$245,地图配置辅助表!Y$1,FALSE)</f>
        <v>0</v>
      </c>
      <c r="AN202" s="9">
        <f>VLOOKUP($A202,地图配置辅助表!$A$3:$AP$245,地图配置辅助表!Z$1,FALSE)</f>
        <v>0</v>
      </c>
      <c r="AO202" s="9">
        <f>VLOOKUP($A202,地图配置辅助表!$A$3:$AP$245,地图配置辅助表!AA$1,FALSE)</f>
        <v>0</v>
      </c>
      <c r="AP202" s="9">
        <f>VLOOKUP($A202,地图配置辅助表!$A$3:$AP$245,地图配置辅助表!AB$1,FALSE)</f>
        <v>0</v>
      </c>
      <c r="AQ202" s="9">
        <f>VLOOKUP($A202,地图配置辅助表!$A$3:$AP$245,地图配置辅助表!AC$1,FALSE)</f>
        <v>0</v>
      </c>
      <c r="AR202" s="9">
        <f>VLOOKUP($A202,地图配置辅助表!$A$3:$AP$245,地图配置辅助表!AD$1,FALSE)</f>
        <v>0</v>
      </c>
      <c r="AS202" s="9">
        <f>VLOOKUP($A202,地图配置辅助表!$A$3:$AP$245,地图配置辅助表!AE$1,FALSE)</f>
        <v>0</v>
      </c>
      <c r="AT202" s="9">
        <f>VLOOKUP($A202,地图配置辅助表!$A$3:$AP$245,地图配置辅助表!AF$1,FALSE)</f>
        <v>1</v>
      </c>
      <c r="AU202" s="9">
        <f>VLOOKUP($A202,地图配置辅助表!$A$3:$AP$245,地图配置辅助表!AG$1,FALSE)</f>
        <v>182</v>
      </c>
      <c r="AV202" s="9">
        <f>VLOOKUP($A202,地图配置辅助表!$A$3:$AP$245,地图配置辅助表!AH$1,FALSE)</f>
        <v>0</v>
      </c>
      <c r="AW202" s="9">
        <f>VLOOKUP($A202,地图配置辅助表!$A$3:$AP$245,地图配置辅助表!AI$1,FALSE)</f>
        <v>0</v>
      </c>
      <c r="AX202" s="9">
        <f>VLOOKUP($A202,地图配置辅助表!$A$3:$AP$245,地图配置辅助表!AJ$1,FALSE)</f>
        <v>0</v>
      </c>
      <c r="AY202" s="9">
        <f>VLOOKUP($A202,地图配置辅助表!$A$3:$AP$245,地图配置辅助表!AK$1,FALSE)</f>
        <v>0</v>
      </c>
      <c r="AZ202" s="9">
        <f>VLOOKUP($A202,地图配置辅助表!$A$3:$AP$245,地图配置辅助表!AL$1,FALSE)</f>
        <v>0</v>
      </c>
      <c r="BA202" s="9">
        <f>VLOOKUP($A202,地图配置辅助表!$A$3:$AP$245,地图配置辅助表!AM$1,FALSE)</f>
        <v>0</v>
      </c>
      <c r="BB202" s="9">
        <f>VLOOKUP($A202,地图配置辅助表!$A$3:$AP$245,地图配置辅助表!AN$1,FALSE)</f>
        <v>0</v>
      </c>
      <c r="BC202" s="9">
        <f>VLOOKUP($A202,地图配置辅助表!$A$3:$AP$245,地图配置辅助表!AO$1,FALSE)</f>
        <v>0</v>
      </c>
      <c r="BD202" s="9">
        <f>VLOOKUP($A202,地图配置辅助表!$A$3:$AP$245,地图配置辅助表!AP$1,FALSE)</f>
        <v>0</v>
      </c>
    </row>
    <row r="203" spans="1:56" s="9" customFormat="1" x14ac:dyDescent="0.15">
      <c r="A203">
        <f>地图配置辅助表!A204</f>
        <v>1916</v>
      </c>
      <c r="B203" s="8">
        <f>地图配置辅助表!B204</f>
        <v>6</v>
      </c>
      <c r="C203" s="9">
        <f>地图配置辅助表!C204</f>
        <v>1</v>
      </c>
      <c r="D203" s="9" t="str">
        <f>地图配置辅助表!D204</f>
        <v>英雄之路16</v>
      </c>
      <c r="E203" s="9" t="s">
        <v>544</v>
      </c>
      <c r="F203" s="9" t="s">
        <v>103</v>
      </c>
      <c r="G203" s="9">
        <v>29</v>
      </c>
      <c r="H203" s="9">
        <v>400</v>
      </c>
      <c r="I203" s="9">
        <v>130</v>
      </c>
      <c r="J203" s="9">
        <v>400</v>
      </c>
      <c r="K203" s="9">
        <v>130</v>
      </c>
      <c r="L203" s="9" t="s">
        <v>237</v>
      </c>
      <c r="M203" s="9">
        <v>120</v>
      </c>
      <c r="R203" s="9" t="s">
        <v>249</v>
      </c>
      <c r="S203" s="11">
        <f>VLOOKUP($A203,地图配置辅助表!$A$3:$AP$245,地图配置辅助表!E$1,FALSE)</f>
        <v>0</v>
      </c>
      <c r="T203" s="9">
        <f>VLOOKUP($A203,地图配置辅助表!$A$3:$AP$245,地图配置辅助表!F$1,FALSE)</f>
        <v>0</v>
      </c>
      <c r="U203" s="9">
        <f>VLOOKUP($A203,地图配置辅助表!$A$3:$AP$245,地图配置辅助表!G$1,FALSE)</f>
        <v>1</v>
      </c>
      <c r="V203" s="9">
        <f>VLOOKUP($A203,地图配置辅助表!$A$3:$AP$245,地图配置辅助表!H$1,FALSE)</f>
        <v>1</v>
      </c>
      <c r="W203" s="9">
        <f>VLOOKUP($A203,地图配置辅助表!$A$3:$AP$245,地图配置辅助表!I$1,FALSE)</f>
        <v>0</v>
      </c>
      <c r="X203" s="9">
        <f>VLOOKUP($A203,地图配置辅助表!$A$3:$AP$245,地图配置辅助表!J$1,FALSE)</f>
        <v>0</v>
      </c>
      <c r="Y203" s="9">
        <f>VLOOKUP($A203,地图配置辅助表!$A$3:$AP$245,地图配置辅助表!K$1,FALSE)</f>
        <v>0</v>
      </c>
      <c r="Z203" s="9">
        <f>VLOOKUP($A203,地图配置辅助表!$A$3:$AP$245,地图配置辅助表!L$1,FALSE)</f>
        <v>0</v>
      </c>
      <c r="AA203" s="9">
        <f>VLOOKUP($A203,地图配置辅助表!$A$3:$AP$245,地图配置辅助表!M$1,FALSE)</f>
        <v>0</v>
      </c>
      <c r="AB203">
        <f>VLOOKUP($A203,地图配置辅助表!$A$3:$AP$245,地图配置辅助表!N$1,FALSE)</f>
        <v>1</v>
      </c>
      <c r="AC203" s="9">
        <f>VLOOKUP($A203,地图配置辅助表!$A$3:$AP$245,地图配置辅助表!O$1,FALSE)</f>
        <v>0</v>
      </c>
      <c r="AD203">
        <f>VLOOKUP($A203,地图配置辅助表!$A$3:$AP$245,地图配置辅助表!P$1,FALSE)</f>
        <v>0</v>
      </c>
      <c r="AE203" s="8">
        <f>VLOOKUP($A203,地图配置辅助表!$A$3:$AP$245,地图配置辅助表!Q$1,FALSE)</f>
        <v>0</v>
      </c>
      <c r="AF203" s="8">
        <f>VLOOKUP($A203,地图配置辅助表!$A$3:$AP$245,地图配置辅助表!R$1,FALSE)</f>
        <v>0</v>
      </c>
      <c r="AG203" s="11">
        <f>VLOOKUP($A203,地图配置辅助表!$A$3:$AP$245,地图配置辅助表!S$1,FALSE)</f>
        <v>501916</v>
      </c>
      <c r="AH203" s="11">
        <f>VLOOKUP($A203,地图配置辅助表!$A$3:$AP$245,地图配置辅助表!T$1,FALSE)</f>
        <v>0</v>
      </c>
      <c r="AI203" s="9">
        <f>VLOOKUP($A203,地图配置辅助表!$A$3:$AP$245,地图配置辅助表!U$1,FALSE)</f>
        <v>0</v>
      </c>
      <c r="AJ203" s="9">
        <f>VLOOKUP($A203,地图配置辅助表!$A$3:$AP$245,地图配置辅助表!V$1,FALSE)</f>
        <v>0</v>
      </c>
      <c r="AK203" s="9">
        <f>VLOOKUP($A203,地图配置辅助表!$A$3:$AP$245,地图配置辅助表!W$1,FALSE)</f>
        <v>0</v>
      </c>
      <c r="AL203" s="9">
        <f>VLOOKUP($A203,地图配置辅助表!$A$3:$AP$245,地图配置辅助表!X$1,FALSE)</f>
        <v>0</v>
      </c>
      <c r="AM203" s="9">
        <f>VLOOKUP($A203,地图配置辅助表!$A$3:$AP$245,地图配置辅助表!Y$1,FALSE)</f>
        <v>0</v>
      </c>
      <c r="AN203" s="9">
        <f>VLOOKUP($A203,地图配置辅助表!$A$3:$AP$245,地图配置辅助表!Z$1,FALSE)</f>
        <v>0</v>
      </c>
      <c r="AO203" s="9">
        <f>VLOOKUP($A203,地图配置辅助表!$A$3:$AP$245,地图配置辅助表!AA$1,FALSE)</f>
        <v>0</v>
      </c>
      <c r="AP203" s="9">
        <f>VLOOKUP($A203,地图配置辅助表!$A$3:$AP$245,地图配置辅助表!AB$1,FALSE)</f>
        <v>0</v>
      </c>
      <c r="AQ203" s="9">
        <f>VLOOKUP($A203,地图配置辅助表!$A$3:$AP$245,地图配置辅助表!AC$1,FALSE)</f>
        <v>0</v>
      </c>
      <c r="AR203" s="9">
        <f>VLOOKUP($A203,地图配置辅助表!$A$3:$AP$245,地图配置辅助表!AD$1,FALSE)</f>
        <v>0</v>
      </c>
      <c r="AS203" s="9">
        <f>VLOOKUP($A203,地图配置辅助表!$A$3:$AP$245,地图配置辅助表!AE$1,FALSE)</f>
        <v>0</v>
      </c>
      <c r="AT203" s="9">
        <f>VLOOKUP($A203,地图配置辅助表!$A$3:$AP$245,地图配置辅助表!AF$1,FALSE)</f>
        <v>1</v>
      </c>
      <c r="AU203" s="9">
        <f>VLOOKUP($A203,地图配置辅助表!$A$3:$AP$245,地图配置辅助表!AG$1,FALSE)</f>
        <v>183</v>
      </c>
      <c r="AV203" s="9">
        <f>VLOOKUP($A203,地图配置辅助表!$A$3:$AP$245,地图配置辅助表!AH$1,FALSE)</f>
        <v>0</v>
      </c>
      <c r="AW203" s="9">
        <f>VLOOKUP($A203,地图配置辅助表!$A$3:$AP$245,地图配置辅助表!AI$1,FALSE)</f>
        <v>0</v>
      </c>
      <c r="AX203" s="9">
        <f>VLOOKUP($A203,地图配置辅助表!$A$3:$AP$245,地图配置辅助表!AJ$1,FALSE)</f>
        <v>0</v>
      </c>
      <c r="AY203" s="9">
        <f>VLOOKUP($A203,地图配置辅助表!$A$3:$AP$245,地图配置辅助表!AK$1,FALSE)</f>
        <v>0</v>
      </c>
      <c r="AZ203" s="9">
        <f>VLOOKUP($A203,地图配置辅助表!$A$3:$AP$245,地图配置辅助表!AL$1,FALSE)</f>
        <v>0</v>
      </c>
      <c r="BA203" s="9">
        <f>VLOOKUP($A203,地图配置辅助表!$A$3:$AP$245,地图配置辅助表!AM$1,FALSE)</f>
        <v>0</v>
      </c>
      <c r="BB203" s="9">
        <f>VLOOKUP($A203,地图配置辅助表!$A$3:$AP$245,地图配置辅助表!AN$1,FALSE)</f>
        <v>0</v>
      </c>
      <c r="BC203" s="9">
        <f>VLOOKUP($A203,地图配置辅助表!$A$3:$AP$245,地图配置辅助表!AO$1,FALSE)</f>
        <v>0</v>
      </c>
      <c r="BD203" s="9">
        <f>VLOOKUP($A203,地图配置辅助表!$A$3:$AP$245,地图配置辅助表!AP$1,FALSE)</f>
        <v>0</v>
      </c>
    </row>
    <row r="204" spans="1:56" s="9" customFormat="1" x14ac:dyDescent="0.15">
      <c r="A204">
        <f>地图配置辅助表!A205</f>
        <v>1917</v>
      </c>
      <c r="B204" s="8">
        <f>地图配置辅助表!B205</f>
        <v>6</v>
      </c>
      <c r="C204" s="9">
        <f>地图配置辅助表!C205</f>
        <v>1</v>
      </c>
      <c r="D204" s="9" t="str">
        <f>地图配置辅助表!D205</f>
        <v>英雄之路17</v>
      </c>
      <c r="E204" s="9" t="s">
        <v>545</v>
      </c>
      <c r="F204" s="9" t="s">
        <v>104</v>
      </c>
      <c r="G204" s="9">
        <v>29</v>
      </c>
      <c r="H204" s="9">
        <v>400</v>
      </c>
      <c r="I204" s="9">
        <v>130</v>
      </c>
      <c r="J204" s="9">
        <v>400</v>
      </c>
      <c r="K204" s="9">
        <v>130</v>
      </c>
      <c r="L204" s="9" t="s">
        <v>237</v>
      </c>
      <c r="M204" s="9">
        <v>120</v>
      </c>
      <c r="R204" s="9" t="s">
        <v>249</v>
      </c>
      <c r="S204" s="11">
        <f>VLOOKUP($A204,地图配置辅助表!$A$3:$AP$245,地图配置辅助表!E$1,FALSE)</f>
        <v>0</v>
      </c>
      <c r="T204" s="9">
        <f>VLOOKUP($A204,地图配置辅助表!$A$3:$AP$245,地图配置辅助表!F$1,FALSE)</f>
        <v>0</v>
      </c>
      <c r="U204" s="9">
        <f>VLOOKUP($A204,地图配置辅助表!$A$3:$AP$245,地图配置辅助表!G$1,FALSE)</f>
        <v>1</v>
      </c>
      <c r="V204" s="9">
        <f>VLOOKUP($A204,地图配置辅助表!$A$3:$AP$245,地图配置辅助表!H$1,FALSE)</f>
        <v>1</v>
      </c>
      <c r="W204" s="9">
        <f>VLOOKUP($A204,地图配置辅助表!$A$3:$AP$245,地图配置辅助表!I$1,FALSE)</f>
        <v>0</v>
      </c>
      <c r="X204" s="9">
        <f>VLOOKUP($A204,地图配置辅助表!$A$3:$AP$245,地图配置辅助表!J$1,FALSE)</f>
        <v>0</v>
      </c>
      <c r="Y204" s="9">
        <f>VLOOKUP($A204,地图配置辅助表!$A$3:$AP$245,地图配置辅助表!K$1,FALSE)</f>
        <v>0</v>
      </c>
      <c r="Z204" s="9">
        <f>VLOOKUP($A204,地图配置辅助表!$A$3:$AP$245,地图配置辅助表!L$1,FALSE)</f>
        <v>0</v>
      </c>
      <c r="AA204" s="9">
        <f>VLOOKUP($A204,地图配置辅助表!$A$3:$AP$245,地图配置辅助表!M$1,FALSE)</f>
        <v>0</v>
      </c>
      <c r="AB204">
        <f>VLOOKUP($A204,地图配置辅助表!$A$3:$AP$245,地图配置辅助表!N$1,FALSE)</f>
        <v>1</v>
      </c>
      <c r="AC204" s="9">
        <f>VLOOKUP($A204,地图配置辅助表!$A$3:$AP$245,地图配置辅助表!O$1,FALSE)</f>
        <v>0</v>
      </c>
      <c r="AD204">
        <f>VLOOKUP($A204,地图配置辅助表!$A$3:$AP$245,地图配置辅助表!P$1,FALSE)</f>
        <v>0</v>
      </c>
      <c r="AE204" s="8">
        <f>VLOOKUP($A204,地图配置辅助表!$A$3:$AP$245,地图配置辅助表!Q$1,FALSE)</f>
        <v>0</v>
      </c>
      <c r="AF204" s="8">
        <f>VLOOKUP($A204,地图配置辅助表!$A$3:$AP$245,地图配置辅助表!R$1,FALSE)</f>
        <v>0</v>
      </c>
      <c r="AG204" s="11">
        <f>VLOOKUP($A204,地图配置辅助表!$A$3:$AP$245,地图配置辅助表!S$1,FALSE)</f>
        <v>501917</v>
      </c>
      <c r="AH204" s="11">
        <f>VLOOKUP($A204,地图配置辅助表!$A$3:$AP$245,地图配置辅助表!T$1,FALSE)</f>
        <v>0</v>
      </c>
      <c r="AI204" s="9">
        <f>VLOOKUP($A204,地图配置辅助表!$A$3:$AP$245,地图配置辅助表!U$1,FALSE)</f>
        <v>0</v>
      </c>
      <c r="AJ204" s="9">
        <f>VLOOKUP($A204,地图配置辅助表!$A$3:$AP$245,地图配置辅助表!V$1,FALSE)</f>
        <v>0</v>
      </c>
      <c r="AK204" s="9">
        <f>VLOOKUP($A204,地图配置辅助表!$A$3:$AP$245,地图配置辅助表!W$1,FALSE)</f>
        <v>0</v>
      </c>
      <c r="AL204" s="9">
        <f>VLOOKUP($A204,地图配置辅助表!$A$3:$AP$245,地图配置辅助表!X$1,FALSE)</f>
        <v>0</v>
      </c>
      <c r="AM204" s="9">
        <f>VLOOKUP($A204,地图配置辅助表!$A$3:$AP$245,地图配置辅助表!Y$1,FALSE)</f>
        <v>0</v>
      </c>
      <c r="AN204" s="9">
        <f>VLOOKUP($A204,地图配置辅助表!$A$3:$AP$245,地图配置辅助表!Z$1,FALSE)</f>
        <v>0</v>
      </c>
      <c r="AO204" s="9">
        <f>VLOOKUP($A204,地图配置辅助表!$A$3:$AP$245,地图配置辅助表!AA$1,FALSE)</f>
        <v>0</v>
      </c>
      <c r="AP204" s="9">
        <f>VLOOKUP($A204,地图配置辅助表!$A$3:$AP$245,地图配置辅助表!AB$1,FALSE)</f>
        <v>0</v>
      </c>
      <c r="AQ204" s="9">
        <f>VLOOKUP($A204,地图配置辅助表!$A$3:$AP$245,地图配置辅助表!AC$1,FALSE)</f>
        <v>0</v>
      </c>
      <c r="AR204" s="9">
        <f>VLOOKUP($A204,地图配置辅助表!$A$3:$AP$245,地图配置辅助表!AD$1,FALSE)</f>
        <v>0</v>
      </c>
      <c r="AS204" s="9">
        <f>VLOOKUP($A204,地图配置辅助表!$A$3:$AP$245,地图配置辅助表!AE$1,FALSE)</f>
        <v>0</v>
      </c>
      <c r="AT204" s="9">
        <f>VLOOKUP($A204,地图配置辅助表!$A$3:$AP$245,地图配置辅助表!AF$1,FALSE)</f>
        <v>1</v>
      </c>
      <c r="AU204" s="9">
        <f>VLOOKUP($A204,地图配置辅助表!$A$3:$AP$245,地图配置辅助表!AG$1,FALSE)</f>
        <v>184</v>
      </c>
      <c r="AV204" s="9">
        <f>VLOOKUP($A204,地图配置辅助表!$A$3:$AP$245,地图配置辅助表!AH$1,FALSE)</f>
        <v>0</v>
      </c>
      <c r="AW204" s="9">
        <f>VLOOKUP($A204,地图配置辅助表!$A$3:$AP$245,地图配置辅助表!AI$1,FALSE)</f>
        <v>0</v>
      </c>
      <c r="AX204" s="9">
        <f>VLOOKUP($A204,地图配置辅助表!$A$3:$AP$245,地图配置辅助表!AJ$1,FALSE)</f>
        <v>0</v>
      </c>
      <c r="AY204" s="9">
        <f>VLOOKUP($A204,地图配置辅助表!$A$3:$AP$245,地图配置辅助表!AK$1,FALSE)</f>
        <v>0</v>
      </c>
      <c r="AZ204" s="9">
        <f>VLOOKUP($A204,地图配置辅助表!$A$3:$AP$245,地图配置辅助表!AL$1,FALSE)</f>
        <v>0</v>
      </c>
      <c r="BA204" s="9">
        <f>VLOOKUP($A204,地图配置辅助表!$A$3:$AP$245,地图配置辅助表!AM$1,FALSE)</f>
        <v>0</v>
      </c>
      <c r="BB204" s="9">
        <f>VLOOKUP($A204,地图配置辅助表!$A$3:$AP$245,地图配置辅助表!AN$1,FALSE)</f>
        <v>0</v>
      </c>
      <c r="BC204" s="9">
        <f>VLOOKUP($A204,地图配置辅助表!$A$3:$AP$245,地图配置辅助表!AO$1,FALSE)</f>
        <v>0</v>
      </c>
      <c r="BD204" s="9">
        <f>VLOOKUP($A204,地图配置辅助表!$A$3:$AP$245,地图配置辅助表!AP$1,FALSE)</f>
        <v>0</v>
      </c>
    </row>
    <row r="205" spans="1:56" s="9" customFormat="1" x14ac:dyDescent="0.15">
      <c r="A205">
        <f>地图配置辅助表!A206</f>
        <v>1918</v>
      </c>
      <c r="B205" s="8">
        <f>地图配置辅助表!B206</f>
        <v>6</v>
      </c>
      <c r="C205" s="9">
        <f>地图配置辅助表!C206</f>
        <v>1</v>
      </c>
      <c r="D205" s="9" t="str">
        <f>地图配置辅助表!D206</f>
        <v>英雄之路18</v>
      </c>
      <c r="E205" s="9" t="s">
        <v>546</v>
      </c>
      <c r="F205" s="9" t="s">
        <v>105</v>
      </c>
      <c r="G205" s="9">
        <v>29</v>
      </c>
      <c r="H205" s="9">
        <v>400</v>
      </c>
      <c r="I205" s="9">
        <v>130</v>
      </c>
      <c r="J205" s="9">
        <v>400</v>
      </c>
      <c r="K205" s="9">
        <v>130</v>
      </c>
      <c r="L205" s="9" t="s">
        <v>237</v>
      </c>
      <c r="M205" s="9">
        <v>120</v>
      </c>
      <c r="R205" s="9" t="s">
        <v>249</v>
      </c>
      <c r="S205" s="11">
        <f>VLOOKUP($A205,地图配置辅助表!$A$3:$AP$245,地图配置辅助表!E$1,FALSE)</f>
        <v>0</v>
      </c>
      <c r="T205" s="9">
        <f>VLOOKUP($A205,地图配置辅助表!$A$3:$AP$245,地图配置辅助表!F$1,FALSE)</f>
        <v>0</v>
      </c>
      <c r="U205" s="9">
        <f>VLOOKUP($A205,地图配置辅助表!$A$3:$AP$245,地图配置辅助表!G$1,FALSE)</f>
        <v>1</v>
      </c>
      <c r="V205" s="9">
        <f>VLOOKUP($A205,地图配置辅助表!$A$3:$AP$245,地图配置辅助表!H$1,FALSE)</f>
        <v>1</v>
      </c>
      <c r="W205" s="9">
        <f>VLOOKUP($A205,地图配置辅助表!$A$3:$AP$245,地图配置辅助表!I$1,FALSE)</f>
        <v>0</v>
      </c>
      <c r="X205" s="9">
        <f>VLOOKUP($A205,地图配置辅助表!$A$3:$AP$245,地图配置辅助表!J$1,FALSE)</f>
        <v>0</v>
      </c>
      <c r="Y205" s="9">
        <f>VLOOKUP($A205,地图配置辅助表!$A$3:$AP$245,地图配置辅助表!K$1,FALSE)</f>
        <v>0</v>
      </c>
      <c r="Z205" s="9">
        <f>VLOOKUP($A205,地图配置辅助表!$A$3:$AP$245,地图配置辅助表!L$1,FALSE)</f>
        <v>0</v>
      </c>
      <c r="AA205" s="9">
        <f>VLOOKUP($A205,地图配置辅助表!$A$3:$AP$245,地图配置辅助表!M$1,FALSE)</f>
        <v>0</v>
      </c>
      <c r="AB205">
        <f>VLOOKUP($A205,地图配置辅助表!$A$3:$AP$245,地图配置辅助表!N$1,FALSE)</f>
        <v>1</v>
      </c>
      <c r="AC205" s="9">
        <f>VLOOKUP($A205,地图配置辅助表!$A$3:$AP$245,地图配置辅助表!O$1,FALSE)</f>
        <v>0</v>
      </c>
      <c r="AD205">
        <f>VLOOKUP($A205,地图配置辅助表!$A$3:$AP$245,地图配置辅助表!P$1,FALSE)</f>
        <v>0</v>
      </c>
      <c r="AE205" s="8">
        <f>VLOOKUP($A205,地图配置辅助表!$A$3:$AP$245,地图配置辅助表!Q$1,FALSE)</f>
        <v>0</v>
      </c>
      <c r="AF205" s="8">
        <f>VLOOKUP($A205,地图配置辅助表!$A$3:$AP$245,地图配置辅助表!R$1,FALSE)</f>
        <v>0</v>
      </c>
      <c r="AG205" s="11">
        <f>VLOOKUP($A205,地图配置辅助表!$A$3:$AP$245,地图配置辅助表!S$1,FALSE)</f>
        <v>501918</v>
      </c>
      <c r="AH205" s="11">
        <f>VLOOKUP($A205,地图配置辅助表!$A$3:$AP$245,地图配置辅助表!T$1,FALSE)</f>
        <v>0</v>
      </c>
      <c r="AI205" s="9">
        <f>VLOOKUP($A205,地图配置辅助表!$A$3:$AP$245,地图配置辅助表!U$1,FALSE)</f>
        <v>0</v>
      </c>
      <c r="AJ205" s="9">
        <f>VLOOKUP($A205,地图配置辅助表!$A$3:$AP$245,地图配置辅助表!V$1,FALSE)</f>
        <v>0</v>
      </c>
      <c r="AK205" s="9">
        <f>VLOOKUP($A205,地图配置辅助表!$A$3:$AP$245,地图配置辅助表!W$1,FALSE)</f>
        <v>0</v>
      </c>
      <c r="AL205" s="9">
        <f>VLOOKUP($A205,地图配置辅助表!$A$3:$AP$245,地图配置辅助表!X$1,FALSE)</f>
        <v>0</v>
      </c>
      <c r="AM205" s="9">
        <f>VLOOKUP($A205,地图配置辅助表!$A$3:$AP$245,地图配置辅助表!Y$1,FALSE)</f>
        <v>0</v>
      </c>
      <c r="AN205" s="9">
        <f>VLOOKUP($A205,地图配置辅助表!$A$3:$AP$245,地图配置辅助表!Z$1,FALSE)</f>
        <v>0</v>
      </c>
      <c r="AO205" s="9">
        <f>VLOOKUP($A205,地图配置辅助表!$A$3:$AP$245,地图配置辅助表!AA$1,FALSE)</f>
        <v>0</v>
      </c>
      <c r="AP205" s="9">
        <f>VLOOKUP($A205,地图配置辅助表!$A$3:$AP$245,地图配置辅助表!AB$1,FALSE)</f>
        <v>0</v>
      </c>
      <c r="AQ205" s="9">
        <f>VLOOKUP($A205,地图配置辅助表!$A$3:$AP$245,地图配置辅助表!AC$1,FALSE)</f>
        <v>0</v>
      </c>
      <c r="AR205" s="9">
        <f>VLOOKUP($A205,地图配置辅助表!$A$3:$AP$245,地图配置辅助表!AD$1,FALSE)</f>
        <v>0</v>
      </c>
      <c r="AS205" s="9">
        <f>VLOOKUP($A205,地图配置辅助表!$A$3:$AP$245,地图配置辅助表!AE$1,FALSE)</f>
        <v>0</v>
      </c>
      <c r="AT205" s="9">
        <f>VLOOKUP($A205,地图配置辅助表!$A$3:$AP$245,地图配置辅助表!AF$1,FALSE)</f>
        <v>1</v>
      </c>
      <c r="AU205" s="9">
        <f>VLOOKUP($A205,地图配置辅助表!$A$3:$AP$245,地图配置辅助表!AG$1,FALSE)</f>
        <v>185</v>
      </c>
      <c r="AV205" s="9">
        <f>VLOOKUP($A205,地图配置辅助表!$A$3:$AP$245,地图配置辅助表!AH$1,FALSE)</f>
        <v>0</v>
      </c>
      <c r="AW205" s="9">
        <f>VLOOKUP($A205,地图配置辅助表!$A$3:$AP$245,地图配置辅助表!AI$1,FALSE)</f>
        <v>0</v>
      </c>
      <c r="AX205" s="9">
        <f>VLOOKUP($A205,地图配置辅助表!$A$3:$AP$245,地图配置辅助表!AJ$1,FALSE)</f>
        <v>0</v>
      </c>
      <c r="AY205" s="9">
        <f>VLOOKUP($A205,地图配置辅助表!$A$3:$AP$245,地图配置辅助表!AK$1,FALSE)</f>
        <v>0</v>
      </c>
      <c r="AZ205" s="9">
        <f>VLOOKUP($A205,地图配置辅助表!$A$3:$AP$245,地图配置辅助表!AL$1,FALSE)</f>
        <v>0</v>
      </c>
      <c r="BA205" s="9">
        <f>VLOOKUP($A205,地图配置辅助表!$A$3:$AP$245,地图配置辅助表!AM$1,FALSE)</f>
        <v>0</v>
      </c>
      <c r="BB205" s="9">
        <f>VLOOKUP($A205,地图配置辅助表!$A$3:$AP$245,地图配置辅助表!AN$1,FALSE)</f>
        <v>0</v>
      </c>
      <c r="BC205" s="9">
        <f>VLOOKUP($A205,地图配置辅助表!$A$3:$AP$245,地图配置辅助表!AO$1,FALSE)</f>
        <v>0</v>
      </c>
      <c r="BD205" s="9">
        <f>VLOOKUP($A205,地图配置辅助表!$A$3:$AP$245,地图配置辅助表!AP$1,FALSE)</f>
        <v>0</v>
      </c>
    </row>
    <row r="206" spans="1:56" s="9" customFormat="1" x14ac:dyDescent="0.15">
      <c r="A206">
        <f>地图配置辅助表!A207</f>
        <v>1919</v>
      </c>
      <c r="B206" s="8">
        <f>地图配置辅助表!B207</f>
        <v>6</v>
      </c>
      <c r="C206" s="9">
        <f>地图配置辅助表!C207</f>
        <v>1</v>
      </c>
      <c r="D206" s="9" t="str">
        <f>地图配置辅助表!D207</f>
        <v>英雄之路19</v>
      </c>
      <c r="E206" s="9" t="s">
        <v>414</v>
      </c>
      <c r="F206" s="9" t="s">
        <v>8</v>
      </c>
      <c r="G206" s="9">
        <v>29</v>
      </c>
      <c r="H206" s="9">
        <v>500</v>
      </c>
      <c r="I206" s="9">
        <v>130</v>
      </c>
      <c r="J206" s="9">
        <v>400</v>
      </c>
      <c r="K206" s="9">
        <v>130</v>
      </c>
      <c r="L206" s="9" t="s">
        <v>240</v>
      </c>
      <c r="M206" s="9">
        <v>120</v>
      </c>
      <c r="R206" s="9" t="s">
        <v>240</v>
      </c>
      <c r="S206" s="11">
        <f>VLOOKUP($A206,地图配置辅助表!$A$3:$AP$245,地图配置辅助表!E$1,FALSE)</f>
        <v>0</v>
      </c>
      <c r="T206" s="9">
        <f>VLOOKUP($A206,地图配置辅助表!$A$3:$AP$245,地图配置辅助表!F$1,FALSE)</f>
        <v>0</v>
      </c>
      <c r="U206" s="9">
        <f>VLOOKUP($A206,地图配置辅助表!$A$3:$AP$245,地图配置辅助表!G$1,FALSE)</f>
        <v>1</v>
      </c>
      <c r="V206" s="9">
        <f>VLOOKUP($A206,地图配置辅助表!$A$3:$AP$245,地图配置辅助表!H$1,FALSE)</f>
        <v>1</v>
      </c>
      <c r="W206" s="9">
        <f>VLOOKUP($A206,地图配置辅助表!$A$3:$AP$245,地图配置辅助表!I$1,FALSE)</f>
        <v>0</v>
      </c>
      <c r="X206" s="9">
        <f>VLOOKUP($A206,地图配置辅助表!$A$3:$AP$245,地图配置辅助表!J$1,FALSE)</f>
        <v>0</v>
      </c>
      <c r="Y206" s="9">
        <f>VLOOKUP($A206,地图配置辅助表!$A$3:$AP$245,地图配置辅助表!K$1,FALSE)</f>
        <v>0</v>
      </c>
      <c r="Z206" s="9">
        <f>VLOOKUP($A206,地图配置辅助表!$A$3:$AP$245,地图配置辅助表!L$1,FALSE)</f>
        <v>0</v>
      </c>
      <c r="AA206" s="9">
        <f>VLOOKUP($A206,地图配置辅助表!$A$3:$AP$245,地图配置辅助表!M$1,FALSE)</f>
        <v>0</v>
      </c>
      <c r="AB206">
        <f>VLOOKUP($A206,地图配置辅助表!$A$3:$AP$245,地图配置辅助表!N$1,FALSE)</f>
        <v>1</v>
      </c>
      <c r="AC206" s="9">
        <f>VLOOKUP($A206,地图配置辅助表!$A$3:$AP$245,地图配置辅助表!O$1,FALSE)</f>
        <v>0</v>
      </c>
      <c r="AD206">
        <f>VLOOKUP($A206,地图配置辅助表!$A$3:$AP$245,地图配置辅助表!P$1,FALSE)</f>
        <v>0</v>
      </c>
      <c r="AE206" s="8">
        <f>VLOOKUP($A206,地图配置辅助表!$A$3:$AP$245,地图配置辅助表!Q$1,FALSE)</f>
        <v>0</v>
      </c>
      <c r="AF206" s="8">
        <f>VLOOKUP($A206,地图配置辅助表!$A$3:$AP$245,地图配置辅助表!R$1,FALSE)</f>
        <v>0</v>
      </c>
      <c r="AG206" s="11">
        <f>VLOOKUP($A206,地图配置辅助表!$A$3:$AP$245,地图配置辅助表!S$1,FALSE)</f>
        <v>501919</v>
      </c>
      <c r="AH206" s="11">
        <f>VLOOKUP($A206,地图配置辅助表!$A$3:$AP$245,地图配置辅助表!T$1,FALSE)</f>
        <v>0</v>
      </c>
      <c r="AI206" s="9">
        <f>VLOOKUP($A206,地图配置辅助表!$A$3:$AP$245,地图配置辅助表!U$1,FALSE)</f>
        <v>0</v>
      </c>
      <c r="AJ206" s="9">
        <f>VLOOKUP($A206,地图配置辅助表!$A$3:$AP$245,地图配置辅助表!V$1,FALSE)</f>
        <v>0</v>
      </c>
      <c r="AK206" s="9">
        <f>VLOOKUP($A206,地图配置辅助表!$A$3:$AP$245,地图配置辅助表!W$1,FALSE)</f>
        <v>0</v>
      </c>
      <c r="AL206" s="9">
        <f>VLOOKUP($A206,地图配置辅助表!$A$3:$AP$245,地图配置辅助表!X$1,FALSE)</f>
        <v>0</v>
      </c>
      <c r="AM206" s="9">
        <f>VLOOKUP($A206,地图配置辅助表!$A$3:$AP$245,地图配置辅助表!Y$1,FALSE)</f>
        <v>0</v>
      </c>
      <c r="AN206" s="9">
        <f>VLOOKUP($A206,地图配置辅助表!$A$3:$AP$245,地图配置辅助表!Z$1,FALSE)</f>
        <v>0</v>
      </c>
      <c r="AO206" s="9">
        <f>VLOOKUP($A206,地图配置辅助表!$A$3:$AP$245,地图配置辅助表!AA$1,FALSE)</f>
        <v>0</v>
      </c>
      <c r="AP206" s="9">
        <f>VLOOKUP($A206,地图配置辅助表!$A$3:$AP$245,地图配置辅助表!AB$1,FALSE)</f>
        <v>0</v>
      </c>
      <c r="AQ206" s="9">
        <f>VLOOKUP($A206,地图配置辅助表!$A$3:$AP$245,地图配置辅助表!AC$1,FALSE)</f>
        <v>0</v>
      </c>
      <c r="AR206" s="9">
        <f>VLOOKUP($A206,地图配置辅助表!$A$3:$AP$245,地图配置辅助表!AD$1,FALSE)</f>
        <v>0</v>
      </c>
      <c r="AS206" s="9">
        <f>VLOOKUP($A206,地图配置辅助表!$A$3:$AP$245,地图配置辅助表!AE$1,FALSE)</f>
        <v>0</v>
      </c>
      <c r="AT206" s="9">
        <f>VLOOKUP($A206,地图配置辅助表!$A$3:$AP$245,地图配置辅助表!AF$1,FALSE)</f>
        <v>5</v>
      </c>
      <c r="AU206" s="9">
        <f>VLOOKUP($A206,地图配置辅助表!$A$3:$AP$245,地图配置辅助表!AG$1,FALSE)</f>
        <v>217</v>
      </c>
      <c r="AV206" s="9">
        <f>VLOOKUP($A206,地图配置辅助表!$A$3:$AP$245,地图配置辅助表!AH$1,FALSE)</f>
        <v>218</v>
      </c>
      <c r="AW206" s="9">
        <f>VLOOKUP($A206,地图配置辅助表!$A$3:$AP$245,地图配置辅助表!AI$1,FALSE)</f>
        <v>219</v>
      </c>
      <c r="AX206" s="9">
        <f>VLOOKUP($A206,地图配置辅助表!$A$3:$AP$245,地图配置辅助表!AJ$1,FALSE)</f>
        <v>220</v>
      </c>
      <c r="AY206" s="9">
        <f>VLOOKUP($A206,地图配置辅助表!$A$3:$AP$245,地图配置辅助表!AK$1,FALSE)</f>
        <v>221</v>
      </c>
      <c r="AZ206" s="9">
        <f>VLOOKUP($A206,地图配置辅助表!$A$3:$AP$245,地图配置辅助表!AL$1,FALSE)</f>
        <v>0</v>
      </c>
      <c r="BA206" s="9">
        <f>VLOOKUP($A206,地图配置辅助表!$A$3:$AP$245,地图配置辅助表!AM$1,FALSE)</f>
        <v>0</v>
      </c>
      <c r="BB206" s="9">
        <f>VLOOKUP($A206,地图配置辅助表!$A$3:$AP$245,地图配置辅助表!AN$1,FALSE)</f>
        <v>0</v>
      </c>
      <c r="BC206" s="9">
        <f>VLOOKUP($A206,地图配置辅助表!$A$3:$AP$245,地图配置辅助表!AO$1,FALSE)</f>
        <v>0</v>
      </c>
      <c r="BD206" s="9">
        <f>VLOOKUP($A206,地图配置辅助表!$A$3:$AP$245,地图配置辅助表!AP$1,FALSE)</f>
        <v>0</v>
      </c>
    </row>
    <row r="207" spans="1:56" s="9" customFormat="1" x14ac:dyDescent="0.15">
      <c r="A207">
        <f>地图配置辅助表!A208</f>
        <v>1920</v>
      </c>
      <c r="B207" s="8">
        <f>地图配置辅助表!B208</f>
        <v>6</v>
      </c>
      <c r="C207" s="9">
        <f>地图配置辅助表!C208</f>
        <v>1</v>
      </c>
      <c r="D207" s="9" t="str">
        <f>地图配置辅助表!D208</f>
        <v>英雄之路20</v>
      </c>
      <c r="E207" s="9" t="s">
        <v>417</v>
      </c>
      <c r="F207" s="9" t="s">
        <v>8</v>
      </c>
      <c r="G207" s="9">
        <v>29</v>
      </c>
      <c r="H207" s="9">
        <v>200</v>
      </c>
      <c r="I207" s="9">
        <v>130</v>
      </c>
      <c r="J207" s="9">
        <v>200</v>
      </c>
      <c r="K207" s="9">
        <v>130</v>
      </c>
      <c r="L207" s="9" t="s">
        <v>242</v>
      </c>
      <c r="M207" s="9">
        <v>120</v>
      </c>
      <c r="R207" s="9" t="s">
        <v>150</v>
      </c>
      <c r="S207" s="11">
        <f>VLOOKUP($A207,地图配置辅助表!$A$3:$AP$245,地图配置辅助表!E$1,FALSE)</f>
        <v>0</v>
      </c>
      <c r="T207" s="9">
        <f>VLOOKUP($A207,地图配置辅助表!$A$3:$AP$245,地图配置辅助表!F$1,FALSE)</f>
        <v>0</v>
      </c>
      <c r="U207" s="9">
        <f>VLOOKUP($A207,地图配置辅助表!$A$3:$AP$245,地图配置辅助表!G$1,FALSE)</f>
        <v>1</v>
      </c>
      <c r="V207" s="9">
        <f>VLOOKUP($A207,地图配置辅助表!$A$3:$AP$245,地图配置辅助表!H$1,FALSE)</f>
        <v>1</v>
      </c>
      <c r="W207" s="9">
        <f>VLOOKUP($A207,地图配置辅助表!$A$3:$AP$245,地图配置辅助表!I$1,FALSE)</f>
        <v>0</v>
      </c>
      <c r="X207" s="9">
        <f>VLOOKUP($A207,地图配置辅助表!$A$3:$AP$245,地图配置辅助表!J$1,FALSE)</f>
        <v>0</v>
      </c>
      <c r="Y207" s="9">
        <f>VLOOKUP($A207,地图配置辅助表!$A$3:$AP$245,地图配置辅助表!K$1,FALSE)</f>
        <v>0</v>
      </c>
      <c r="Z207" s="9">
        <f>VLOOKUP($A207,地图配置辅助表!$A$3:$AP$245,地图配置辅助表!L$1,FALSE)</f>
        <v>0</v>
      </c>
      <c r="AA207" s="9">
        <f>VLOOKUP($A207,地图配置辅助表!$A$3:$AP$245,地图配置辅助表!M$1,FALSE)</f>
        <v>0</v>
      </c>
      <c r="AB207">
        <f>VLOOKUP($A207,地图配置辅助表!$A$3:$AP$245,地图配置辅助表!N$1,FALSE)</f>
        <v>1</v>
      </c>
      <c r="AC207" s="9">
        <f>VLOOKUP($A207,地图配置辅助表!$A$3:$AP$245,地图配置辅助表!O$1,FALSE)</f>
        <v>0</v>
      </c>
      <c r="AD207">
        <f>VLOOKUP($A207,地图配置辅助表!$A$3:$AP$245,地图配置辅助表!P$1,FALSE)</f>
        <v>0</v>
      </c>
      <c r="AE207" s="8">
        <f>VLOOKUP($A207,地图配置辅助表!$A$3:$AP$245,地图配置辅助表!Q$1,FALSE)</f>
        <v>0</v>
      </c>
      <c r="AF207" s="8">
        <f>VLOOKUP($A207,地图配置辅助表!$A$3:$AP$245,地图配置辅助表!R$1,FALSE)</f>
        <v>0</v>
      </c>
      <c r="AG207" s="11">
        <f>VLOOKUP($A207,地图配置辅助表!$A$3:$AP$245,地图配置辅助表!S$1,FALSE)</f>
        <v>501920</v>
      </c>
      <c r="AH207" s="11">
        <f>VLOOKUP($A207,地图配置辅助表!$A$3:$AP$245,地图配置辅助表!T$1,FALSE)</f>
        <v>0</v>
      </c>
      <c r="AI207" s="9">
        <f>VLOOKUP($A207,地图配置辅助表!$A$3:$AP$245,地图配置辅助表!U$1,FALSE)</f>
        <v>0</v>
      </c>
      <c r="AJ207" s="9">
        <f>VLOOKUP($A207,地图配置辅助表!$A$3:$AP$245,地图配置辅助表!V$1,FALSE)</f>
        <v>0</v>
      </c>
      <c r="AK207" s="9">
        <f>VLOOKUP($A207,地图配置辅助表!$A$3:$AP$245,地图配置辅助表!W$1,FALSE)</f>
        <v>0</v>
      </c>
      <c r="AL207" s="9">
        <f>VLOOKUP($A207,地图配置辅助表!$A$3:$AP$245,地图配置辅助表!X$1,FALSE)</f>
        <v>0</v>
      </c>
      <c r="AM207" s="9">
        <f>VLOOKUP($A207,地图配置辅助表!$A$3:$AP$245,地图配置辅助表!Y$1,FALSE)</f>
        <v>0</v>
      </c>
      <c r="AN207" s="9">
        <f>VLOOKUP($A207,地图配置辅助表!$A$3:$AP$245,地图配置辅助表!Z$1,FALSE)</f>
        <v>0</v>
      </c>
      <c r="AO207" s="9">
        <f>VLOOKUP($A207,地图配置辅助表!$A$3:$AP$245,地图配置辅助表!AA$1,FALSE)</f>
        <v>0</v>
      </c>
      <c r="AP207" s="9">
        <f>VLOOKUP($A207,地图配置辅助表!$A$3:$AP$245,地图配置辅助表!AB$1,FALSE)</f>
        <v>0</v>
      </c>
      <c r="AQ207" s="9">
        <f>VLOOKUP($A207,地图配置辅助表!$A$3:$AP$245,地图配置辅助表!AC$1,FALSE)</f>
        <v>0</v>
      </c>
      <c r="AR207" s="9">
        <f>VLOOKUP($A207,地图配置辅助表!$A$3:$AP$245,地图配置辅助表!AD$1,FALSE)</f>
        <v>0</v>
      </c>
      <c r="AS207" s="9">
        <f>VLOOKUP($A207,地图配置辅助表!$A$3:$AP$245,地图配置辅助表!AE$1,FALSE)</f>
        <v>0</v>
      </c>
      <c r="AT207" s="9">
        <f>VLOOKUP($A207,地图配置辅助表!$A$3:$AP$245,地图配置辅助表!AF$1,FALSE)</f>
        <v>4</v>
      </c>
      <c r="AU207" s="9">
        <f>VLOOKUP($A207,地图配置辅助表!$A$3:$AP$245,地图配置辅助表!AG$1,FALSE)</f>
        <v>204</v>
      </c>
      <c r="AV207" s="9">
        <f>VLOOKUP($A207,地图配置辅助表!$A$3:$AP$245,地图配置辅助表!AH$1,FALSE)</f>
        <v>205</v>
      </c>
      <c r="AW207" s="9">
        <f>VLOOKUP($A207,地图配置辅助表!$A$3:$AP$245,地图配置辅助表!AI$1,FALSE)</f>
        <v>206</v>
      </c>
      <c r="AX207" s="9">
        <f>VLOOKUP($A207,地图配置辅助表!$A$3:$AP$245,地图配置辅助表!AJ$1,FALSE)</f>
        <v>237</v>
      </c>
      <c r="AY207" s="9">
        <f>VLOOKUP($A207,地图配置辅助表!$A$3:$AP$245,地图配置辅助表!AK$1,FALSE)</f>
        <v>0</v>
      </c>
      <c r="AZ207" s="9">
        <f>VLOOKUP($A207,地图配置辅助表!$A$3:$AP$245,地图配置辅助表!AL$1,FALSE)</f>
        <v>0</v>
      </c>
      <c r="BA207" s="9">
        <f>VLOOKUP($A207,地图配置辅助表!$A$3:$AP$245,地图配置辅助表!AM$1,FALSE)</f>
        <v>0</v>
      </c>
      <c r="BB207" s="9">
        <f>VLOOKUP($A207,地图配置辅助表!$A$3:$AP$245,地图配置辅助表!AN$1,FALSE)</f>
        <v>0</v>
      </c>
      <c r="BC207" s="9">
        <f>VLOOKUP($A207,地图配置辅助表!$A$3:$AP$245,地图配置辅助表!AO$1,FALSE)</f>
        <v>0</v>
      </c>
      <c r="BD207" s="9">
        <f>VLOOKUP($A207,地图配置辅助表!$A$3:$AP$245,地图配置辅助表!AP$1,FALSE)</f>
        <v>0</v>
      </c>
    </row>
    <row r="208" spans="1:56" s="9" customFormat="1" x14ac:dyDescent="0.15">
      <c r="A208">
        <f>地图配置辅助表!A209</f>
        <v>1701</v>
      </c>
      <c r="B208" s="8">
        <f>地图配置辅助表!B209</f>
        <v>3</v>
      </c>
      <c r="C208" s="9">
        <f>地图配置辅助表!C209</f>
        <v>1</v>
      </c>
      <c r="D208" s="9" t="s">
        <v>590</v>
      </c>
      <c r="E208" s="9" t="s">
        <v>407</v>
      </c>
      <c r="F208" s="9" t="s">
        <v>539</v>
      </c>
      <c r="G208" s="9">
        <v>29</v>
      </c>
      <c r="H208" s="9">
        <v>1300</v>
      </c>
      <c r="I208" s="9">
        <v>130</v>
      </c>
      <c r="J208" s="9">
        <v>1300</v>
      </c>
      <c r="K208" s="9">
        <v>130</v>
      </c>
      <c r="L208" s="9" t="s">
        <v>494</v>
      </c>
      <c r="M208" s="9">
        <v>100</v>
      </c>
      <c r="R208" s="9" t="s">
        <v>495</v>
      </c>
      <c r="S208" s="11">
        <f>VLOOKUP($A208,地图配置辅助表!$A$3:$AP$245,地图配置辅助表!E$1,FALSE)</f>
        <v>12</v>
      </c>
      <c r="T208" s="9">
        <f>VLOOKUP($A208,地图配置辅助表!$A$3:$AP$245,地图配置辅助表!F$1,FALSE)</f>
        <v>2911</v>
      </c>
      <c r="U208" s="9">
        <f>VLOOKUP($A208,地图配置辅助表!$A$3:$AP$245,地图配置辅助表!G$1,FALSE)</f>
        <v>1</v>
      </c>
      <c r="V208" s="9">
        <f>VLOOKUP($A208,地图配置辅助表!$A$3:$AP$245,地图配置辅助表!H$1,FALSE)</f>
        <v>1</v>
      </c>
      <c r="W208" s="9">
        <f>VLOOKUP($A208,地图配置辅助表!$A$3:$AP$245,地图配置辅助表!I$1,FALSE)</f>
        <v>2</v>
      </c>
      <c r="X208" s="9">
        <f>VLOOKUP($A208,地图配置辅助表!$A$3:$AP$245,地图配置辅助表!J$1,FALSE)</f>
        <v>300</v>
      </c>
      <c r="Y208" s="9">
        <f>VLOOKUP($A208,地图配置辅助表!$A$3:$AP$245,地图配置辅助表!K$1,FALSE)</f>
        <v>0</v>
      </c>
      <c r="Z208" s="9">
        <f>VLOOKUP($A208,地图配置辅助表!$A$3:$AP$245,地图配置辅助表!L$1,FALSE)</f>
        <v>0</v>
      </c>
      <c r="AA208" s="9">
        <f>VLOOKUP($A208,地图配置辅助表!$A$3:$AP$245,地图配置辅助表!M$1,FALSE)</f>
        <v>2</v>
      </c>
      <c r="AB208">
        <f>VLOOKUP($A208,地图配置辅助表!$A$3:$AP$245,地图配置辅助表!N$1,FALSE)</f>
        <v>1</v>
      </c>
      <c r="AC208" s="9">
        <f>VLOOKUP($A208,地图配置辅助表!$A$3:$AP$245,地图配置辅助表!O$1,FALSE)</f>
        <v>1</v>
      </c>
      <c r="AD208">
        <f>VLOOKUP($A208,地图配置辅助表!$A$3:$AP$245,地图配置辅助表!P$1,FALSE)</f>
        <v>23</v>
      </c>
      <c r="AE208" s="8">
        <f>VLOOKUP($A208,地图配置辅助表!$A$3:$AP$245,地图配置辅助表!Q$1,FALSE)</f>
        <v>4</v>
      </c>
      <c r="AF208" s="8">
        <f>VLOOKUP($A208,地图配置辅助表!$A$3:$AP$245,地图配置辅助表!R$1,FALSE)</f>
        <v>0</v>
      </c>
      <c r="AG208" s="11">
        <f>VLOOKUP($A208,地图配置辅助表!$A$3:$AP$245,地图配置辅助表!S$1,FALSE)</f>
        <v>501701</v>
      </c>
      <c r="AH208" s="11">
        <f>VLOOKUP($A208,地图配置辅助表!$A$3:$AP$245,地图配置辅助表!T$1,FALSE)</f>
        <v>601101</v>
      </c>
      <c r="AI208" s="9">
        <f>VLOOKUP($A208,地图配置辅助表!$A$3:$AP$245,地图配置辅助表!U$1,FALSE)</f>
        <v>0</v>
      </c>
      <c r="AJ208" s="9">
        <f>VLOOKUP($A208,地图配置辅助表!$A$3:$AP$245,地图配置辅助表!V$1,FALSE)</f>
        <v>0</v>
      </c>
      <c r="AK208" s="9">
        <f>VLOOKUP($A208,地图配置辅助表!$A$3:$AP$245,地图配置辅助表!W$1,FALSE)</f>
        <v>0</v>
      </c>
      <c r="AL208" s="9">
        <f>VLOOKUP($A208,地图配置辅助表!$A$3:$AP$245,地图配置辅助表!X$1,FALSE)</f>
        <v>0</v>
      </c>
      <c r="AM208" s="9">
        <f>VLOOKUP($A208,地图配置辅助表!$A$3:$AP$245,地图配置辅助表!Y$1,FALSE)</f>
        <v>0</v>
      </c>
      <c r="AN208" s="9">
        <f>VLOOKUP($A208,地图配置辅助表!$A$3:$AP$245,地图配置辅助表!Z$1,FALSE)</f>
        <v>0</v>
      </c>
      <c r="AO208" s="9">
        <f>VLOOKUP($A208,地图配置辅助表!$A$3:$AP$245,地图配置辅助表!AA$1,FALSE)</f>
        <v>0</v>
      </c>
      <c r="AP208" s="9">
        <f>VLOOKUP($A208,地图配置辅助表!$A$3:$AP$245,地图配置辅助表!AB$1,FALSE)</f>
        <v>0</v>
      </c>
      <c r="AQ208" s="9">
        <f>VLOOKUP($A208,地图配置辅助表!$A$3:$AP$245,地图配置辅助表!AC$1,FALSE)</f>
        <v>0</v>
      </c>
      <c r="AR208" s="9">
        <f>VLOOKUP($A208,地图配置辅助表!$A$3:$AP$245,地图配置辅助表!AD$1,FALSE)</f>
        <v>0</v>
      </c>
      <c r="AS208" s="9">
        <f>VLOOKUP($A208,地图配置辅助表!$A$3:$AP$245,地图配置辅助表!AE$1,FALSE)</f>
        <v>0</v>
      </c>
      <c r="AT208" s="9">
        <f>VLOOKUP($A208,地图配置辅助表!$A$3:$AP$245,地图配置辅助表!AF$1,FALSE)</f>
        <v>5</v>
      </c>
      <c r="AU208" s="9">
        <f>VLOOKUP($A208,地图配置辅助表!$A$3:$AP$245,地图配置辅助表!AG$1,FALSE)</f>
        <v>14</v>
      </c>
      <c r="AV208" s="9">
        <f>VLOOKUP($A208,地图配置辅助表!$A$3:$AP$245,地图配置辅助表!AH$1,FALSE)</f>
        <v>15</v>
      </c>
      <c r="AW208" s="9">
        <f>VLOOKUP($A208,地图配置辅助表!$A$3:$AP$245,地图配置辅助表!AI$1,FALSE)</f>
        <v>16</v>
      </c>
      <c r="AX208" s="9">
        <f>VLOOKUP($A208,地图配置辅助表!$A$3:$AP$245,地图配置辅助表!AJ$1,FALSE)</f>
        <v>17</v>
      </c>
      <c r="AY208" s="9">
        <f>VLOOKUP($A208,地图配置辅助表!$A$3:$AP$245,地图配置辅助表!AK$1,FALSE)</f>
        <v>18</v>
      </c>
      <c r="AZ208" s="9">
        <f>VLOOKUP($A208,地图配置辅助表!$A$3:$AP$245,地图配置辅助表!AL$1,FALSE)</f>
        <v>0</v>
      </c>
      <c r="BA208" s="9">
        <f>VLOOKUP($A208,地图配置辅助表!$A$3:$AP$245,地图配置辅助表!AM$1,FALSE)</f>
        <v>0</v>
      </c>
      <c r="BB208" s="9">
        <f>VLOOKUP($A208,地图配置辅助表!$A$3:$AP$245,地图配置辅助表!AN$1,FALSE)</f>
        <v>0</v>
      </c>
      <c r="BC208" s="9">
        <f>VLOOKUP($A208,地图配置辅助表!$A$3:$AP$245,地图配置辅助表!AO$1,FALSE)</f>
        <v>0</v>
      </c>
      <c r="BD208" s="9">
        <f>VLOOKUP($A208,地图配置辅助表!$A$3:$AP$245,地图配置辅助表!AP$1,FALSE)</f>
        <v>0</v>
      </c>
    </row>
    <row r="209" spans="1:56" s="9" customFormat="1" x14ac:dyDescent="0.15">
      <c r="A209">
        <f>地图配置辅助表!A210</f>
        <v>1702</v>
      </c>
      <c r="B209" s="8">
        <f>地图配置辅助表!B210</f>
        <v>3</v>
      </c>
      <c r="C209" s="9">
        <f>地图配置辅助表!C210</f>
        <v>2</v>
      </c>
      <c r="D209" s="9" t="s">
        <v>442</v>
      </c>
      <c r="E209" s="9" t="s">
        <v>408</v>
      </c>
      <c r="F209" s="9" t="s">
        <v>539</v>
      </c>
      <c r="G209" s="9">
        <v>29</v>
      </c>
      <c r="H209" s="9">
        <v>1300</v>
      </c>
      <c r="I209" s="9">
        <v>130</v>
      </c>
      <c r="J209" s="9">
        <v>1300</v>
      </c>
      <c r="K209" s="9">
        <v>130</v>
      </c>
      <c r="L209" s="9" t="s">
        <v>477</v>
      </c>
      <c r="M209" s="9">
        <v>100</v>
      </c>
      <c r="R209" s="9" t="s">
        <v>496</v>
      </c>
      <c r="S209" s="11">
        <f>VLOOKUP($A209,地图配置辅助表!$A$3:$AP$245,地图配置辅助表!E$1,FALSE)</f>
        <v>12</v>
      </c>
      <c r="T209" s="9">
        <f>VLOOKUP($A209,地图配置辅助表!$A$3:$AP$245,地图配置辅助表!F$1,FALSE)</f>
        <v>7915</v>
      </c>
      <c r="U209" s="9">
        <f>VLOOKUP($A209,地图配置辅助表!$A$3:$AP$245,地图配置辅助表!G$1,FALSE)</f>
        <v>1</v>
      </c>
      <c r="V209" s="9">
        <f>VLOOKUP($A209,地图配置辅助表!$A$3:$AP$245,地图配置辅助表!H$1,FALSE)</f>
        <v>1</v>
      </c>
      <c r="W209" s="9">
        <f>VLOOKUP($A209,地图配置辅助表!$A$3:$AP$245,地图配置辅助表!I$1,FALSE)</f>
        <v>2</v>
      </c>
      <c r="X209" s="9">
        <f>VLOOKUP($A209,地图配置辅助表!$A$3:$AP$245,地图配置辅助表!J$1,FALSE)</f>
        <v>300</v>
      </c>
      <c r="Y209" s="9">
        <f>VLOOKUP($A209,地图配置辅助表!$A$3:$AP$245,地图配置辅助表!K$1,FALSE)</f>
        <v>0</v>
      </c>
      <c r="Z209" s="9">
        <f>VLOOKUP($A209,地图配置辅助表!$A$3:$AP$245,地图配置辅助表!L$1,FALSE)</f>
        <v>0</v>
      </c>
      <c r="AA209" s="9">
        <f>VLOOKUP($A209,地图配置辅助表!$A$3:$AP$245,地图配置辅助表!M$1,FALSE)</f>
        <v>2</v>
      </c>
      <c r="AB209">
        <f>VLOOKUP($A209,地图配置辅助表!$A$3:$AP$245,地图配置辅助表!N$1,FALSE)</f>
        <v>1</v>
      </c>
      <c r="AC209" s="9">
        <f>VLOOKUP($A209,地图配置辅助表!$A$3:$AP$245,地图配置辅助表!O$1,FALSE)</f>
        <v>1</v>
      </c>
      <c r="AD209">
        <f>VLOOKUP($A209,地图配置辅助表!$A$3:$AP$245,地图配置辅助表!P$1,FALSE)</f>
        <v>33</v>
      </c>
      <c r="AE209" s="8">
        <f>VLOOKUP($A209,地图配置辅助表!$A$3:$AP$245,地图配置辅助表!Q$1,FALSE)</f>
        <v>3</v>
      </c>
      <c r="AF209" s="8">
        <f>VLOOKUP($A209,地图配置辅助表!$A$3:$AP$245,地图配置辅助表!R$1,FALSE)</f>
        <v>1701</v>
      </c>
      <c r="AG209" s="11">
        <f>VLOOKUP($A209,地图配置辅助表!$A$3:$AP$245,地图配置辅助表!S$1,FALSE)</f>
        <v>501702</v>
      </c>
      <c r="AH209" s="11">
        <f>VLOOKUP($A209,地图配置辅助表!$A$3:$AP$245,地图配置辅助表!T$1,FALSE)</f>
        <v>602101</v>
      </c>
      <c r="AI209" s="9">
        <f>VLOOKUP($A209,地图配置辅助表!$A$3:$AP$245,地图配置辅助表!U$1,FALSE)</f>
        <v>0</v>
      </c>
      <c r="AJ209" s="9">
        <f>VLOOKUP($A209,地图配置辅助表!$A$3:$AP$245,地图配置辅助表!V$1,FALSE)</f>
        <v>0</v>
      </c>
      <c r="AK209" s="9">
        <f>VLOOKUP($A209,地图配置辅助表!$A$3:$AP$245,地图配置辅助表!W$1,FALSE)</f>
        <v>0</v>
      </c>
      <c r="AL209" s="9">
        <f>VLOOKUP($A209,地图配置辅助表!$A$3:$AP$245,地图配置辅助表!X$1,FALSE)</f>
        <v>0</v>
      </c>
      <c r="AM209" s="9">
        <f>VLOOKUP($A209,地图配置辅助表!$A$3:$AP$245,地图配置辅助表!Y$1,FALSE)</f>
        <v>0</v>
      </c>
      <c r="AN209" s="9">
        <f>VLOOKUP($A209,地图配置辅助表!$A$3:$AP$245,地图配置辅助表!Z$1,FALSE)</f>
        <v>0</v>
      </c>
      <c r="AO209" s="9">
        <f>VLOOKUP($A209,地图配置辅助表!$A$3:$AP$245,地图配置辅助表!AA$1,FALSE)</f>
        <v>0</v>
      </c>
      <c r="AP209" s="9">
        <f>VLOOKUP($A209,地图配置辅助表!$A$3:$AP$245,地图配置辅助表!AB$1,FALSE)</f>
        <v>0</v>
      </c>
      <c r="AQ209" s="9">
        <f>VLOOKUP($A209,地图配置辅助表!$A$3:$AP$245,地图配置辅助表!AC$1,FALSE)</f>
        <v>0</v>
      </c>
      <c r="AR209" s="9">
        <f>VLOOKUP($A209,地图配置辅助表!$A$3:$AP$245,地图配置辅助表!AD$1,FALSE)</f>
        <v>0</v>
      </c>
      <c r="AS209" s="9">
        <f>VLOOKUP($A209,地图配置辅助表!$A$3:$AP$245,地图配置辅助表!AE$1,FALSE)</f>
        <v>0</v>
      </c>
      <c r="AT209" s="9">
        <f>VLOOKUP($A209,地图配置辅助表!$A$3:$AP$245,地图配置辅助表!AF$1,FALSE)</f>
        <v>5</v>
      </c>
      <c r="AU209" s="9">
        <f>VLOOKUP($A209,地图配置辅助表!$A$3:$AP$245,地图配置辅助表!AG$1,FALSE)</f>
        <v>14</v>
      </c>
      <c r="AV209" s="9">
        <f>VLOOKUP($A209,地图配置辅助表!$A$3:$AP$245,地图配置辅助表!AH$1,FALSE)</f>
        <v>15</v>
      </c>
      <c r="AW209" s="9">
        <f>VLOOKUP($A209,地图配置辅助表!$A$3:$AP$245,地图配置辅助表!AI$1,FALSE)</f>
        <v>16</v>
      </c>
      <c r="AX209" s="9">
        <f>VLOOKUP($A209,地图配置辅助表!$A$3:$AP$245,地图配置辅助表!AJ$1,FALSE)</f>
        <v>17</v>
      </c>
      <c r="AY209" s="9">
        <f>VLOOKUP($A209,地图配置辅助表!$A$3:$AP$245,地图配置辅助表!AK$1,FALSE)</f>
        <v>18</v>
      </c>
      <c r="AZ209" s="9">
        <f>VLOOKUP($A209,地图配置辅助表!$A$3:$AP$245,地图配置辅助表!AL$1,FALSE)</f>
        <v>0</v>
      </c>
      <c r="BA209" s="9">
        <f>VLOOKUP($A209,地图配置辅助表!$A$3:$AP$245,地图配置辅助表!AM$1,FALSE)</f>
        <v>0</v>
      </c>
      <c r="BB209" s="9">
        <f>VLOOKUP($A209,地图配置辅助表!$A$3:$AP$245,地图配置辅助表!AN$1,FALSE)</f>
        <v>0</v>
      </c>
      <c r="BC209" s="9">
        <f>VLOOKUP($A209,地图配置辅助表!$A$3:$AP$245,地图配置辅助表!AO$1,FALSE)</f>
        <v>0</v>
      </c>
      <c r="BD209" s="9">
        <f>VLOOKUP($A209,地图配置辅助表!$A$3:$AP$245,地图配置辅助表!AP$1,FALSE)</f>
        <v>0</v>
      </c>
    </row>
    <row r="210" spans="1:56" s="9" customFormat="1" x14ac:dyDescent="0.15">
      <c r="A210">
        <f>地图配置辅助表!A211</f>
        <v>1703</v>
      </c>
      <c r="B210" s="8">
        <f>地图配置辅助表!B211</f>
        <v>3</v>
      </c>
      <c r="C210" s="9">
        <f>地图配置辅助表!C211</f>
        <v>3</v>
      </c>
      <c r="D210" s="9" t="s">
        <v>443</v>
      </c>
      <c r="E210" s="9" t="s">
        <v>408</v>
      </c>
      <c r="F210" s="9" t="s">
        <v>539</v>
      </c>
      <c r="G210" s="9">
        <v>29</v>
      </c>
      <c r="H210" s="9">
        <v>1300</v>
      </c>
      <c r="I210" s="9">
        <v>130</v>
      </c>
      <c r="J210" s="9">
        <v>1300</v>
      </c>
      <c r="K210" s="9">
        <v>130</v>
      </c>
      <c r="L210" s="9" t="s">
        <v>478</v>
      </c>
      <c r="M210" s="9">
        <v>100</v>
      </c>
      <c r="R210" s="9" t="s">
        <v>497</v>
      </c>
      <c r="S210" s="11">
        <f>VLOOKUP($A210,地图配置辅助表!$A$3:$AP$245,地图配置辅助表!E$1,FALSE)</f>
        <v>12</v>
      </c>
      <c r="T210" s="9">
        <f>VLOOKUP($A210,地图配置辅助表!$A$3:$AP$245,地图配置辅助表!F$1,FALSE)</f>
        <v>19355</v>
      </c>
      <c r="U210" s="9">
        <f>VLOOKUP($A210,地图配置辅助表!$A$3:$AP$245,地图配置辅助表!G$1,FALSE)</f>
        <v>1</v>
      </c>
      <c r="V210" s="9">
        <f>VLOOKUP($A210,地图配置辅助表!$A$3:$AP$245,地图配置辅助表!H$1,FALSE)</f>
        <v>1</v>
      </c>
      <c r="W210" s="9">
        <f>VLOOKUP($A210,地图配置辅助表!$A$3:$AP$245,地图配置辅助表!I$1,FALSE)</f>
        <v>2</v>
      </c>
      <c r="X210" s="9">
        <f>VLOOKUP($A210,地图配置辅助表!$A$3:$AP$245,地图配置辅助表!J$1,FALSE)</f>
        <v>300</v>
      </c>
      <c r="Y210" s="9">
        <f>VLOOKUP($A210,地图配置辅助表!$A$3:$AP$245,地图配置辅助表!K$1,FALSE)</f>
        <v>0</v>
      </c>
      <c r="Z210" s="9">
        <f>VLOOKUP($A210,地图配置辅助表!$A$3:$AP$245,地图配置辅助表!L$1,FALSE)</f>
        <v>0</v>
      </c>
      <c r="AA210" s="9">
        <f>VLOOKUP($A210,地图配置辅助表!$A$3:$AP$245,地图配置辅助表!M$1,FALSE)</f>
        <v>2</v>
      </c>
      <c r="AB210">
        <f>VLOOKUP($A210,地图配置辅助表!$A$3:$AP$245,地图配置辅助表!N$1,FALSE)</f>
        <v>1</v>
      </c>
      <c r="AC210" s="9">
        <f>VLOOKUP($A210,地图配置辅助表!$A$3:$AP$245,地图配置辅助表!O$1,FALSE)</f>
        <v>1</v>
      </c>
      <c r="AD210">
        <f>VLOOKUP($A210,地图配置辅助表!$A$3:$AP$245,地图配置辅助表!P$1,FALSE)</f>
        <v>43</v>
      </c>
      <c r="AE210" s="8">
        <f>VLOOKUP($A210,地图配置辅助表!$A$3:$AP$245,地图配置辅助表!Q$1,FALSE)</f>
        <v>3</v>
      </c>
      <c r="AF210" s="8">
        <f>VLOOKUP($A210,地图配置辅助表!$A$3:$AP$245,地图配置辅助表!R$1,FALSE)</f>
        <v>1702</v>
      </c>
      <c r="AG210" s="11">
        <f>VLOOKUP($A210,地图配置辅助表!$A$3:$AP$245,地图配置辅助表!S$1,FALSE)</f>
        <v>501703</v>
      </c>
      <c r="AH210" s="11">
        <f>VLOOKUP($A210,地图配置辅助表!$A$3:$AP$245,地图配置辅助表!T$1,FALSE)</f>
        <v>603101</v>
      </c>
      <c r="AI210" s="9">
        <f>VLOOKUP($A210,地图配置辅助表!$A$3:$AP$245,地图配置辅助表!U$1,FALSE)</f>
        <v>0</v>
      </c>
      <c r="AJ210" s="9">
        <f>VLOOKUP($A210,地图配置辅助表!$A$3:$AP$245,地图配置辅助表!V$1,FALSE)</f>
        <v>0</v>
      </c>
      <c r="AK210" s="9">
        <f>VLOOKUP($A210,地图配置辅助表!$A$3:$AP$245,地图配置辅助表!W$1,FALSE)</f>
        <v>0</v>
      </c>
      <c r="AL210" s="9">
        <f>VLOOKUP($A210,地图配置辅助表!$A$3:$AP$245,地图配置辅助表!X$1,FALSE)</f>
        <v>0</v>
      </c>
      <c r="AM210" s="9">
        <f>VLOOKUP($A210,地图配置辅助表!$A$3:$AP$245,地图配置辅助表!Y$1,FALSE)</f>
        <v>0</v>
      </c>
      <c r="AN210" s="9">
        <f>VLOOKUP($A210,地图配置辅助表!$A$3:$AP$245,地图配置辅助表!Z$1,FALSE)</f>
        <v>0</v>
      </c>
      <c r="AO210" s="9">
        <f>VLOOKUP($A210,地图配置辅助表!$A$3:$AP$245,地图配置辅助表!AA$1,FALSE)</f>
        <v>0</v>
      </c>
      <c r="AP210" s="9">
        <f>VLOOKUP($A210,地图配置辅助表!$A$3:$AP$245,地图配置辅助表!AB$1,FALSE)</f>
        <v>0</v>
      </c>
      <c r="AQ210" s="9">
        <f>VLOOKUP($A210,地图配置辅助表!$A$3:$AP$245,地图配置辅助表!AC$1,FALSE)</f>
        <v>0</v>
      </c>
      <c r="AR210" s="9">
        <f>VLOOKUP($A210,地图配置辅助表!$A$3:$AP$245,地图配置辅助表!AD$1,FALSE)</f>
        <v>0</v>
      </c>
      <c r="AS210" s="9">
        <f>VLOOKUP($A210,地图配置辅助表!$A$3:$AP$245,地图配置辅助表!AE$1,FALSE)</f>
        <v>0</v>
      </c>
      <c r="AT210" s="9">
        <f>VLOOKUP($A210,地图配置辅助表!$A$3:$AP$245,地图配置辅助表!AF$1,FALSE)</f>
        <v>5</v>
      </c>
      <c r="AU210" s="9">
        <f>VLOOKUP($A210,地图配置辅助表!$A$3:$AP$245,地图配置辅助表!AG$1,FALSE)</f>
        <v>14</v>
      </c>
      <c r="AV210" s="9">
        <f>VLOOKUP($A210,地图配置辅助表!$A$3:$AP$245,地图配置辅助表!AH$1,FALSE)</f>
        <v>15</v>
      </c>
      <c r="AW210" s="9">
        <f>VLOOKUP($A210,地图配置辅助表!$A$3:$AP$245,地图配置辅助表!AI$1,FALSE)</f>
        <v>16</v>
      </c>
      <c r="AX210" s="9">
        <f>VLOOKUP($A210,地图配置辅助表!$A$3:$AP$245,地图配置辅助表!AJ$1,FALSE)</f>
        <v>17</v>
      </c>
      <c r="AY210" s="9">
        <f>VLOOKUP($A210,地图配置辅助表!$A$3:$AP$245,地图配置辅助表!AK$1,FALSE)</f>
        <v>18</v>
      </c>
      <c r="AZ210" s="9">
        <f>VLOOKUP($A210,地图配置辅助表!$A$3:$AP$245,地图配置辅助表!AL$1,FALSE)</f>
        <v>0</v>
      </c>
      <c r="BA210" s="9">
        <f>VLOOKUP($A210,地图配置辅助表!$A$3:$AP$245,地图配置辅助表!AM$1,FALSE)</f>
        <v>0</v>
      </c>
      <c r="BB210" s="9">
        <f>VLOOKUP($A210,地图配置辅助表!$A$3:$AP$245,地图配置辅助表!AN$1,FALSE)</f>
        <v>0</v>
      </c>
      <c r="BC210" s="9">
        <f>VLOOKUP($A210,地图配置辅助表!$A$3:$AP$245,地图配置辅助表!AO$1,FALSE)</f>
        <v>0</v>
      </c>
      <c r="BD210" s="9">
        <f>VLOOKUP($A210,地图配置辅助表!$A$3:$AP$245,地图配置辅助表!AP$1,FALSE)</f>
        <v>0</v>
      </c>
    </row>
    <row r="211" spans="1:56" s="9" customFormat="1" x14ac:dyDescent="0.15">
      <c r="A211">
        <f>地图配置辅助表!A212</f>
        <v>1704</v>
      </c>
      <c r="B211" s="8">
        <f>地图配置辅助表!B212</f>
        <v>3</v>
      </c>
      <c r="C211" s="9">
        <f>地图配置辅助表!C212</f>
        <v>4</v>
      </c>
      <c r="D211" s="9" t="s">
        <v>444</v>
      </c>
      <c r="E211" s="9" t="s">
        <v>408</v>
      </c>
      <c r="F211" s="9" t="s">
        <v>539</v>
      </c>
      <c r="G211" s="9">
        <v>29</v>
      </c>
      <c r="H211" s="9">
        <v>1300</v>
      </c>
      <c r="I211" s="9">
        <v>130</v>
      </c>
      <c r="J211" s="9">
        <v>1300</v>
      </c>
      <c r="K211" s="9">
        <v>130</v>
      </c>
      <c r="L211" s="9" t="s">
        <v>479</v>
      </c>
      <c r="M211" s="9">
        <v>100</v>
      </c>
      <c r="R211" s="9" t="s">
        <v>498</v>
      </c>
      <c r="S211" s="11">
        <f>VLOOKUP($A211,地图配置辅助表!$A$3:$AP$245,地图配置辅助表!E$1,FALSE)</f>
        <v>12</v>
      </c>
      <c r="T211" s="9">
        <f>VLOOKUP($A211,地图配置辅助表!$A$3:$AP$245,地图配置辅助表!F$1,FALSE)</f>
        <v>39403</v>
      </c>
      <c r="U211" s="9">
        <f>VLOOKUP($A211,地图配置辅助表!$A$3:$AP$245,地图配置辅助表!G$1,FALSE)</f>
        <v>1</v>
      </c>
      <c r="V211" s="9">
        <f>VLOOKUP($A211,地图配置辅助表!$A$3:$AP$245,地图配置辅助表!H$1,FALSE)</f>
        <v>1</v>
      </c>
      <c r="W211" s="9">
        <f>VLOOKUP($A211,地图配置辅助表!$A$3:$AP$245,地图配置辅助表!I$1,FALSE)</f>
        <v>2</v>
      </c>
      <c r="X211" s="9">
        <f>VLOOKUP($A211,地图配置辅助表!$A$3:$AP$245,地图配置辅助表!J$1,FALSE)</f>
        <v>300</v>
      </c>
      <c r="Y211" s="9">
        <f>VLOOKUP($A211,地图配置辅助表!$A$3:$AP$245,地图配置辅助表!K$1,FALSE)</f>
        <v>0</v>
      </c>
      <c r="Z211" s="9">
        <f>VLOOKUP($A211,地图配置辅助表!$A$3:$AP$245,地图配置辅助表!L$1,FALSE)</f>
        <v>0</v>
      </c>
      <c r="AA211" s="9">
        <f>VLOOKUP($A211,地图配置辅助表!$A$3:$AP$245,地图配置辅助表!M$1,FALSE)</f>
        <v>2</v>
      </c>
      <c r="AB211">
        <f>VLOOKUP($A211,地图配置辅助表!$A$3:$AP$245,地图配置辅助表!N$1,FALSE)</f>
        <v>1</v>
      </c>
      <c r="AC211" s="9">
        <f>VLOOKUP($A211,地图配置辅助表!$A$3:$AP$245,地图配置辅助表!O$1,FALSE)</f>
        <v>1</v>
      </c>
      <c r="AD211">
        <f>VLOOKUP($A211,地图配置辅助表!$A$3:$AP$245,地图配置辅助表!P$1,FALSE)</f>
        <v>52</v>
      </c>
      <c r="AE211" s="8">
        <f>VLOOKUP($A211,地图配置辅助表!$A$3:$AP$245,地图配置辅助表!Q$1,FALSE)</f>
        <v>3</v>
      </c>
      <c r="AF211" s="8">
        <f>VLOOKUP($A211,地图配置辅助表!$A$3:$AP$245,地图配置辅助表!R$1,FALSE)</f>
        <v>1703</v>
      </c>
      <c r="AG211" s="11">
        <f>VLOOKUP($A211,地图配置辅助表!$A$3:$AP$245,地图配置辅助表!S$1,FALSE)</f>
        <v>501704</v>
      </c>
      <c r="AH211" s="11">
        <f>VLOOKUP($A211,地图配置辅助表!$A$3:$AP$245,地图配置辅助表!T$1,FALSE)</f>
        <v>604101</v>
      </c>
      <c r="AI211" s="9">
        <f>VLOOKUP($A211,地图配置辅助表!$A$3:$AP$245,地图配置辅助表!U$1,FALSE)</f>
        <v>0</v>
      </c>
      <c r="AJ211" s="9">
        <f>VLOOKUP($A211,地图配置辅助表!$A$3:$AP$245,地图配置辅助表!V$1,FALSE)</f>
        <v>0</v>
      </c>
      <c r="AK211" s="9">
        <f>VLOOKUP($A211,地图配置辅助表!$A$3:$AP$245,地图配置辅助表!W$1,FALSE)</f>
        <v>0</v>
      </c>
      <c r="AL211" s="9">
        <f>VLOOKUP($A211,地图配置辅助表!$A$3:$AP$245,地图配置辅助表!X$1,FALSE)</f>
        <v>0</v>
      </c>
      <c r="AM211" s="9">
        <f>VLOOKUP($A211,地图配置辅助表!$A$3:$AP$245,地图配置辅助表!Y$1,FALSE)</f>
        <v>0</v>
      </c>
      <c r="AN211" s="9">
        <f>VLOOKUP($A211,地图配置辅助表!$A$3:$AP$245,地图配置辅助表!Z$1,FALSE)</f>
        <v>0</v>
      </c>
      <c r="AO211" s="9">
        <f>VLOOKUP($A211,地图配置辅助表!$A$3:$AP$245,地图配置辅助表!AA$1,FALSE)</f>
        <v>0</v>
      </c>
      <c r="AP211" s="9">
        <f>VLOOKUP($A211,地图配置辅助表!$A$3:$AP$245,地图配置辅助表!AB$1,FALSE)</f>
        <v>0</v>
      </c>
      <c r="AQ211" s="9">
        <f>VLOOKUP($A211,地图配置辅助表!$A$3:$AP$245,地图配置辅助表!AC$1,FALSE)</f>
        <v>0</v>
      </c>
      <c r="AR211" s="9">
        <f>VLOOKUP($A211,地图配置辅助表!$A$3:$AP$245,地图配置辅助表!AD$1,FALSE)</f>
        <v>0</v>
      </c>
      <c r="AS211" s="9">
        <f>VLOOKUP($A211,地图配置辅助表!$A$3:$AP$245,地图配置辅助表!AE$1,FALSE)</f>
        <v>0</v>
      </c>
      <c r="AT211" s="9">
        <f>VLOOKUP($A211,地图配置辅助表!$A$3:$AP$245,地图配置辅助表!AF$1,FALSE)</f>
        <v>5</v>
      </c>
      <c r="AU211" s="9">
        <f>VLOOKUP($A211,地图配置辅助表!$A$3:$AP$245,地图配置辅助表!AG$1,FALSE)</f>
        <v>14</v>
      </c>
      <c r="AV211" s="9">
        <f>VLOOKUP($A211,地图配置辅助表!$A$3:$AP$245,地图配置辅助表!AH$1,FALSE)</f>
        <v>15</v>
      </c>
      <c r="AW211" s="9">
        <f>VLOOKUP($A211,地图配置辅助表!$A$3:$AP$245,地图配置辅助表!AI$1,FALSE)</f>
        <v>16</v>
      </c>
      <c r="AX211" s="9">
        <f>VLOOKUP($A211,地图配置辅助表!$A$3:$AP$245,地图配置辅助表!AJ$1,FALSE)</f>
        <v>17</v>
      </c>
      <c r="AY211" s="9">
        <f>VLOOKUP($A211,地图配置辅助表!$A$3:$AP$245,地图配置辅助表!AK$1,FALSE)</f>
        <v>18</v>
      </c>
      <c r="AZ211" s="9">
        <f>VLOOKUP($A211,地图配置辅助表!$A$3:$AP$245,地图配置辅助表!AL$1,FALSE)</f>
        <v>0</v>
      </c>
      <c r="BA211" s="9">
        <f>VLOOKUP($A211,地图配置辅助表!$A$3:$AP$245,地图配置辅助表!AM$1,FALSE)</f>
        <v>0</v>
      </c>
      <c r="BB211" s="9">
        <f>VLOOKUP($A211,地图配置辅助表!$A$3:$AP$245,地图配置辅助表!AN$1,FALSE)</f>
        <v>0</v>
      </c>
      <c r="BC211" s="9">
        <f>VLOOKUP($A211,地图配置辅助表!$A$3:$AP$245,地图配置辅助表!AO$1,FALSE)</f>
        <v>0</v>
      </c>
      <c r="BD211" s="9">
        <f>VLOOKUP($A211,地图配置辅助表!$A$3:$AP$245,地图配置辅助表!AP$1,FALSE)</f>
        <v>0</v>
      </c>
    </row>
    <row r="212" spans="1:56" s="9" customFormat="1" x14ac:dyDescent="0.15">
      <c r="A212">
        <f>地图配置辅助表!A213</f>
        <v>1705</v>
      </c>
      <c r="B212" s="8">
        <f>地图配置辅助表!B213</f>
        <v>3</v>
      </c>
      <c r="C212" s="9">
        <f>地图配置辅助表!C213</f>
        <v>5</v>
      </c>
      <c r="D212" s="9" t="s">
        <v>445</v>
      </c>
      <c r="E212" s="9" t="s">
        <v>408</v>
      </c>
      <c r="F212" s="9" t="s">
        <v>539</v>
      </c>
      <c r="G212" s="9">
        <v>29</v>
      </c>
      <c r="H212" s="9">
        <v>1300</v>
      </c>
      <c r="I212" s="9">
        <v>130</v>
      </c>
      <c r="J212" s="9">
        <v>1300</v>
      </c>
      <c r="K212" s="9">
        <v>130</v>
      </c>
      <c r="L212" s="9" t="s">
        <v>480</v>
      </c>
      <c r="M212" s="9">
        <v>100</v>
      </c>
      <c r="R212" s="9" t="s">
        <v>499</v>
      </c>
      <c r="S212" s="11">
        <f>VLOOKUP($A212,地图配置辅助表!$A$3:$AP$245,地图配置辅助表!E$1,FALSE)</f>
        <v>12</v>
      </c>
      <c r="T212" s="9">
        <f>VLOOKUP($A212,地图配置辅助表!$A$3:$AP$245,地图配置辅助表!F$1,FALSE)</f>
        <v>74614</v>
      </c>
      <c r="U212" s="9">
        <f>VLOOKUP($A212,地图配置辅助表!$A$3:$AP$245,地图配置辅助表!G$1,FALSE)</f>
        <v>1</v>
      </c>
      <c r="V212" s="9">
        <f>VLOOKUP($A212,地图配置辅助表!$A$3:$AP$245,地图配置辅助表!H$1,FALSE)</f>
        <v>1</v>
      </c>
      <c r="W212" s="9">
        <f>VLOOKUP($A212,地图配置辅助表!$A$3:$AP$245,地图配置辅助表!I$1,FALSE)</f>
        <v>2</v>
      </c>
      <c r="X212" s="9">
        <f>VLOOKUP($A212,地图配置辅助表!$A$3:$AP$245,地图配置辅助表!J$1,FALSE)</f>
        <v>300</v>
      </c>
      <c r="Y212" s="9">
        <f>VLOOKUP($A212,地图配置辅助表!$A$3:$AP$245,地图配置辅助表!K$1,FALSE)</f>
        <v>0</v>
      </c>
      <c r="Z212" s="9">
        <f>VLOOKUP($A212,地图配置辅助表!$A$3:$AP$245,地图配置辅助表!L$1,FALSE)</f>
        <v>0</v>
      </c>
      <c r="AA212" s="9">
        <f>VLOOKUP($A212,地图配置辅助表!$A$3:$AP$245,地图配置辅助表!M$1,FALSE)</f>
        <v>2</v>
      </c>
      <c r="AB212">
        <f>VLOOKUP($A212,地图配置辅助表!$A$3:$AP$245,地图配置辅助表!N$1,FALSE)</f>
        <v>1</v>
      </c>
      <c r="AC212" s="9">
        <f>VLOOKUP($A212,地图配置辅助表!$A$3:$AP$245,地图配置辅助表!O$1,FALSE)</f>
        <v>1</v>
      </c>
      <c r="AD212">
        <f>VLOOKUP($A212,地图配置辅助表!$A$3:$AP$245,地图配置辅助表!P$1,FALSE)</f>
        <v>61</v>
      </c>
      <c r="AE212" s="8">
        <f>VLOOKUP($A212,地图配置辅助表!$A$3:$AP$245,地图配置辅助表!Q$1,FALSE)</f>
        <v>3</v>
      </c>
      <c r="AF212" s="8">
        <f>VLOOKUP($A212,地图配置辅助表!$A$3:$AP$245,地图配置辅助表!R$1,FALSE)</f>
        <v>1704</v>
      </c>
      <c r="AG212" s="11">
        <f>VLOOKUP($A212,地图配置辅助表!$A$3:$AP$245,地图配置辅助表!S$1,FALSE)</f>
        <v>501705</v>
      </c>
      <c r="AH212" s="11">
        <f>VLOOKUP($A212,地图配置辅助表!$A$3:$AP$245,地图配置辅助表!T$1,FALSE)</f>
        <v>605101</v>
      </c>
      <c r="AI212" s="9">
        <f>VLOOKUP($A212,地图配置辅助表!$A$3:$AP$245,地图配置辅助表!U$1,FALSE)</f>
        <v>0</v>
      </c>
      <c r="AJ212" s="9">
        <f>VLOOKUP($A212,地图配置辅助表!$A$3:$AP$245,地图配置辅助表!V$1,FALSE)</f>
        <v>0</v>
      </c>
      <c r="AK212" s="9">
        <f>VLOOKUP($A212,地图配置辅助表!$A$3:$AP$245,地图配置辅助表!W$1,FALSE)</f>
        <v>0</v>
      </c>
      <c r="AL212" s="9">
        <f>VLOOKUP($A212,地图配置辅助表!$A$3:$AP$245,地图配置辅助表!X$1,FALSE)</f>
        <v>0</v>
      </c>
      <c r="AM212" s="9">
        <f>VLOOKUP($A212,地图配置辅助表!$A$3:$AP$245,地图配置辅助表!Y$1,FALSE)</f>
        <v>0</v>
      </c>
      <c r="AN212" s="9">
        <f>VLOOKUP($A212,地图配置辅助表!$A$3:$AP$245,地图配置辅助表!Z$1,FALSE)</f>
        <v>0</v>
      </c>
      <c r="AO212" s="9">
        <f>VLOOKUP($A212,地图配置辅助表!$A$3:$AP$245,地图配置辅助表!AA$1,FALSE)</f>
        <v>0</v>
      </c>
      <c r="AP212" s="9">
        <f>VLOOKUP($A212,地图配置辅助表!$A$3:$AP$245,地图配置辅助表!AB$1,FALSE)</f>
        <v>0</v>
      </c>
      <c r="AQ212" s="9">
        <f>VLOOKUP($A212,地图配置辅助表!$A$3:$AP$245,地图配置辅助表!AC$1,FALSE)</f>
        <v>0</v>
      </c>
      <c r="AR212" s="9">
        <f>VLOOKUP($A212,地图配置辅助表!$A$3:$AP$245,地图配置辅助表!AD$1,FALSE)</f>
        <v>0</v>
      </c>
      <c r="AS212" s="9">
        <f>VLOOKUP($A212,地图配置辅助表!$A$3:$AP$245,地图配置辅助表!AE$1,FALSE)</f>
        <v>0</v>
      </c>
      <c r="AT212" s="9">
        <f>VLOOKUP($A212,地图配置辅助表!$A$3:$AP$245,地图配置辅助表!AF$1,FALSE)</f>
        <v>5</v>
      </c>
      <c r="AU212" s="9">
        <f>VLOOKUP($A212,地图配置辅助表!$A$3:$AP$245,地图配置辅助表!AG$1,FALSE)</f>
        <v>14</v>
      </c>
      <c r="AV212" s="9">
        <f>VLOOKUP($A212,地图配置辅助表!$A$3:$AP$245,地图配置辅助表!AH$1,FALSE)</f>
        <v>15</v>
      </c>
      <c r="AW212" s="9">
        <f>VLOOKUP($A212,地图配置辅助表!$A$3:$AP$245,地图配置辅助表!AI$1,FALSE)</f>
        <v>16</v>
      </c>
      <c r="AX212" s="9">
        <f>VLOOKUP($A212,地图配置辅助表!$A$3:$AP$245,地图配置辅助表!AJ$1,FALSE)</f>
        <v>17</v>
      </c>
      <c r="AY212" s="9">
        <f>VLOOKUP($A212,地图配置辅助表!$A$3:$AP$245,地图配置辅助表!AK$1,FALSE)</f>
        <v>18</v>
      </c>
      <c r="AZ212" s="9">
        <f>VLOOKUP($A212,地图配置辅助表!$A$3:$AP$245,地图配置辅助表!AL$1,FALSE)</f>
        <v>0</v>
      </c>
      <c r="BA212" s="9">
        <f>VLOOKUP($A212,地图配置辅助表!$A$3:$AP$245,地图配置辅助表!AM$1,FALSE)</f>
        <v>0</v>
      </c>
      <c r="BB212" s="9">
        <f>VLOOKUP($A212,地图配置辅助表!$A$3:$AP$245,地图配置辅助表!AN$1,FALSE)</f>
        <v>0</v>
      </c>
      <c r="BC212" s="9">
        <f>VLOOKUP($A212,地图配置辅助表!$A$3:$AP$245,地图配置辅助表!AO$1,FALSE)</f>
        <v>0</v>
      </c>
      <c r="BD212" s="9">
        <f>VLOOKUP($A212,地图配置辅助表!$A$3:$AP$245,地图配置辅助表!AP$1,FALSE)</f>
        <v>0</v>
      </c>
    </row>
    <row r="213" spans="1:56" s="9" customFormat="1" x14ac:dyDescent="0.15">
      <c r="A213">
        <f>地图配置辅助表!A214</f>
        <v>1706</v>
      </c>
      <c r="B213" s="8">
        <f>地图配置辅助表!B214</f>
        <v>3</v>
      </c>
      <c r="C213" s="9">
        <f>地图配置辅助表!C214</f>
        <v>6</v>
      </c>
      <c r="D213" s="9" t="s">
        <v>446</v>
      </c>
      <c r="E213" s="9" t="s">
        <v>408</v>
      </c>
      <c r="F213" s="9" t="s">
        <v>539</v>
      </c>
      <c r="G213" s="9">
        <v>29</v>
      </c>
      <c r="H213" s="9">
        <v>1300</v>
      </c>
      <c r="I213" s="9">
        <v>130</v>
      </c>
      <c r="J213" s="9">
        <v>1300</v>
      </c>
      <c r="K213" s="9">
        <v>130</v>
      </c>
      <c r="L213" s="9" t="s">
        <v>481</v>
      </c>
      <c r="M213" s="9">
        <v>100</v>
      </c>
      <c r="R213" s="9" t="s">
        <v>500</v>
      </c>
      <c r="S213" s="11">
        <f>VLOOKUP($A213,地图配置辅助表!$A$3:$AP$245,地图配置辅助表!E$1,FALSE)</f>
        <v>12</v>
      </c>
      <c r="T213" s="9">
        <f>VLOOKUP($A213,地图配置辅助表!$A$3:$AP$245,地图配置辅助表!F$1,FALSE)</f>
        <v>131569</v>
      </c>
      <c r="U213" s="9">
        <f>VLOOKUP($A213,地图配置辅助表!$A$3:$AP$245,地图配置辅助表!G$1,FALSE)</f>
        <v>1</v>
      </c>
      <c r="V213" s="9">
        <f>VLOOKUP($A213,地图配置辅助表!$A$3:$AP$245,地图配置辅助表!H$1,FALSE)</f>
        <v>1</v>
      </c>
      <c r="W213" s="9">
        <f>VLOOKUP($A213,地图配置辅助表!$A$3:$AP$245,地图配置辅助表!I$1,FALSE)</f>
        <v>2</v>
      </c>
      <c r="X213" s="9">
        <f>VLOOKUP($A213,地图配置辅助表!$A$3:$AP$245,地图配置辅助表!J$1,FALSE)</f>
        <v>300</v>
      </c>
      <c r="Y213" s="9">
        <f>VLOOKUP($A213,地图配置辅助表!$A$3:$AP$245,地图配置辅助表!K$1,FALSE)</f>
        <v>0</v>
      </c>
      <c r="Z213" s="9">
        <f>VLOOKUP($A213,地图配置辅助表!$A$3:$AP$245,地图配置辅助表!L$1,FALSE)</f>
        <v>0</v>
      </c>
      <c r="AA213" s="9">
        <f>VLOOKUP($A213,地图配置辅助表!$A$3:$AP$245,地图配置辅助表!M$1,FALSE)</f>
        <v>2</v>
      </c>
      <c r="AB213">
        <f>VLOOKUP($A213,地图配置辅助表!$A$3:$AP$245,地图配置辅助表!N$1,FALSE)</f>
        <v>1</v>
      </c>
      <c r="AC213" s="9">
        <f>VLOOKUP($A213,地图配置辅助表!$A$3:$AP$245,地图配置辅助表!O$1,FALSE)</f>
        <v>1</v>
      </c>
      <c r="AD213">
        <f>VLOOKUP($A213,地图配置辅助表!$A$3:$AP$245,地图配置辅助表!P$1,FALSE)</f>
        <v>70</v>
      </c>
      <c r="AE213" s="8">
        <f>VLOOKUP($A213,地图配置辅助表!$A$3:$AP$245,地图配置辅助表!Q$1,FALSE)</f>
        <v>3</v>
      </c>
      <c r="AF213" s="8">
        <f>VLOOKUP($A213,地图配置辅助表!$A$3:$AP$245,地图配置辅助表!R$1,FALSE)</f>
        <v>1705</v>
      </c>
      <c r="AG213" s="11">
        <f>VLOOKUP($A213,地图配置辅助表!$A$3:$AP$245,地图配置辅助表!S$1,FALSE)</f>
        <v>501706</v>
      </c>
      <c r="AH213" s="11">
        <f>VLOOKUP($A213,地图配置辅助表!$A$3:$AP$245,地图配置辅助表!T$1,FALSE)</f>
        <v>606101</v>
      </c>
      <c r="AI213" s="9">
        <f>VLOOKUP($A213,地图配置辅助表!$A$3:$AP$245,地图配置辅助表!U$1,FALSE)</f>
        <v>0</v>
      </c>
      <c r="AJ213" s="9">
        <f>VLOOKUP($A213,地图配置辅助表!$A$3:$AP$245,地图配置辅助表!V$1,FALSE)</f>
        <v>0</v>
      </c>
      <c r="AK213" s="9">
        <f>VLOOKUP($A213,地图配置辅助表!$A$3:$AP$245,地图配置辅助表!W$1,FALSE)</f>
        <v>0</v>
      </c>
      <c r="AL213" s="9">
        <f>VLOOKUP($A213,地图配置辅助表!$A$3:$AP$245,地图配置辅助表!X$1,FALSE)</f>
        <v>0</v>
      </c>
      <c r="AM213" s="9">
        <f>VLOOKUP($A213,地图配置辅助表!$A$3:$AP$245,地图配置辅助表!Y$1,FALSE)</f>
        <v>0</v>
      </c>
      <c r="AN213" s="9">
        <f>VLOOKUP($A213,地图配置辅助表!$A$3:$AP$245,地图配置辅助表!Z$1,FALSE)</f>
        <v>0</v>
      </c>
      <c r="AO213" s="9">
        <f>VLOOKUP($A213,地图配置辅助表!$A$3:$AP$245,地图配置辅助表!AA$1,FALSE)</f>
        <v>0</v>
      </c>
      <c r="AP213" s="9">
        <f>VLOOKUP($A213,地图配置辅助表!$A$3:$AP$245,地图配置辅助表!AB$1,FALSE)</f>
        <v>0</v>
      </c>
      <c r="AQ213" s="9">
        <f>VLOOKUP($A213,地图配置辅助表!$A$3:$AP$245,地图配置辅助表!AC$1,FALSE)</f>
        <v>0</v>
      </c>
      <c r="AR213" s="9">
        <f>VLOOKUP($A213,地图配置辅助表!$A$3:$AP$245,地图配置辅助表!AD$1,FALSE)</f>
        <v>0</v>
      </c>
      <c r="AS213" s="9">
        <f>VLOOKUP($A213,地图配置辅助表!$A$3:$AP$245,地图配置辅助表!AE$1,FALSE)</f>
        <v>0</v>
      </c>
      <c r="AT213" s="9">
        <f>VLOOKUP($A213,地图配置辅助表!$A$3:$AP$245,地图配置辅助表!AF$1,FALSE)</f>
        <v>5</v>
      </c>
      <c r="AU213" s="9">
        <f>VLOOKUP($A213,地图配置辅助表!$A$3:$AP$245,地图配置辅助表!AG$1,FALSE)</f>
        <v>14</v>
      </c>
      <c r="AV213" s="9">
        <f>VLOOKUP($A213,地图配置辅助表!$A$3:$AP$245,地图配置辅助表!AH$1,FALSE)</f>
        <v>15</v>
      </c>
      <c r="AW213" s="9">
        <f>VLOOKUP($A213,地图配置辅助表!$A$3:$AP$245,地图配置辅助表!AI$1,FALSE)</f>
        <v>16</v>
      </c>
      <c r="AX213" s="9">
        <f>VLOOKUP($A213,地图配置辅助表!$A$3:$AP$245,地图配置辅助表!AJ$1,FALSE)</f>
        <v>17</v>
      </c>
      <c r="AY213" s="9">
        <f>VLOOKUP($A213,地图配置辅助表!$A$3:$AP$245,地图配置辅助表!AK$1,FALSE)</f>
        <v>18</v>
      </c>
      <c r="AZ213" s="9">
        <f>VLOOKUP($A213,地图配置辅助表!$A$3:$AP$245,地图配置辅助表!AL$1,FALSE)</f>
        <v>0</v>
      </c>
      <c r="BA213" s="9">
        <f>VLOOKUP($A213,地图配置辅助表!$A$3:$AP$245,地图配置辅助表!AM$1,FALSE)</f>
        <v>0</v>
      </c>
      <c r="BB213" s="9">
        <f>VLOOKUP($A213,地图配置辅助表!$A$3:$AP$245,地图配置辅助表!AN$1,FALSE)</f>
        <v>0</v>
      </c>
      <c r="BC213" s="9">
        <f>VLOOKUP($A213,地图配置辅助表!$A$3:$AP$245,地图配置辅助表!AO$1,FALSE)</f>
        <v>0</v>
      </c>
      <c r="BD213" s="9">
        <f>VLOOKUP($A213,地图配置辅助表!$A$3:$AP$245,地图配置辅助表!AP$1,FALSE)</f>
        <v>0</v>
      </c>
    </row>
    <row r="214" spans="1:56" s="9" customFormat="1" x14ac:dyDescent="0.15">
      <c r="A214">
        <f>地图配置辅助表!A215</f>
        <v>1801</v>
      </c>
      <c r="B214" s="8">
        <f>地图配置辅助表!B215</f>
        <v>3</v>
      </c>
      <c r="C214" s="9">
        <f>地图配置辅助表!C215</f>
        <v>1</v>
      </c>
      <c r="D214" s="9" t="s">
        <v>591</v>
      </c>
      <c r="E214" s="9" t="s">
        <v>409</v>
      </c>
      <c r="F214" s="9" t="s">
        <v>538</v>
      </c>
      <c r="G214" s="9">
        <v>29</v>
      </c>
      <c r="H214" s="9">
        <v>500</v>
      </c>
      <c r="I214" s="9">
        <v>130</v>
      </c>
      <c r="J214" s="9">
        <v>400</v>
      </c>
      <c r="K214" s="9">
        <v>130</v>
      </c>
      <c r="L214" s="9" t="s">
        <v>487</v>
      </c>
      <c r="M214" s="9">
        <v>120</v>
      </c>
      <c r="R214" s="9" t="s">
        <v>488</v>
      </c>
      <c r="S214" s="11">
        <f>VLOOKUP($A214,地图配置辅助表!$A$3:$AP$245,地图配置辅助表!E$1,FALSE)</f>
        <v>12</v>
      </c>
      <c r="T214" s="9">
        <f>VLOOKUP($A214,地图配置辅助表!$A$3:$AP$245,地图配置辅助表!F$1,FALSE)</f>
        <v>615</v>
      </c>
      <c r="U214" s="9">
        <f>VLOOKUP($A214,地图配置辅助表!$A$3:$AP$245,地图配置辅助表!G$1,FALSE)</f>
        <v>1</v>
      </c>
      <c r="V214" s="9">
        <f>VLOOKUP($A214,地图配置辅助表!$A$3:$AP$245,地图配置辅助表!H$1,FALSE)</f>
        <v>1</v>
      </c>
      <c r="W214" s="9">
        <f>VLOOKUP($A214,地图配置辅助表!$A$3:$AP$245,地图配置辅助表!I$1,FALSE)</f>
        <v>2</v>
      </c>
      <c r="X214" s="9">
        <f>VLOOKUP($A214,地图配置辅助表!$A$3:$AP$245,地图配置辅助表!J$1,FALSE)</f>
        <v>300</v>
      </c>
      <c r="Y214" s="9">
        <f>VLOOKUP($A214,地图配置辅助表!$A$3:$AP$245,地图配置辅助表!K$1,FALSE)</f>
        <v>0</v>
      </c>
      <c r="Z214" s="9">
        <f>VLOOKUP($A214,地图配置辅助表!$A$3:$AP$245,地图配置辅助表!L$1,FALSE)</f>
        <v>0</v>
      </c>
      <c r="AA214" s="9">
        <f>VLOOKUP($A214,地图配置辅助表!$A$3:$AP$245,地图配置辅助表!M$1,FALSE)</f>
        <v>2</v>
      </c>
      <c r="AB214">
        <f>VLOOKUP($A214,地图配置辅助表!$A$3:$AP$245,地图配置辅助表!N$1,FALSE)</f>
        <v>1</v>
      </c>
      <c r="AC214" s="9">
        <f>VLOOKUP($A214,地图配置辅助表!$A$3:$AP$245,地图配置辅助表!O$1,FALSE)</f>
        <v>1</v>
      </c>
      <c r="AD214">
        <f>VLOOKUP($A214,地图配置辅助表!$A$3:$AP$245,地图配置辅助表!P$1,FALSE)</f>
        <v>11</v>
      </c>
      <c r="AE214" s="8">
        <f>VLOOKUP($A214,地图配置辅助表!$A$3:$AP$245,地图配置辅助表!Q$1,FALSE)</f>
        <v>4</v>
      </c>
      <c r="AF214" s="8">
        <f>VLOOKUP($A214,地图配置辅助表!$A$3:$AP$245,地图配置辅助表!R$1,FALSE)</f>
        <v>0</v>
      </c>
      <c r="AG214" s="11">
        <f>VLOOKUP($A214,地图配置辅助表!$A$3:$AP$245,地图配置辅助表!S$1,FALSE)</f>
        <v>501801</v>
      </c>
      <c r="AH214" s="11">
        <f>VLOOKUP($A214,地图配置辅助表!$A$3:$AP$245,地图配置辅助表!T$1,FALSE)</f>
        <v>501102</v>
      </c>
      <c r="AI214" s="9">
        <f>VLOOKUP($A214,地图配置辅助表!$A$3:$AP$245,地图配置辅助表!U$1,FALSE)</f>
        <v>0</v>
      </c>
      <c r="AJ214" s="9">
        <f>VLOOKUP($A214,地图配置辅助表!$A$3:$AP$245,地图配置辅助表!V$1,FALSE)</f>
        <v>0</v>
      </c>
      <c r="AK214" s="9">
        <f>VLOOKUP($A214,地图配置辅助表!$A$3:$AP$245,地图配置辅助表!W$1,FALSE)</f>
        <v>0</v>
      </c>
      <c r="AL214" s="9">
        <f>VLOOKUP($A214,地图配置辅助表!$A$3:$AP$245,地图配置辅助表!X$1,FALSE)</f>
        <v>0</v>
      </c>
      <c r="AM214" s="9">
        <f>VLOOKUP($A214,地图配置辅助表!$A$3:$AP$245,地图配置辅助表!Y$1,FALSE)</f>
        <v>0</v>
      </c>
      <c r="AN214" s="9">
        <f>VLOOKUP($A214,地图配置辅助表!$A$3:$AP$245,地图配置辅助表!Z$1,FALSE)</f>
        <v>0</v>
      </c>
      <c r="AO214" s="9">
        <f>VLOOKUP($A214,地图配置辅助表!$A$3:$AP$245,地图配置辅助表!AA$1,FALSE)</f>
        <v>0</v>
      </c>
      <c r="AP214" s="9">
        <f>VLOOKUP($A214,地图配置辅助表!$A$3:$AP$245,地图配置辅助表!AB$1,FALSE)</f>
        <v>0</v>
      </c>
      <c r="AQ214" s="9">
        <f>VLOOKUP($A214,地图配置辅助表!$A$3:$AP$245,地图配置辅助表!AC$1,FALSE)</f>
        <v>0</v>
      </c>
      <c r="AR214" s="9">
        <f>VLOOKUP($A214,地图配置辅助表!$A$3:$AP$245,地图配置辅助表!AD$1,FALSE)</f>
        <v>0</v>
      </c>
      <c r="AS214" s="9">
        <f>VLOOKUP($A214,地图配置辅助表!$A$3:$AP$245,地图配置辅助表!AE$1,FALSE)</f>
        <v>0</v>
      </c>
      <c r="AT214" s="9">
        <f>VLOOKUP($A214,地图配置辅助表!$A$3:$AP$245,地图配置辅助表!AF$1,FALSE)</f>
        <v>5</v>
      </c>
      <c r="AU214" s="9">
        <f>VLOOKUP($A214,地图配置辅助表!$A$3:$AP$245,地图配置辅助表!AG$1,FALSE)</f>
        <v>217</v>
      </c>
      <c r="AV214" s="9">
        <f>VLOOKUP($A214,地图配置辅助表!$A$3:$AP$245,地图配置辅助表!AH$1,FALSE)</f>
        <v>218</v>
      </c>
      <c r="AW214" s="9">
        <f>VLOOKUP($A214,地图配置辅助表!$A$3:$AP$245,地图配置辅助表!AI$1,FALSE)</f>
        <v>219</v>
      </c>
      <c r="AX214" s="9">
        <f>VLOOKUP($A214,地图配置辅助表!$A$3:$AP$245,地图配置辅助表!AJ$1,FALSE)</f>
        <v>220</v>
      </c>
      <c r="AY214" s="9">
        <f>VLOOKUP($A214,地图配置辅助表!$A$3:$AP$245,地图配置辅助表!AK$1,FALSE)</f>
        <v>221</v>
      </c>
      <c r="AZ214" s="9">
        <f>VLOOKUP($A214,地图配置辅助表!$A$3:$AP$245,地图配置辅助表!AL$1,FALSE)</f>
        <v>0</v>
      </c>
      <c r="BA214" s="9">
        <f>VLOOKUP($A214,地图配置辅助表!$A$3:$AP$245,地图配置辅助表!AM$1,FALSE)</f>
        <v>0</v>
      </c>
      <c r="BB214" s="9">
        <f>VLOOKUP($A214,地图配置辅助表!$A$3:$AP$245,地图配置辅助表!AN$1,FALSE)</f>
        <v>0</v>
      </c>
      <c r="BC214" s="9">
        <f>VLOOKUP($A214,地图配置辅助表!$A$3:$AP$245,地图配置辅助表!AO$1,FALSE)</f>
        <v>0</v>
      </c>
      <c r="BD214" s="9">
        <f>VLOOKUP($A214,地图配置辅助表!$A$3:$AP$245,地图配置辅助表!AP$1,FALSE)</f>
        <v>0</v>
      </c>
    </row>
    <row r="215" spans="1:56" s="9" customFormat="1" x14ac:dyDescent="0.15">
      <c r="A215">
        <f>地图配置辅助表!A216</f>
        <v>1802</v>
      </c>
      <c r="B215" s="8">
        <f>地图配置辅助表!B216</f>
        <v>3</v>
      </c>
      <c r="C215" s="9">
        <f>地图配置辅助表!C216</f>
        <v>2</v>
      </c>
      <c r="D215" s="9" t="s">
        <v>447</v>
      </c>
      <c r="E215" s="9" t="s">
        <v>409</v>
      </c>
      <c r="F215" s="9" t="s">
        <v>538</v>
      </c>
      <c r="G215" s="9">
        <v>29</v>
      </c>
      <c r="H215" s="9">
        <v>500</v>
      </c>
      <c r="I215" s="9">
        <v>130</v>
      </c>
      <c r="J215" s="9">
        <v>400</v>
      </c>
      <c r="K215" s="9">
        <v>130</v>
      </c>
      <c r="L215" s="9" t="s">
        <v>482</v>
      </c>
      <c r="M215" s="9">
        <v>120</v>
      </c>
      <c r="R215" s="9" t="s">
        <v>489</v>
      </c>
      <c r="S215" s="11">
        <f>VLOOKUP($A215,地图配置辅助表!$A$3:$AP$245,地图配置辅助表!E$1,FALSE)</f>
        <v>12</v>
      </c>
      <c r="T215" s="9">
        <f>VLOOKUP($A215,地图配置辅助表!$A$3:$AP$245,地图配置辅助表!F$1,FALSE)</f>
        <v>4880</v>
      </c>
      <c r="U215" s="9">
        <f>VLOOKUP($A215,地图配置辅助表!$A$3:$AP$245,地图配置辅助表!G$1,FALSE)</f>
        <v>1</v>
      </c>
      <c r="V215" s="9">
        <f>VLOOKUP($A215,地图配置辅助表!$A$3:$AP$245,地图配置辅助表!H$1,FALSE)</f>
        <v>1</v>
      </c>
      <c r="W215" s="9">
        <f>VLOOKUP($A215,地图配置辅助表!$A$3:$AP$245,地图配置辅助表!I$1,FALSE)</f>
        <v>2</v>
      </c>
      <c r="X215" s="9">
        <f>VLOOKUP($A215,地图配置辅助表!$A$3:$AP$245,地图配置辅助表!J$1,FALSE)</f>
        <v>300</v>
      </c>
      <c r="Y215" s="9">
        <f>VLOOKUP($A215,地图配置辅助表!$A$3:$AP$245,地图配置辅助表!K$1,FALSE)</f>
        <v>0</v>
      </c>
      <c r="Z215" s="9">
        <f>VLOOKUP($A215,地图配置辅助表!$A$3:$AP$245,地图配置辅助表!L$1,FALSE)</f>
        <v>0</v>
      </c>
      <c r="AA215" s="9">
        <f>VLOOKUP($A215,地图配置辅助表!$A$3:$AP$245,地图配置辅助表!M$1,FALSE)</f>
        <v>2</v>
      </c>
      <c r="AB215">
        <f>VLOOKUP($A215,地图配置辅助表!$A$3:$AP$245,地图配置辅助表!N$1,FALSE)</f>
        <v>1</v>
      </c>
      <c r="AC215" s="9">
        <f>VLOOKUP($A215,地图配置辅助表!$A$3:$AP$245,地图配置辅助表!O$1,FALSE)</f>
        <v>1</v>
      </c>
      <c r="AD215">
        <f>VLOOKUP($A215,地图配置辅助表!$A$3:$AP$245,地图配置辅助表!P$1,FALSE)</f>
        <v>28</v>
      </c>
      <c r="AE215" s="8">
        <f>VLOOKUP($A215,地图配置辅助表!$A$3:$AP$245,地图配置辅助表!Q$1,FALSE)</f>
        <v>3</v>
      </c>
      <c r="AF215" s="8">
        <f>VLOOKUP($A215,地图配置辅助表!$A$3:$AP$245,地图配置辅助表!R$1,FALSE)</f>
        <v>1801</v>
      </c>
      <c r="AG215" s="11">
        <f>VLOOKUP($A215,地图配置辅助表!$A$3:$AP$245,地图配置辅助表!S$1,FALSE)</f>
        <v>501802</v>
      </c>
      <c r="AH215" s="11">
        <f>VLOOKUP($A215,地图配置辅助表!$A$3:$AP$245,地图配置辅助表!T$1,FALSE)</f>
        <v>502102</v>
      </c>
      <c r="AI215" s="9">
        <f>VLOOKUP($A215,地图配置辅助表!$A$3:$AP$245,地图配置辅助表!U$1,FALSE)</f>
        <v>0</v>
      </c>
      <c r="AJ215" s="9">
        <f>VLOOKUP($A215,地图配置辅助表!$A$3:$AP$245,地图配置辅助表!V$1,FALSE)</f>
        <v>0</v>
      </c>
      <c r="AK215" s="9">
        <f>VLOOKUP($A215,地图配置辅助表!$A$3:$AP$245,地图配置辅助表!W$1,FALSE)</f>
        <v>0</v>
      </c>
      <c r="AL215" s="9">
        <f>VLOOKUP($A215,地图配置辅助表!$A$3:$AP$245,地图配置辅助表!X$1,FALSE)</f>
        <v>0</v>
      </c>
      <c r="AM215" s="9">
        <f>VLOOKUP($A215,地图配置辅助表!$A$3:$AP$245,地图配置辅助表!Y$1,FALSE)</f>
        <v>0</v>
      </c>
      <c r="AN215" s="9">
        <f>VLOOKUP($A215,地图配置辅助表!$A$3:$AP$245,地图配置辅助表!Z$1,FALSE)</f>
        <v>0</v>
      </c>
      <c r="AO215" s="9">
        <f>VLOOKUP($A215,地图配置辅助表!$A$3:$AP$245,地图配置辅助表!AA$1,FALSE)</f>
        <v>0</v>
      </c>
      <c r="AP215" s="9">
        <f>VLOOKUP($A215,地图配置辅助表!$A$3:$AP$245,地图配置辅助表!AB$1,FALSE)</f>
        <v>0</v>
      </c>
      <c r="AQ215" s="9">
        <f>VLOOKUP($A215,地图配置辅助表!$A$3:$AP$245,地图配置辅助表!AC$1,FALSE)</f>
        <v>0</v>
      </c>
      <c r="AR215" s="9">
        <f>VLOOKUP($A215,地图配置辅助表!$A$3:$AP$245,地图配置辅助表!AD$1,FALSE)</f>
        <v>0</v>
      </c>
      <c r="AS215" s="9">
        <f>VLOOKUP($A215,地图配置辅助表!$A$3:$AP$245,地图配置辅助表!AE$1,FALSE)</f>
        <v>0</v>
      </c>
      <c r="AT215" s="9">
        <f>VLOOKUP($A215,地图配置辅助表!$A$3:$AP$245,地图配置辅助表!AF$1,FALSE)</f>
        <v>5</v>
      </c>
      <c r="AU215" s="9">
        <f>VLOOKUP($A215,地图配置辅助表!$A$3:$AP$245,地图配置辅助表!AG$1,FALSE)</f>
        <v>217</v>
      </c>
      <c r="AV215" s="9">
        <f>VLOOKUP($A215,地图配置辅助表!$A$3:$AP$245,地图配置辅助表!AH$1,FALSE)</f>
        <v>218</v>
      </c>
      <c r="AW215" s="9">
        <f>VLOOKUP($A215,地图配置辅助表!$A$3:$AP$245,地图配置辅助表!AI$1,FALSE)</f>
        <v>219</v>
      </c>
      <c r="AX215" s="9">
        <f>VLOOKUP($A215,地图配置辅助表!$A$3:$AP$245,地图配置辅助表!AJ$1,FALSE)</f>
        <v>220</v>
      </c>
      <c r="AY215" s="9">
        <f>VLOOKUP($A215,地图配置辅助表!$A$3:$AP$245,地图配置辅助表!AK$1,FALSE)</f>
        <v>221</v>
      </c>
      <c r="AZ215" s="9">
        <f>VLOOKUP($A215,地图配置辅助表!$A$3:$AP$245,地图配置辅助表!AL$1,FALSE)</f>
        <v>0</v>
      </c>
      <c r="BA215" s="9">
        <f>VLOOKUP($A215,地图配置辅助表!$A$3:$AP$245,地图配置辅助表!AM$1,FALSE)</f>
        <v>0</v>
      </c>
      <c r="BB215" s="9">
        <f>VLOOKUP($A215,地图配置辅助表!$A$3:$AP$245,地图配置辅助表!AN$1,FALSE)</f>
        <v>0</v>
      </c>
      <c r="BC215" s="9">
        <f>VLOOKUP($A215,地图配置辅助表!$A$3:$AP$245,地图配置辅助表!AO$1,FALSE)</f>
        <v>0</v>
      </c>
      <c r="BD215" s="9">
        <f>VLOOKUP($A215,地图配置辅助表!$A$3:$AP$245,地图配置辅助表!AP$1,FALSE)</f>
        <v>0</v>
      </c>
    </row>
    <row r="216" spans="1:56" s="9" customFormat="1" x14ac:dyDescent="0.15">
      <c r="A216">
        <f>地图配置辅助表!A217</f>
        <v>1803</v>
      </c>
      <c r="B216" s="8">
        <f>地图配置辅助表!B217</f>
        <v>3</v>
      </c>
      <c r="C216" s="9">
        <f>地图配置辅助表!C217</f>
        <v>3</v>
      </c>
      <c r="D216" s="9" t="s">
        <v>448</v>
      </c>
      <c r="E216" s="9" t="s">
        <v>409</v>
      </c>
      <c r="F216" s="9" t="s">
        <v>538</v>
      </c>
      <c r="G216" s="9">
        <v>29</v>
      </c>
      <c r="H216" s="9">
        <v>500</v>
      </c>
      <c r="I216" s="9">
        <v>130</v>
      </c>
      <c r="J216" s="9">
        <v>400</v>
      </c>
      <c r="K216" s="9">
        <v>130</v>
      </c>
      <c r="L216" s="9" t="s">
        <v>483</v>
      </c>
      <c r="M216" s="9">
        <v>120</v>
      </c>
      <c r="R216" s="9" t="s">
        <v>490</v>
      </c>
      <c r="S216" s="11">
        <f>VLOOKUP($A216,地图配置辅助表!$A$3:$AP$245,地图配置辅助表!E$1,FALSE)</f>
        <v>12</v>
      </c>
      <c r="T216" s="9">
        <f>VLOOKUP($A216,地图配置辅助表!$A$3:$AP$245,地图配置辅助表!F$1,FALSE)</f>
        <v>12645</v>
      </c>
      <c r="U216" s="9">
        <f>VLOOKUP($A216,地图配置辅助表!$A$3:$AP$245,地图配置辅助表!G$1,FALSE)</f>
        <v>1</v>
      </c>
      <c r="V216" s="9">
        <f>VLOOKUP($A216,地图配置辅助表!$A$3:$AP$245,地图配置辅助表!H$1,FALSE)</f>
        <v>1</v>
      </c>
      <c r="W216" s="9">
        <f>VLOOKUP($A216,地图配置辅助表!$A$3:$AP$245,地图配置辅助表!I$1,FALSE)</f>
        <v>2</v>
      </c>
      <c r="X216" s="9">
        <f>VLOOKUP($A216,地图配置辅助表!$A$3:$AP$245,地图配置辅助表!J$1,FALSE)</f>
        <v>300</v>
      </c>
      <c r="Y216" s="9">
        <f>VLOOKUP($A216,地图配置辅助表!$A$3:$AP$245,地图配置辅助表!K$1,FALSE)</f>
        <v>0</v>
      </c>
      <c r="Z216" s="9">
        <f>VLOOKUP($A216,地图配置辅助表!$A$3:$AP$245,地图配置辅助表!L$1,FALSE)</f>
        <v>0</v>
      </c>
      <c r="AA216" s="9">
        <f>VLOOKUP($A216,地图配置辅助表!$A$3:$AP$245,地图配置辅助表!M$1,FALSE)</f>
        <v>2</v>
      </c>
      <c r="AB216">
        <f>VLOOKUP($A216,地图配置辅助表!$A$3:$AP$245,地图配置辅助表!N$1,FALSE)</f>
        <v>1</v>
      </c>
      <c r="AC216" s="9">
        <f>VLOOKUP($A216,地图配置辅助表!$A$3:$AP$245,地图配置辅助表!O$1,FALSE)</f>
        <v>1</v>
      </c>
      <c r="AD216">
        <f>VLOOKUP($A216,地图配置辅助表!$A$3:$AP$245,地图配置辅助表!P$1,FALSE)</f>
        <v>38</v>
      </c>
      <c r="AE216" s="8">
        <f>VLOOKUP($A216,地图配置辅助表!$A$3:$AP$245,地图配置辅助表!Q$1,FALSE)</f>
        <v>3</v>
      </c>
      <c r="AF216" s="8">
        <f>VLOOKUP($A216,地图配置辅助表!$A$3:$AP$245,地图配置辅助表!R$1,FALSE)</f>
        <v>1802</v>
      </c>
      <c r="AG216" s="11">
        <f>VLOOKUP($A216,地图配置辅助表!$A$3:$AP$245,地图配置辅助表!S$1,FALSE)</f>
        <v>501803</v>
      </c>
      <c r="AH216" s="11">
        <f>VLOOKUP($A216,地图配置辅助表!$A$3:$AP$245,地图配置辅助表!T$1,FALSE)</f>
        <v>503102</v>
      </c>
      <c r="AI216" s="9">
        <f>VLOOKUP($A216,地图配置辅助表!$A$3:$AP$245,地图配置辅助表!U$1,FALSE)</f>
        <v>0</v>
      </c>
      <c r="AJ216" s="9">
        <f>VLOOKUP($A216,地图配置辅助表!$A$3:$AP$245,地图配置辅助表!V$1,FALSE)</f>
        <v>0</v>
      </c>
      <c r="AK216" s="9">
        <f>VLOOKUP($A216,地图配置辅助表!$A$3:$AP$245,地图配置辅助表!W$1,FALSE)</f>
        <v>0</v>
      </c>
      <c r="AL216" s="9">
        <f>VLOOKUP($A216,地图配置辅助表!$A$3:$AP$245,地图配置辅助表!X$1,FALSE)</f>
        <v>0</v>
      </c>
      <c r="AM216" s="9">
        <f>VLOOKUP($A216,地图配置辅助表!$A$3:$AP$245,地图配置辅助表!Y$1,FALSE)</f>
        <v>0</v>
      </c>
      <c r="AN216" s="9">
        <f>VLOOKUP($A216,地图配置辅助表!$A$3:$AP$245,地图配置辅助表!Z$1,FALSE)</f>
        <v>0</v>
      </c>
      <c r="AO216" s="9">
        <f>VLOOKUP($A216,地图配置辅助表!$A$3:$AP$245,地图配置辅助表!AA$1,FALSE)</f>
        <v>0</v>
      </c>
      <c r="AP216" s="9">
        <f>VLOOKUP($A216,地图配置辅助表!$A$3:$AP$245,地图配置辅助表!AB$1,FALSE)</f>
        <v>0</v>
      </c>
      <c r="AQ216" s="9">
        <f>VLOOKUP($A216,地图配置辅助表!$A$3:$AP$245,地图配置辅助表!AC$1,FALSE)</f>
        <v>0</v>
      </c>
      <c r="AR216" s="9">
        <f>VLOOKUP($A216,地图配置辅助表!$A$3:$AP$245,地图配置辅助表!AD$1,FALSE)</f>
        <v>0</v>
      </c>
      <c r="AS216" s="9">
        <f>VLOOKUP($A216,地图配置辅助表!$A$3:$AP$245,地图配置辅助表!AE$1,FALSE)</f>
        <v>0</v>
      </c>
      <c r="AT216" s="9">
        <f>VLOOKUP($A216,地图配置辅助表!$A$3:$AP$245,地图配置辅助表!AF$1,FALSE)</f>
        <v>5</v>
      </c>
      <c r="AU216" s="9">
        <f>VLOOKUP($A216,地图配置辅助表!$A$3:$AP$245,地图配置辅助表!AG$1,FALSE)</f>
        <v>217</v>
      </c>
      <c r="AV216" s="9">
        <f>VLOOKUP($A216,地图配置辅助表!$A$3:$AP$245,地图配置辅助表!AH$1,FALSE)</f>
        <v>218</v>
      </c>
      <c r="AW216" s="9">
        <f>VLOOKUP($A216,地图配置辅助表!$A$3:$AP$245,地图配置辅助表!AI$1,FALSE)</f>
        <v>219</v>
      </c>
      <c r="AX216" s="9">
        <f>VLOOKUP($A216,地图配置辅助表!$A$3:$AP$245,地图配置辅助表!AJ$1,FALSE)</f>
        <v>220</v>
      </c>
      <c r="AY216" s="9">
        <f>VLOOKUP($A216,地图配置辅助表!$A$3:$AP$245,地图配置辅助表!AK$1,FALSE)</f>
        <v>221</v>
      </c>
      <c r="AZ216" s="9">
        <f>VLOOKUP($A216,地图配置辅助表!$A$3:$AP$245,地图配置辅助表!AL$1,FALSE)</f>
        <v>0</v>
      </c>
      <c r="BA216" s="9">
        <f>VLOOKUP($A216,地图配置辅助表!$A$3:$AP$245,地图配置辅助表!AM$1,FALSE)</f>
        <v>0</v>
      </c>
      <c r="BB216" s="9">
        <f>VLOOKUP($A216,地图配置辅助表!$A$3:$AP$245,地图配置辅助表!AN$1,FALSE)</f>
        <v>0</v>
      </c>
      <c r="BC216" s="9">
        <f>VLOOKUP($A216,地图配置辅助表!$A$3:$AP$245,地图配置辅助表!AO$1,FALSE)</f>
        <v>0</v>
      </c>
      <c r="BD216" s="9">
        <f>VLOOKUP($A216,地图配置辅助表!$A$3:$AP$245,地图配置辅助表!AP$1,FALSE)</f>
        <v>0</v>
      </c>
    </row>
    <row r="217" spans="1:56" s="9" customFormat="1" x14ac:dyDescent="0.15">
      <c r="A217">
        <f>地图配置辅助表!A218</f>
        <v>1804</v>
      </c>
      <c r="B217" s="8">
        <f>地图配置辅助表!B218</f>
        <v>3</v>
      </c>
      <c r="C217" s="9">
        <f>地图配置辅助表!C218</f>
        <v>4</v>
      </c>
      <c r="D217" s="9" t="s">
        <v>449</v>
      </c>
      <c r="E217" s="9" t="s">
        <v>409</v>
      </c>
      <c r="F217" s="9" t="s">
        <v>538</v>
      </c>
      <c r="G217" s="9">
        <v>29</v>
      </c>
      <c r="H217" s="9">
        <v>500</v>
      </c>
      <c r="I217" s="9">
        <v>130</v>
      </c>
      <c r="J217" s="9">
        <v>400</v>
      </c>
      <c r="K217" s="9">
        <v>130</v>
      </c>
      <c r="L217" s="9" t="s">
        <v>484</v>
      </c>
      <c r="M217" s="9">
        <v>120</v>
      </c>
      <c r="R217" s="9" t="s">
        <v>491</v>
      </c>
      <c r="S217" s="11">
        <f>VLOOKUP($A217,地图配置辅助表!$A$3:$AP$245,地图配置辅助表!E$1,FALSE)</f>
        <v>12</v>
      </c>
      <c r="T217" s="9">
        <f>VLOOKUP($A217,地图配置辅助表!$A$3:$AP$245,地图配置辅助表!F$1,FALSE)</f>
        <v>29369</v>
      </c>
      <c r="U217" s="9">
        <f>VLOOKUP($A217,地图配置辅助表!$A$3:$AP$245,地图配置辅助表!G$1,FALSE)</f>
        <v>1</v>
      </c>
      <c r="V217" s="9">
        <f>VLOOKUP($A217,地图配置辅助表!$A$3:$AP$245,地图配置辅助表!H$1,FALSE)</f>
        <v>1</v>
      </c>
      <c r="W217" s="9">
        <f>VLOOKUP($A217,地图配置辅助表!$A$3:$AP$245,地图配置辅助表!I$1,FALSE)</f>
        <v>2</v>
      </c>
      <c r="X217" s="9">
        <f>VLOOKUP($A217,地图配置辅助表!$A$3:$AP$245,地图配置辅助表!J$1,FALSE)</f>
        <v>300</v>
      </c>
      <c r="Y217" s="9">
        <f>VLOOKUP($A217,地图配置辅助表!$A$3:$AP$245,地图配置辅助表!K$1,FALSE)</f>
        <v>0</v>
      </c>
      <c r="Z217" s="9">
        <f>VLOOKUP($A217,地图配置辅助表!$A$3:$AP$245,地图配置辅助表!L$1,FALSE)</f>
        <v>0</v>
      </c>
      <c r="AA217" s="9">
        <f>VLOOKUP($A217,地图配置辅助表!$A$3:$AP$245,地图配置辅助表!M$1,FALSE)</f>
        <v>2</v>
      </c>
      <c r="AB217">
        <f>VLOOKUP($A217,地图配置辅助表!$A$3:$AP$245,地图配置辅助表!N$1,FALSE)</f>
        <v>1</v>
      </c>
      <c r="AC217" s="9">
        <f>VLOOKUP($A217,地图配置辅助表!$A$3:$AP$245,地图配置辅助表!O$1,FALSE)</f>
        <v>1</v>
      </c>
      <c r="AD217">
        <f>VLOOKUP($A217,地图配置辅助表!$A$3:$AP$245,地图配置辅助表!P$1,FALSE)</f>
        <v>48</v>
      </c>
      <c r="AE217" s="8">
        <f>VLOOKUP($A217,地图配置辅助表!$A$3:$AP$245,地图配置辅助表!Q$1,FALSE)</f>
        <v>3</v>
      </c>
      <c r="AF217" s="8">
        <f>VLOOKUP($A217,地图配置辅助表!$A$3:$AP$245,地图配置辅助表!R$1,FALSE)</f>
        <v>1803</v>
      </c>
      <c r="AG217" s="11">
        <f>VLOOKUP($A217,地图配置辅助表!$A$3:$AP$245,地图配置辅助表!S$1,FALSE)</f>
        <v>501804</v>
      </c>
      <c r="AH217" s="11">
        <f>VLOOKUP($A217,地图配置辅助表!$A$3:$AP$245,地图配置辅助表!T$1,FALSE)</f>
        <v>504102</v>
      </c>
      <c r="AI217" s="9">
        <f>VLOOKUP($A217,地图配置辅助表!$A$3:$AP$245,地图配置辅助表!U$1,FALSE)</f>
        <v>0</v>
      </c>
      <c r="AJ217" s="9">
        <f>VLOOKUP($A217,地图配置辅助表!$A$3:$AP$245,地图配置辅助表!V$1,FALSE)</f>
        <v>0</v>
      </c>
      <c r="AK217" s="9">
        <f>VLOOKUP($A217,地图配置辅助表!$A$3:$AP$245,地图配置辅助表!W$1,FALSE)</f>
        <v>0</v>
      </c>
      <c r="AL217" s="9">
        <f>VLOOKUP($A217,地图配置辅助表!$A$3:$AP$245,地图配置辅助表!X$1,FALSE)</f>
        <v>0</v>
      </c>
      <c r="AM217" s="9">
        <f>VLOOKUP($A217,地图配置辅助表!$A$3:$AP$245,地图配置辅助表!Y$1,FALSE)</f>
        <v>0</v>
      </c>
      <c r="AN217" s="9">
        <f>VLOOKUP($A217,地图配置辅助表!$A$3:$AP$245,地图配置辅助表!Z$1,FALSE)</f>
        <v>0</v>
      </c>
      <c r="AO217" s="9">
        <f>VLOOKUP($A217,地图配置辅助表!$A$3:$AP$245,地图配置辅助表!AA$1,FALSE)</f>
        <v>0</v>
      </c>
      <c r="AP217" s="9">
        <f>VLOOKUP($A217,地图配置辅助表!$A$3:$AP$245,地图配置辅助表!AB$1,FALSE)</f>
        <v>0</v>
      </c>
      <c r="AQ217" s="9">
        <f>VLOOKUP($A217,地图配置辅助表!$A$3:$AP$245,地图配置辅助表!AC$1,FALSE)</f>
        <v>0</v>
      </c>
      <c r="AR217" s="9">
        <f>VLOOKUP($A217,地图配置辅助表!$A$3:$AP$245,地图配置辅助表!AD$1,FALSE)</f>
        <v>0</v>
      </c>
      <c r="AS217" s="9">
        <f>VLOOKUP($A217,地图配置辅助表!$A$3:$AP$245,地图配置辅助表!AE$1,FALSE)</f>
        <v>0</v>
      </c>
      <c r="AT217" s="9">
        <f>VLOOKUP($A217,地图配置辅助表!$A$3:$AP$245,地图配置辅助表!AF$1,FALSE)</f>
        <v>5</v>
      </c>
      <c r="AU217" s="9">
        <f>VLOOKUP($A217,地图配置辅助表!$A$3:$AP$245,地图配置辅助表!AG$1,FALSE)</f>
        <v>217</v>
      </c>
      <c r="AV217" s="9">
        <f>VLOOKUP($A217,地图配置辅助表!$A$3:$AP$245,地图配置辅助表!AH$1,FALSE)</f>
        <v>218</v>
      </c>
      <c r="AW217" s="9">
        <f>VLOOKUP($A217,地图配置辅助表!$A$3:$AP$245,地图配置辅助表!AI$1,FALSE)</f>
        <v>219</v>
      </c>
      <c r="AX217" s="9">
        <f>VLOOKUP($A217,地图配置辅助表!$A$3:$AP$245,地图配置辅助表!AJ$1,FALSE)</f>
        <v>220</v>
      </c>
      <c r="AY217" s="9">
        <f>VLOOKUP($A217,地图配置辅助表!$A$3:$AP$245,地图配置辅助表!AK$1,FALSE)</f>
        <v>221</v>
      </c>
      <c r="AZ217" s="9">
        <f>VLOOKUP($A217,地图配置辅助表!$A$3:$AP$245,地图配置辅助表!AL$1,FALSE)</f>
        <v>0</v>
      </c>
      <c r="BA217" s="9">
        <f>VLOOKUP($A217,地图配置辅助表!$A$3:$AP$245,地图配置辅助表!AM$1,FALSE)</f>
        <v>0</v>
      </c>
      <c r="BB217" s="9">
        <f>VLOOKUP($A217,地图配置辅助表!$A$3:$AP$245,地图配置辅助表!AN$1,FALSE)</f>
        <v>0</v>
      </c>
      <c r="BC217" s="9">
        <f>VLOOKUP($A217,地图配置辅助表!$A$3:$AP$245,地图配置辅助表!AO$1,FALSE)</f>
        <v>0</v>
      </c>
      <c r="BD217" s="9">
        <f>VLOOKUP($A217,地图配置辅助表!$A$3:$AP$245,地图配置辅助表!AP$1,FALSE)</f>
        <v>0</v>
      </c>
    </row>
    <row r="218" spans="1:56" s="9" customFormat="1" x14ac:dyDescent="0.15">
      <c r="A218">
        <f>地图配置辅助表!A219</f>
        <v>1805</v>
      </c>
      <c r="B218" s="8">
        <f>地图配置辅助表!B219</f>
        <v>3</v>
      </c>
      <c r="C218" s="9">
        <f>地图配置辅助表!C219</f>
        <v>5</v>
      </c>
      <c r="D218" s="9" t="s">
        <v>450</v>
      </c>
      <c r="E218" s="9" t="s">
        <v>409</v>
      </c>
      <c r="F218" s="9" t="s">
        <v>538</v>
      </c>
      <c r="G218" s="9">
        <v>29</v>
      </c>
      <c r="H218" s="9">
        <v>500</v>
      </c>
      <c r="I218" s="9">
        <v>130</v>
      </c>
      <c r="J218" s="9">
        <v>400</v>
      </c>
      <c r="K218" s="9">
        <v>130</v>
      </c>
      <c r="L218" s="9" t="s">
        <v>485</v>
      </c>
      <c r="M218" s="9">
        <v>120</v>
      </c>
      <c r="R218" s="9" t="s">
        <v>492</v>
      </c>
      <c r="S218" s="11">
        <f>VLOOKUP($A218,地图配置辅助表!$A$3:$AP$245,地图配置辅助表!E$1,FALSE)</f>
        <v>12</v>
      </c>
      <c r="T218" s="9">
        <f>VLOOKUP($A218,地图配置辅助表!$A$3:$AP$245,地图配置辅助表!F$1,FALSE)</f>
        <v>61788</v>
      </c>
      <c r="U218" s="9">
        <f>VLOOKUP($A218,地图配置辅助表!$A$3:$AP$245,地图配置辅助表!G$1,FALSE)</f>
        <v>1</v>
      </c>
      <c r="V218" s="9">
        <f>VLOOKUP($A218,地图配置辅助表!$A$3:$AP$245,地图配置辅助表!H$1,FALSE)</f>
        <v>1</v>
      </c>
      <c r="W218" s="9">
        <f>VLOOKUP($A218,地图配置辅助表!$A$3:$AP$245,地图配置辅助表!I$1,FALSE)</f>
        <v>2</v>
      </c>
      <c r="X218" s="9">
        <f>VLOOKUP($A218,地图配置辅助表!$A$3:$AP$245,地图配置辅助表!J$1,FALSE)</f>
        <v>300</v>
      </c>
      <c r="Y218" s="9">
        <f>VLOOKUP($A218,地图配置辅助表!$A$3:$AP$245,地图配置辅助表!K$1,FALSE)</f>
        <v>0</v>
      </c>
      <c r="Z218" s="9">
        <f>VLOOKUP($A218,地图配置辅助表!$A$3:$AP$245,地图配置辅助表!L$1,FALSE)</f>
        <v>0</v>
      </c>
      <c r="AA218" s="9">
        <f>VLOOKUP($A218,地图配置辅助表!$A$3:$AP$245,地图配置辅助表!M$1,FALSE)</f>
        <v>2</v>
      </c>
      <c r="AB218">
        <f>VLOOKUP($A218,地图配置辅助表!$A$3:$AP$245,地图配置辅助表!N$1,FALSE)</f>
        <v>1</v>
      </c>
      <c r="AC218" s="9">
        <f>VLOOKUP($A218,地图配置辅助表!$A$3:$AP$245,地图配置辅助表!O$1,FALSE)</f>
        <v>1</v>
      </c>
      <c r="AD218">
        <f>VLOOKUP($A218,地图配置辅助表!$A$3:$AP$245,地图配置辅助表!P$1,FALSE)</f>
        <v>58</v>
      </c>
      <c r="AE218" s="8">
        <f>VLOOKUP($A218,地图配置辅助表!$A$3:$AP$245,地图配置辅助表!Q$1,FALSE)</f>
        <v>3</v>
      </c>
      <c r="AF218" s="8">
        <f>VLOOKUP($A218,地图配置辅助表!$A$3:$AP$245,地图配置辅助表!R$1,FALSE)</f>
        <v>1804</v>
      </c>
      <c r="AG218" s="11">
        <f>VLOOKUP($A218,地图配置辅助表!$A$3:$AP$245,地图配置辅助表!S$1,FALSE)</f>
        <v>501805</v>
      </c>
      <c r="AH218" s="11">
        <f>VLOOKUP($A218,地图配置辅助表!$A$3:$AP$245,地图配置辅助表!T$1,FALSE)</f>
        <v>505102</v>
      </c>
      <c r="AI218" s="9">
        <f>VLOOKUP($A218,地图配置辅助表!$A$3:$AP$245,地图配置辅助表!U$1,FALSE)</f>
        <v>0</v>
      </c>
      <c r="AJ218" s="9">
        <f>VLOOKUP($A218,地图配置辅助表!$A$3:$AP$245,地图配置辅助表!V$1,FALSE)</f>
        <v>0</v>
      </c>
      <c r="AK218" s="9">
        <f>VLOOKUP($A218,地图配置辅助表!$A$3:$AP$245,地图配置辅助表!W$1,FALSE)</f>
        <v>0</v>
      </c>
      <c r="AL218" s="9">
        <f>VLOOKUP($A218,地图配置辅助表!$A$3:$AP$245,地图配置辅助表!X$1,FALSE)</f>
        <v>0</v>
      </c>
      <c r="AM218" s="9">
        <f>VLOOKUP($A218,地图配置辅助表!$A$3:$AP$245,地图配置辅助表!Y$1,FALSE)</f>
        <v>0</v>
      </c>
      <c r="AN218" s="9">
        <f>VLOOKUP($A218,地图配置辅助表!$A$3:$AP$245,地图配置辅助表!Z$1,FALSE)</f>
        <v>0</v>
      </c>
      <c r="AO218" s="9">
        <f>VLOOKUP($A218,地图配置辅助表!$A$3:$AP$245,地图配置辅助表!AA$1,FALSE)</f>
        <v>0</v>
      </c>
      <c r="AP218" s="9">
        <f>VLOOKUP($A218,地图配置辅助表!$A$3:$AP$245,地图配置辅助表!AB$1,FALSE)</f>
        <v>0</v>
      </c>
      <c r="AQ218" s="9">
        <f>VLOOKUP($A218,地图配置辅助表!$A$3:$AP$245,地图配置辅助表!AC$1,FALSE)</f>
        <v>0</v>
      </c>
      <c r="AR218" s="9">
        <f>VLOOKUP($A218,地图配置辅助表!$A$3:$AP$245,地图配置辅助表!AD$1,FALSE)</f>
        <v>0</v>
      </c>
      <c r="AS218" s="9">
        <f>VLOOKUP($A218,地图配置辅助表!$A$3:$AP$245,地图配置辅助表!AE$1,FALSE)</f>
        <v>0</v>
      </c>
      <c r="AT218" s="9">
        <f>VLOOKUP($A218,地图配置辅助表!$A$3:$AP$245,地图配置辅助表!AF$1,FALSE)</f>
        <v>5</v>
      </c>
      <c r="AU218" s="9">
        <f>VLOOKUP($A218,地图配置辅助表!$A$3:$AP$245,地图配置辅助表!AG$1,FALSE)</f>
        <v>217</v>
      </c>
      <c r="AV218" s="9">
        <f>VLOOKUP($A218,地图配置辅助表!$A$3:$AP$245,地图配置辅助表!AH$1,FALSE)</f>
        <v>218</v>
      </c>
      <c r="AW218" s="9">
        <f>VLOOKUP($A218,地图配置辅助表!$A$3:$AP$245,地图配置辅助表!AI$1,FALSE)</f>
        <v>219</v>
      </c>
      <c r="AX218" s="9">
        <f>VLOOKUP($A218,地图配置辅助表!$A$3:$AP$245,地图配置辅助表!AJ$1,FALSE)</f>
        <v>220</v>
      </c>
      <c r="AY218" s="9">
        <f>VLOOKUP($A218,地图配置辅助表!$A$3:$AP$245,地图配置辅助表!AK$1,FALSE)</f>
        <v>221</v>
      </c>
      <c r="AZ218" s="9">
        <f>VLOOKUP($A218,地图配置辅助表!$A$3:$AP$245,地图配置辅助表!AL$1,FALSE)</f>
        <v>0</v>
      </c>
      <c r="BA218" s="9">
        <f>VLOOKUP($A218,地图配置辅助表!$A$3:$AP$245,地图配置辅助表!AM$1,FALSE)</f>
        <v>0</v>
      </c>
      <c r="BB218" s="9">
        <f>VLOOKUP($A218,地图配置辅助表!$A$3:$AP$245,地图配置辅助表!AN$1,FALSE)</f>
        <v>0</v>
      </c>
      <c r="BC218" s="9">
        <f>VLOOKUP($A218,地图配置辅助表!$A$3:$AP$245,地图配置辅助表!AO$1,FALSE)</f>
        <v>0</v>
      </c>
      <c r="BD218" s="9">
        <f>VLOOKUP($A218,地图配置辅助表!$A$3:$AP$245,地图配置辅助表!AP$1,FALSE)</f>
        <v>0</v>
      </c>
    </row>
    <row r="219" spans="1:56" s="9" customFormat="1" x14ac:dyDescent="0.15">
      <c r="A219">
        <f>地图配置辅助表!A220</f>
        <v>1806</v>
      </c>
      <c r="B219" s="8">
        <f>地图配置辅助表!B220</f>
        <v>3</v>
      </c>
      <c r="C219" s="9">
        <f>地图配置辅助表!C220</f>
        <v>6</v>
      </c>
      <c r="D219" s="9" t="s">
        <v>451</v>
      </c>
      <c r="E219" s="9" t="s">
        <v>409</v>
      </c>
      <c r="F219" s="9" t="s">
        <v>538</v>
      </c>
      <c r="G219" s="9">
        <v>29</v>
      </c>
      <c r="H219" s="9">
        <v>500</v>
      </c>
      <c r="I219" s="9">
        <v>130</v>
      </c>
      <c r="J219" s="9">
        <v>400</v>
      </c>
      <c r="K219" s="9">
        <v>130</v>
      </c>
      <c r="L219" s="9" t="s">
        <v>486</v>
      </c>
      <c r="M219" s="9">
        <v>120</v>
      </c>
      <c r="R219" s="9" t="s">
        <v>493</v>
      </c>
      <c r="S219" s="11">
        <f>VLOOKUP($A219,地图配置辅助表!$A$3:$AP$245,地图配置辅助表!E$1,FALSE)</f>
        <v>12</v>
      </c>
      <c r="T219" s="9">
        <f>VLOOKUP($A219,地图配置辅助表!$A$3:$AP$245,地图配置辅助表!F$1,FALSE)</f>
        <v>119740</v>
      </c>
      <c r="U219" s="9">
        <f>VLOOKUP($A219,地图配置辅助表!$A$3:$AP$245,地图配置辅助表!G$1,FALSE)</f>
        <v>1</v>
      </c>
      <c r="V219" s="9">
        <f>VLOOKUP($A219,地图配置辅助表!$A$3:$AP$245,地图配置辅助表!H$1,FALSE)</f>
        <v>1</v>
      </c>
      <c r="W219" s="9">
        <f>VLOOKUP($A219,地图配置辅助表!$A$3:$AP$245,地图配置辅助表!I$1,FALSE)</f>
        <v>2</v>
      </c>
      <c r="X219" s="9">
        <f>VLOOKUP($A219,地图配置辅助表!$A$3:$AP$245,地图配置辅助表!J$1,FALSE)</f>
        <v>300</v>
      </c>
      <c r="Y219" s="9">
        <f>VLOOKUP($A219,地图配置辅助表!$A$3:$AP$245,地图配置辅助表!K$1,FALSE)</f>
        <v>0</v>
      </c>
      <c r="Z219" s="9">
        <f>VLOOKUP($A219,地图配置辅助表!$A$3:$AP$245,地图配置辅助表!L$1,FALSE)</f>
        <v>0</v>
      </c>
      <c r="AA219" s="9">
        <f>VLOOKUP($A219,地图配置辅助表!$A$3:$AP$245,地图配置辅助表!M$1,FALSE)</f>
        <v>2</v>
      </c>
      <c r="AB219">
        <f>VLOOKUP($A219,地图配置辅助表!$A$3:$AP$245,地图配置辅助表!N$1,FALSE)</f>
        <v>1</v>
      </c>
      <c r="AC219" s="9">
        <f>VLOOKUP($A219,地图配置辅助表!$A$3:$AP$245,地图配置辅助表!O$1,FALSE)</f>
        <v>1</v>
      </c>
      <c r="AD219">
        <f>VLOOKUP($A219,地图配置辅助表!$A$3:$AP$245,地图配置辅助表!P$1,FALSE)</f>
        <v>68</v>
      </c>
      <c r="AE219" s="8">
        <f>VLOOKUP($A219,地图配置辅助表!$A$3:$AP$245,地图配置辅助表!Q$1,FALSE)</f>
        <v>3</v>
      </c>
      <c r="AF219" s="8">
        <f>VLOOKUP($A219,地图配置辅助表!$A$3:$AP$245,地图配置辅助表!R$1,FALSE)</f>
        <v>1805</v>
      </c>
      <c r="AG219" s="11">
        <f>VLOOKUP($A219,地图配置辅助表!$A$3:$AP$245,地图配置辅助表!S$1,FALSE)</f>
        <v>501806</v>
      </c>
      <c r="AH219" s="11">
        <f>VLOOKUP($A219,地图配置辅助表!$A$3:$AP$245,地图配置辅助表!T$1,FALSE)</f>
        <v>506102</v>
      </c>
      <c r="AI219" s="9">
        <f>VLOOKUP($A219,地图配置辅助表!$A$3:$AP$245,地图配置辅助表!U$1,FALSE)</f>
        <v>0</v>
      </c>
      <c r="AJ219" s="9">
        <f>VLOOKUP($A219,地图配置辅助表!$A$3:$AP$245,地图配置辅助表!V$1,FALSE)</f>
        <v>0</v>
      </c>
      <c r="AK219" s="9">
        <f>VLOOKUP($A219,地图配置辅助表!$A$3:$AP$245,地图配置辅助表!W$1,FALSE)</f>
        <v>0</v>
      </c>
      <c r="AL219" s="9">
        <f>VLOOKUP($A219,地图配置辅助表!$A$3:$AP$245,地图配置辅助表!X$1,FALSE)</f>
        <v>0</v>
      </c>
      <c r="AM219" s="9">
        <f>VLOOKUP($A219,地图配置辅助表!$A$3:$AP$245,地图配置辅助表!Y$1,FALSE)</f>
        <v>0</v>
      </c>
      <c r="AN219" s="9">
        <f>VLOOKUP($A219,地图配置辅助表!$A$3:$AP$245,地图配置辅助表!Z$1,FALSE)</f>
        <v>0</v>
      </c>
      <c r="AO219" s="9">
        <f>VLOOKUP($A219,地图配置辅助表!$A$3:$AP$245,地图配置辅助表!AA$1,FALSE)</f>
        <v>0</v>
      </c>
      <c r="AP219" s="9">
        <f>VLOOKUP($A219,地图配置辅助表!$A$3:$AP$245,地图配置辅助表!AB$1,FALSE)</f>
        <v>0</v>
      </c>
      <c r="AQ219" s="9">
        <f>VLOOKUP($A219,地图配置辅助表!$A$3:$AP$245,地图配置辅助表!AC$1,FALSE)</f>
        <v>0</v>
      </c>
      <c r="AR219" s="9">
        <f>VLOOKUP($A219,地图配置辅助表!$A$3:$AP$245,地图配置辅助表!AD$1,FALSE)</f>
        <v>0</v>
      </c>
      <c r="AS219" s="9">
        <f>VLOOKUP($A219,地图配置辅助表!$A$3:$AP$245,地图配置辅助表!AE$1,FALSE)</f>
        <v>0</v>
      </c>
      <c r="AT219" s="9">
        <f>VLOOKUP($A219,地图配置辅助表!$A$3:$AP$245,地图配置辅助表!AF$1,FALSE)</f>
        <v>5</v>
      </c>
      <c r="AU219" s="9">
        <f>VLOOKUP($A219,地图配置辅助表!$A$3:$AP$245,地图配置辅助表!AG$1,FALSE)</f>
        <v>217</v>
      </c>
      <c r="AV219" s="9">
        <f>VLOOKUP($A219,地图配置辅助表!$A$3:$AP$245,地图配置辅助表!AH$1,FALSE)</f>
        <v>218</v>
      </c>
      <c r="AW219" s="9">
        <f>VLOOKUP($A219,地图配置辅助表!$A$3:$AP$245,地图配置辅助表!AI$1,FALSE)</f>
        <v>219</v>
      </c>
      <c r="AX219" s="9">
        <f>VLOOKUP($A219,地图配置辅助表!$A$3:$AP$245,地图配置辅助表!AJ$1,FALSE)</f>
        <v>220</v>
      </c>
      <c r="AY219" s="9">
        <f>VLOOKUP($A219,地图配置辅助表!$A$3:$AP$245,地图配置辅助表!AK$1,FALSE)</f>
        <v>221</v>
      </c>
      <c r="AZ219" s="9">
        <f>VLOOKUP($A219,地图配置辅助表!$A$3:$AP$245,地图配置辅助表!AL$1,FALSE)</f>
        <v>0</v>
      </c>
      <c r="BA219" s="9">
        <f>VLOOKUP($A219,地图配置辅助表!$A$3:$AP$245,地图配置辅助表!AM$1,FALSE)</f>
        <v>0</v>
      </c>
      <c r="BB219" s="9">
        <f>VLOOKUP($A219,地图配置辅助表!$A$3:$AP$245,地图配置辅助表!AN$1,FALSE)</f>
        <v>0</v>
      </c>
      <c r="BC219" s="9">
        <f>VLOOKUP($A219,地图配置辅助表!$A$3:$AP$245,地图配置辅助表!AO$1,FALSE)</f>
        <v>0</v>
      </c>
      <c r="BD219" s="9">
        <f>VLOOKUP($A219,地图配置辅助表!$A$3:$AP$245,地图配置辅助表!AP$1,FALSE)</f>
        <v>0</v>
      </c>
    </row>
    <row r="220" spans="1:56" x14ac:dyDescent="0.15">
      <c r="A220">
        <f>地图配置辅助表!A221</f>
        <v>2501</v>
      </c>
      <c r="B220" s="8">
        <f>地图配置辅助表!B221</f>
        <v>3</v>
      </c>
      <c r="C220" s="20">
        <f>地图配置辅助表!C221</f>
        <v>1</v>
      </c>
      <c r="D220" s="9" t="str">
        <f>地图配置辅助表!D221</f>
        <v>追债</v>
      </c>
      <c r="E220" s="20" t="s">
        <v>380</v>
      </c>
      <c r="F220" s="9" t="s">
        <v>381</v>
      </c>
      <c r="G220" s="20">
        <v>29</v>
      </c>
      <c r="H220" s="20">
        <v>786</v>
      </c>
      <c r="I220" s="20">
        <v>130</v>
      </c>
      <c r="J220" s="20">
        <v>1486</v>
      </c>
      <c r="K220" s="20">
        <v>130</v>
      </c>
      <c r="L220" s="9"/>
      <c r="M220" s="9">
        <v>0</v>
      </c>
      <c r="N220" s="9"/>
      <c r="O220" s="9"/>
      <c r="P220" s="9"/>
      <c r="Q220" s="9"/>
      <c r="R220" s="20" t="s">
        <v>382</v>
      </c>
      <c r="S220" s="11">
        <f>VLOOKUP($A220,地图配置辅助表!$A$3:$AP$245,地图配置辅助表!E$1,FALSE)</f>
        <v>0</v>
      </c>
      <c r="T220" s="9">
        <f>VLOOKUP($A220,地图配置辅助表!$A$3:$AP$245,地图配置辅助表!F$1,FALSE)</f>
        <v>0</v>
      </c>
      <c r="U220" s="9">
        <f>VLOOKUP($A220,地图配置辅助表!$A$3:$AP$245,地图配置辅助表!G$1,FALSE)</f>
        <v>1</v>
      </c>
      <c r="V220" s="9">
        <f>VLOOKUP($A220,地图配置辅助表!$A$3:$AP$245,地图配置辅助表!H$1,FALSE)</f>
        <v>1</v>
      </c>
      <c r="W220" s="9">
        <f>VLOOKUP($A220,地图配置辅助表!$A$3:$AP$245,地图配置辅助表!I$1,FALSE)</f>
        <v>0</v>
      </c>
      <c r="X220" s="9">
        <f>VLOOKUP($A220,地图配置辅助表!$A$3:$AP$245,地图配置辅助表!J$1,FALSE)</f>
        <v>0</v>
      </c>
      <c r="Y220" s="9">
        <f>VLOOKUP($A220,地图配置辅助表!$A$3:$AP$245,地图配置辅助表!K$1,FALSE)</f>
        <v>0</v>
      </c>
      <c r="Z220" s="9">
        <f>VLOOKUP($A220,地图配置辅助表!$A$3:$AP$245,地图配置辅助表!L$1,FALSE)</f>
        <v>0</v>
      </c>
      <c r="AA220" s="9">
        <f>VLOOKUP($A220,地图配置辅助表!$A$3:$AP$245,地图配置辅助表!M$1,FALSE)</f>
        <v>0</v>
      </c>
      <c r="AB220">
        <f>VLOOKUP($A220,地图配置辅助表!$A$3:$AP$245,地图配置辅助表!N$1,FALSE)</f>
        <v>1</v>
      </c>
      <c r="AC220" s="9">
        <f>VLOOKUP($A220,地图配置辅助表!$A$3:$AP$245,地图配置辅助表!O$1,FALSE)</f>
        <v>0</v>
      </c>
      <c r="AD220">
        <f>VLOOKUP($A220,地图配置辅助表!$A$3:$AP$245,地图配置辅助表!P$1,FALSE)</f>
        <v>0</v>
      </c>
      <c r="AE220" s="8">
        <f>VLOOKUP($A220,地图配置辅助表!$A$3:$AP$245,地图配置辅助表!Q$1,FALSE)</f>
        <v>0</v>
      </c>
      <c r="AF220" s="8">
        <f>VLOOKUP($A220,地图配置辅助表!$A$3:$AP$245,地图配置辅助表!R$1,FALSE)</f>
        <v>0</v>
      </c>
      <c r="AG220" s="11">
        <f>VLOOKUP($A220,地图配置辅助表!$A$3:$AP$245,地图配置辅助表!S$1,FALSE)</f>
        <v>0</v>
      </c>
      <c r="AH220" s="11">
        <f>VLOOKUP($A220,地图配置辅助表!$A$3:$AP$245,地图配置辅助表!T$1,FALSE)</f>
        <v>0</v>
      </c>
      <c r="AI220" s="9">
        <f>VLOOKUP($A220,地图配置辅助表!$A$3:$AP$245,地图配置辅助表!U$1,FALSE)</f>
        <v>0</v>
      </c>
      <c r="AJ220" s="9">
        <f>VLOOKUP($A220,地图配置辅助表!$A$3:$AP$245,地图配置辅助表!V$1,FALSE)</f>
        <v>0</v>
      </c>
      <c r="AK220" s="9">
        <f>VLOOKUP($A220,地图配置辅助表!$A$3:$AP$245,地图配置辅助表!W$1,FALSE)</f>
        <v>0</v>
      </c>
      <c r="AL220" s="9">
        <f>VLOOKUP($A220,地图配置辅助表!$A$3:$AP$245,地图配置辅助表!X$1,FALSE)</f>
        <v>0</v>
      </c>
      <c r="AM220" s="9">
        <f>VLOOKUP($A220,地图配置辅助表!$A$3:$AP$245,地图配置辅助表!Y$1,FALSE)</f>
        <v>0</v>
      </c>
      <c r="AN220" s="9">
        <f>VLOOKUP($A220,地图配置辅助表!$A$3:$AP$245,地图配置辅助表!Z$1,FALSE)</f>
        <v>0</v>
      </c>
      <c r="AO220" s="9">
        <f>VLOOKUP($A220,地图配置辅助表!$A$3:$AP$245,地图配置辅助表!AA$1,FALSE)</f>
        <v>0</v>
      </c>
      <c r="AP220" s="9">
        <f>VLOOKUP($A220,地图配置辅助表!$A$3:$AP$245,地图配置辅助表!AB$1,FALSE)</f>
        <v>0</v>
      </c>
      <c r="AQ220" s="9">
        <f>VLOOKUP($A220,地图配置辅助表!$A$3:$AP$245,地图配置辅助表!AC$1,FALSE)</f>
        <v>0</v>
      </c>
      <c r="AR220" s="9">
        <f>VLOOKUP($A220,地图配置辅助表!$A$3:$AP$245,地图配置辅助表!AD$1,FALSE)</f>
        <v>0</v>
      </c>
      <c r="AS220" s="9">
        <f>VLOOKUP($A220,地图配置辅助表!$A$3:$AP$245,地图配置辅助表!AE$1,FALSE)</f>
        <v>0</v>
      </c>
      <c r="AT220" s="9">
        <f>VLOOKUP($A220,地图配置辅助表!$A$3:$AP$245,地图配置辅助表!AF$1,FALSE)</f>
        <v>0</v>
      </c>
      <c r="AU220" s="9">
        <f>VLOOKUP($A220,地图配置辅助表!$A$3:$AP$245,地图配置辅助表!AG$1,FALSE)</f>
        <v>0</v>
      </c>
      <c r="AV220" s="9">
        <f>VLOOKUP($A220,地图配置辅助表!$A$3:$AP$245,地图配置辅助表!AH$1,FALSE)</f>
        <v>0</v>
      </c>
      <c r="AW220" s="9">
        <f>VLOOKUP($A220,地图配置辅助表!$A$3:$AP$245,地图配置辅助表!AI$1,FALSE)</f>
        <v>0</v>
      </c>
      <c r="AX220" s="9">
        <f>VLOOKUP($A220,地图配置辅助表!$A$3:$AP$245,地图配置辅助表!AJ$1,FALSE)</f>
        <v>0</v>
      </c>
      <c r="AY220" s="9">
        <f>VLOOKUP($A220,地图配置辅助表!$A$3:$AP$245,地图配置辅助表!AK$1,FALSE)</f>
        <v>0</v>
      </c>
      <c r="AZ220" s="9">
        <f>VLOOKUP($A220,地图配置辅助表!$A$3:$AP$245,地图配置辅助表!AL$1,FALSE)</f>
        <v>0</v>
      </c>
      <c r="BA220" s="9">
        <f>VLOOKUP($A220,地图配置辅助表!$A$3:$AP$245,地图配置辅助表!AM$1,FALSE)</f>
        <v>0</v>
      </c>
      <c r="BB220" s="9">
        <f>VLOOKUP($A220,地图配置辅助表!$A$3:$AP$245,地图配置辅助表!AN$1,FALSE)</f>
        <v>0</v>
      </c>
      <c r="BC220" s="9">
        <f>VLOOKUP($A220,地图配置辅助表!$A$3:$AP$245,地图配置辅助表!AO$1,FALSE)</f>
        <v>0</v>
      </c>
      <c r="BD220" s="9">
        <f>VLOOKUP($A220,地图配置辅助表!$A$3:$AP$245,地图配置辅助表!AP$1,FALSE)</f>
        <v>0</v>
      </c>
    </row>
    <row r="221" spans="1:56" x14ac:dyDescent="0.15">
      <c r="A221">
        <f>地图配置辅助表!A222</f>
        <v>2601</v>
      </c>
      <c r="B221" s="8">
        <f>地图配置辅助表!B222</f>
        <v>7</v>
      </c>
      <c r="C221" s="20">
        <f>地图配置辅助表!C222</f>
        <v>1</v>
      </c>
      <c r="D221" s="9" t="str">
        <f>地图配置辅助表!D222</f>
        <v>练功房</v>
      </c>
      <c r="E221" s="20" t="s">
        <v>453</v>
      </c>
      <c r="F221" s="9" t="s">
        <v>4</v>
      </c>
      <c r="G221" s="20">
        <v>29</v>
      </c>
      <c r="H221" s="20">
        <v>1400</v>
      </c>
      <c r="I221" s="20">
        <v>90</v>
      </c>
      <c r="J221" s="20">
        <v>1400</v>
      </c>
      <c r="K221" s="20">
        <v>90</v>
      </c>
      <c r="L221" s="20" t="s">
        <v>454</v>
      </c>
      <c r="M221" s="20">
        <v>0</v>
      </c>
      <c r="N221" s="9"/>
      <c r="O221" s="9"/>
      <c r="P221" s="9"/>
      <c r="Q221" s="9"/>
      <c r="R221" s="20" t="s">
        <v>455</v>
      </c>
      <c r="S221" s="10">
        <v>0</v>
      </c>
      <c r="T221" s="9">
        <f>VLOOKUP($A221,地图配置辅助表!$A$3:$AP$245,地图配置辅助表!F$1,FALSE)</f>
        <v>0</v>
      </c>
      <c r="U221" s="9">
        <f>VLOOKUP($A221,地图配置辅助表!$A$3:$AP$245,地图配置辅助表!G$1,FALSE)</f>
        <v>1</v>
      </c>
      <c r="V221" s="9">
        <f>VLOOKUP($A221,地图配置辅助表!$A$3:$AP$245,地图配置辅助表!H$1,FALSE)</f>
        <v>1</v>
      </c>
      <c r="W221" s="9">
        <f>VLOOKUP($A221,地图配置辅助表!$A$3:$AP$245,地图配置辅助表!I$1,FALSE)</f>
        <v>0</v>
      </c>
      <c r="X221" s="9">
        <f>VLOOKUP($A221,地图配置辅助表!$A$3:$AP$245,地图配置辅助表!J$1,FALSE)</f>
        <v>0</v>
      </c>
      <c r="Y221" s="9">
        <f>VLOOKUP($A221,地图配置辅助表!$A$3:$AP$245,地图配置辅助表!K$1,FALSE)</f>
        <v>0</v>
      </c>
      <c r="Z221" s="9">
        <f>VLOOKUP($A221,地图配置辅助表!$A$3:$AP$245,地图配置辅助表!L$1,FALSE)</f>
        <v>0</v>
      </c>
      <c r="AA221" s="9">
        <f>VLOOKUP($A221,地图配置辅助表!$A$3:$AP$245,地图配置辅助表!M$1,FALSE)</f>
        <v>0</v>
      </c>
      <c r="AB221">
        <f>VLOOKUP($A221,地图配置辅助表!$A$3:$AP$245,地图配置辅助表!N$1,FALSE)</f>
        <v>1</v>
      </c>
      <c r="AC221" s="9">
        <f>VLOOKUP($A221,地图配置辅助表!$A$3:$AP$245,地图配置辅助表!O$1,FALSE)</f>
        <v>0</v>
      </c>
      <c r="AD221">
        <f>VLOOKUP($A221,地图配置辅助表!$A$3:$AP$245,地图配置辅助表!P$1,FALSE)</f>
        <v>0</v>
      </c>
      <c r="AE221" s="8">
        <f>VLOOKUP($A221,地图配置辅助表!$A$3:$AP$245,地图配置辅助表!Q$1,FALSE)</f>
        <v>0</v>
      </c>
      <c r="AF221" s="8">
        <f>VLOOKUP($A221,地图配置辅助表!$A$3:$AP$245,地图配置辅助表!R$1,FALSE)</f>
        <v>0</v>
      </c>
      <c r="AG221" s="11">
        <f>VLOOKUP($A221,地图配置辅助表!$A$3:$AP$245,地图配置辅助表!S$1,FALSE)</f>
        <v>0</v>
      </c>
      <c r="AH221" s="11">
        <f>VLOOKUP($A221,地图配置辅助表!$A$3:$AP$245,地图配置辅助表!T$1,FALSE)</f>
        <v>0</v>
      </c>
      <c r="AI221" s="9">
        <f>VLOOKUP($A221,地图配置辅助表!$A$3:$AP$245,地图配置辅助表!U$1,FALSE)</f>
        <v>0</v>
      </c>
      <c r="AJ221" s="9">
        <f>VLOOKUP($A221,地图配置辅助表!$A$3:$AP$245,地图配置辅助表!V$1,FALSE)</f>
        <v>0</v>
      </c>
      <c r="AK221" s="9">
        <f>VLOOKUP($A221,地图配置辅助表!$A$3:$AP$245,地图配置辅助表!W$1,FALSE)</f>
        <v>0</v>
      </c>
      <c r="AL221" s="9">
        <f>VLOOKUP($A221,地图配置辅助表!$A$3:$AP$245,地图配置辅助表!X$1,FALSE)</f>
        <v>0</v>
      </c>
      <c r="AM221" s="9">
        <f>VLOOKUP($A221,地图配置辅助表!$A$3:$AP$245,地图配置辅助表!Y$1,FALSE)</f>
        <v>0</v>
      </c>
      <c r="AN221" s="9">
        <f>VLOOKUP($A221,地图配置辅助表!$A$3:$AP$245,地图配置辅助表!Z$1,FALSE)</f>
        <v>0</v>
      </c>
      <c r="AO221" s="9">
        <f>VLOOKUP($A221,地图配置辅助表!$A$3:$AP$245,地图配置辅助表!AA$1,FALSE)</f>
        <v>0</v>
      </c>
      <c r="AP221" s="9">
        <f>VLOOKUP($A221,地图配置辅助表!$A$3:$AP$245,地图配置辅助表!AB$1,FALSE)</f>
        <v>0</v>
      </c>
      <c r="AQ221" s="9">
        <f>VLOOKUP($A221,地图配置辅助表!$A$3:$AP$245,地图配置辅助表!AC$1,FALSE)</f>
        <v>0</v>
      </c>
      <c r="AR221" s="9">
        <f>VLOOKUP($A221,地图配置辅助表!$A$3:$AP$245,地图配置辅助表!AD$1,FALSE)</f>
        <v>0</v>
      </c>
      <c r="AS221" s="9">
        <f>VLOOKUP($A221,地图配置辅助表!$A$3:$AP$245,地图配置辅助表!AE$1,FALSE)</f>
        <v>0</v>
      </c>
      <c r="AT221" s="9">
        <f>VLOOKUP($A221,地图配置辅助表!$A$3:$AP$245,地图配置辅助表!AF$1,FALSE)</f>
        <v>1</v>
      </c>
      <c r="AU221" s="9">
        <f>VLOOKUP($A221,地图配置辅助表!$A$3:$AP$245,地图配置辅助表!AG$1,FALSE)</f>
        <v>140</v>
      </c>
      <c r="AV221" s="9">
        <f>VLOOKUP($A221,地图配置辅助表!$A$3:$AP$245,地图配置辅助表!AH$1,FALSE)</f>
        <v>0</v>
      </c>
      <c r="AW221" s="9">
        <f>VLOOKUP($A221,地图配置辅助表!$A$3:$AP$245,地图配置辅助表!AI$1,FALSE)</f>
        <v>0</v>
      </c>
      <c r="AX221" s="9">
        <f>VLOOKUP($A221,地图配置辅助表!$A$3:$AP$245,地图配置辅助表!AJ$1,FALSE)</f>
        <v>0</v>
      </c>
      <c r="AY221" s="9">
        <f>VLOOKUP($A221,地图配置辅助表!$A$3:$AP$245,地图配置辅助表!AK$1,FALSE)</f>
        <v>0</v>
      </c>
      <c r="AZ221" s="9">
        <f>VLOOKUP($A221,地图配置辅助表!$A$3:$AP$245,地图配置辅助表!AL$1,FALSE)</f>
        <v>0</v>
      </c>
      <c r="BA221" s="9">
        <f>VLOOKUP($A221,地图配置辅助表!$A$3:$AP$245,地图配置辅助表!AM$1,FALSE)</f>
        <v>0</v>
      </c>
      <c r="BB221" s="9">
        <f>VLOOKUP($A221,地图配置辅助表!$A$3:$AP$245,地图配置辅助表!AN$1,FALSE)</f>
        <v>0</v>
      </c>
      <c r="BC221" s="9">
        <f>VLOOKUP($A221,地图配置辅助表!$A$3:$AP$245,地图配置辅助表!AO$1,FALSE)</f>
        <v>0</v>
      </c>
      <c r="BD221" s="9">
        <f>VLOOKUP($A221,地图配置辅助表!$A$3:$AP$245,地图配置辅助表!AP$1,FALSE)</f>
        <v>0</v>
      </c>
    </row>
    <row r="222" spans="1:56" x14ac:dyDescent="0.15">
      <c r="A222">
        <f>地图配置辅助表!A223</f>
        <v>2701</v>
      </c>
      <c r="B222" s="8">
        <f>地图配置辅助表!B223</f>
        <v>8</v>
      </c>
      <c r="C222" s="20">
        <f>地图配置辅助表!C223</f>
        <v>1</v>
      </c>
      <c r="D222" s="9" t="str">
        <f>地图配置辅助表!D223</f>
        <v>组队副本</v>
      </c>
      <c r="E222" s="9" t="s">
        <v>671</v>
      </c>
      <c r="F222" s="9" t="s">
        <v>5</v>
      </c>
      <c r="G222" s="20">
        <v>29</v>
      </c>
      <c r="H222" s="20">
        <v>500</v>
      </c>
      <c r="I222" s="20">
        <v>130</v>
      </c>
      <c r="J222" s="20">
        <v>400</v>
      </c>
      <c r="K222" s="20">
        <v>130</v>
      </c>
      <c r="L222" s="20"/>
      <c r="M222" s="20">
        <v>300</v>
      </c>
      <c r="N222" s="9"/>
      <c r="O222" s="9"/>
      <c r="P222" s="9"/>
      <c r="Q222" s="9"/>
      <c r="R222" s="20" t="s">
        <v>455</v>
      </c>
      <c r="S222" s="10">
        <v>1</v>
      </c>
      <c r="T222" s="9">
        <f>VLOOKUP($A222,地图配置辅助表!$A$3:$AP$245,地图配置辅助表!F$1,FALSE)</f>
        <v>0</v>
      </c>
      <c r="U222" s="9">
        <f>VLOOKUP($A222,地图配置辅助表!$A$3:$AP$245,地图配置辅助表!G$1,FALSE)</f>
        <v>2</v>
      </c>
      <c r="V222" s="9">
        <f>VLOOKUP($A222,地图配置辅助表!$A$3:$AP$245,地图配置辅助表!H$1,FALSE)</f>
        <v>2</v>
      </c>
      <c r="W222" s="9">
        <f>VLOOKUP($A222,地图配置辅助表!$A$3:$AP$245,地图配置辅助表!I$1,FALSE)</f>
        <v>0</v>
      </c>
      <c r="X222" s="9">
        <f>VLOOKUP($A222,地图配置辅助表!$A$3:$AP$245,地图配置辅助表!J$1,FALSE)</f>
        <v>0</v>
      </c>
      <c r="Y222" s="9">
        <f>VLOOKUP($A222,地图配置辅助表!$A$3:$AP$245,地图配置辅助表!K$1,FALSE)</f>
        <v>0</v>
      </c>
      <c r="Z222" s="9">
        <f>VLOOKUP($A222,地图配置辅助表!$A$3:$AP$245,地图配置辅助表!L$1,FALSE)</f>
        <v>0</v>
      </c>
      <c r="AA222" s="9">
        <f>VLOOKUP($A222,地图配置辅助表!$A$3:$AP$245,地图配置辅助表!M$1,FALSE)</f>
        <v>0</v>
      </c>
      <c r="AB222">
        <f>VLOOKUP($A222,地图配置辅助表!$A$3:$AP$245,地图配置辅助表!N$1,FALSE)</f>
        <v>1</v>
      </c>
      <c r="AC222" s="9">
        <f>VLOOKUP($A222,地图配置辅助表!$A$3:$AP$245,地图配置辅助表!O$1,FALSE)</f>
        <v>0</v>
      </c>
      <c r="AD222">
        <f>VLOOKUP($A222,地图配置辅助表!$A$3:$AP$245,地图配置辅助表!P$1,FALSE)</f>
        <v>0</v>
      </c>
      <c r="AE222" s="8">
        <f>VLOOKUP($A222,地图配置辅助表!$A$3:$AP$245,地图配置辅助表!Q$1,FALSE)</f>
        <v>0</v>
      </c>
      <c r="AF222" s="8">
        <f>VLOOKUP($A222,地图配置辅助表!$A$3:$AP$245,地图配置辅助表!R$1,FALSE)</f>
        <v>0</v>
      </c>
      <c r="AG222" s="11">
        <f>VLOOKUP($A222,地图配置辅助表!$A$3:$AP$245,地图配置辅助表!S$1,FALSE)</f>
        <v>0</v>
      </c>
      <c r="AH222" s="11">
        <f>VLOOKUP($A222,地图配置辅助表!$A$3:$AP$245,地图配置辅助表!T$1,FALSE)</f>
        <v>0</v>
      </c>
      <c r="AI222" s="9">
        <f>VLOOKUP($A222,地图配置辅助表!$A$3:$AP$245,地图配置辅助表!U$1,FALSE)</f>
        <v>0</v>
      </c>
      <c r="AJ222" s="9">
        <f>VLOOKUP($A222,地图配置辅助表!$A$3:$AP$245,地图配置辅助表!V$1,FALSE)</f>
        <v>0</v>
      </c>
      <c r="AK222" s="9">
        <f>VLOOKUP($A222,地图配置辅助表!$A$3:$AP$245,地图配置辅助表!W$1,FALSE)</f>
        <v>0</v>
      </c>
      <c r="AL222" s="9">
        <f>VLOOKUP($A222,地图配置辅助表!$A$3:$AP$245,地图配置辅助表!X$1,FALSE)</f>
        <v>0</v>
      </c>
      <c r="AM222" s="9">
        <f>VLOOKUP($A222,地图配置辅助表!$A$3:$AP$245,地图配置辅助表!Y$1,FALSE)</f>
        <v>0</v>
      </c>
      <c r="AN222" s="9">
        <f>VLOOKUP($A222,地图配置辅助表!$A$3:$AP$245,地图配置辅助表!Z$1,FALSE)</f>
        <v>0</v>
      </c>
      <c r="AO222" s="9">
        <f>VLOOKUP($A222,地图配置辅助表!$A$3:$AP$245,地图配置辅助表!AA$1,FALSE)</f>
        <v>0</v>
      </c>
      <c r="AP222" s="9">
        <f>VLOOKUP($A222,地图配置辅助表!$A$3:$AP$245,地图配置辅助表!AB$1,FALSE)</f>
        <v>0</v>
      </c>
      <c r="AQ222" s="9">
        <f>VLOOKUP($A222,地图配置辅助表!$A$3:$AP$245,地图配置辅助表!AC$1,FALSE)</f>
        <v>0</v>
      </c>
      <c r="AR222" s="9">
        <f>VLOOKUP($A222,地图配置辅助表!$A$3:$AP$245,地图配置辅助表!AD$1,FALSE)</f>
        <v>0</v>
      </c>
      <c r="AS222" s="9">
        <f>VLOOKUP($A222,地图配置辅助表!$A$3:$AP$245,地图配置辅助表!AE$1,FALSE)</f>
        <v>0</v>
      </c>
      <c r="AT222" s="9">
        <f>VLOOKUP($A222,地图配置辅助表!$A$3:$AP$245,地图配置辅助表!AF$1,FALSE)</f>
        <v>2</v>
      </c>
      <c r="AU222" s="9">
        <f>VLOOKUP($A222,地图配置辅助表!$A$3:$AP$245,地图配置辅助表!AG$1,FALSE)</f>
        <v>140</v>
      </c>
      <c r="AV222" s="9">
        <f>VLOOKUP($A222,地图配置辅助表!$A$3:$AP$245,地图配置辅助表!AH$1,FALSE)</f>
        <v>140</v>
      </c>
      <c r="AW222" s="9">
        <f>VLOOKUP($A222,地图配置辅助表!$A$3:$AP$245,地图配置辅助表!AI$1,FALSE)</f>
        <v>0</v>
      </c>
      <c r="AX222" s="9">
        <f>VLOOKUP($A222,地图配置辅助表!$A$3:$AP$245,地图配置辅助表!AJ$1,FALSE)</f>
        <v>0</v>
      </c>
      <c r="AY222" s="9">
        <f>VLOOKUP($A222,地图配置辅助表!$A$3:$AP$245,地图配置辅助表!AK$1,FALSE)</f>
        <v>0</v>
      </c>
      <c r="AZ222" s="9">
        <f>VLOOKUP($A222,地图配置辅助表!$A$3:$AP$245,地图配置辅助表!AL$1,FALSE)</f>
        <v>0</v>
      </c>
      <c r="BA222" s="9">
        <f>VLOOKUP($A222,地图配置辅助表!$A$3:$AP$245,地图配置辅助表!AM$1,FALSE)</f>
        <v>0</v>
      </c>
      <c r="BB222" s="9">
        <f>VLOOKUP($A222,地图配置辅助表!$A$3:$AP$245,地图配置辅助表!AN$1,FALSE)</f>
        <v>0</v>
      </c>
      <c r="BC222" s="9">
        <f>VLOOKUP($A222,地图配置辅助表!$A$3:$AP$245,地图配置辅助表!AO$1,FALSE)</f>
        <v>0</v>
      </c>
      <c r="BD222" s="9">
        <f>VLOOKUP($A222,地图配置辅助表!$A$3:$AP$245,地图配置辅助表!AP$1,FALSE)</f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D24" sqref="D24"/>
    </sheetView>
  </sheetViews>
  <sheetFormatPr defaultRowHeight="13.5" x14ac:dyDescent="0.15"/>
  <cols>
    <col min="2" max="2" width="11.5" customWidth="1"/>
  </cols>
  <sheetData>
    <row r="1" spans="1:4" x14ac:dyDescent="0.15">
      <c r="A1" s="2" t="s">
        <v>253</v>
      </c>
      <c r="B1" s="2" t="s">
        <v>254</v>
      </c>
    </row>
    <row r="2" spans="1:4" x14ac:dyDescent="0.15">
      <c r="A2" s="2">
        <v>1</v>
      </c>
      <c r="B2" s="2">
        <v>1</v>
      </c>
      <c r="D2" t="s">
        <v>501</v>
      </c>
    </row>
    <row r="3" spans="1:4" x14ac:dyDescent="0.15">
      <c r="A3" s="2">
        <v>2</v>
      </c>
      <c r="B3" s="2">
        <v>1.5</v>
      </c>
      <c r="D3" t="s">
        <v>502</v>
      </c>
    </row>
    <row r="4" spans="1:4" x14ac:dyDescent="0.15">
      <c r="A4" s="2">
        <v>3</v>
      </c>
      <c r="B4" s="2">
        <v>1</v>
      </c>
      <c r="D4" t="s">
        <v>503</v>
      </c>
    </row>
    <row r="5" spans="1:4" x14ac:dyDescent="0.15">
      <c r="A5" s="2">
        <v>4</v>
      </c>
      <c r="B5" s="2">
        <v>2</v>
      </c>
      <c r="D5" t="s">
        <v>504</v>
      </c>
    </row>
    <row r="6" spans="1:4" x14ac:dyDescent="0.15">
      <c r="A6" s="2">
        <v>5</v>
      </c>
      <c r="B6" s="2">
        <v>2.5</v>
      </c>
    </row>
    <row r="7" spans="1:4" x14ac:dyDescent="0.15">
      <c r="A7" s="2">
        <v>6</v>
      </c>
      <c r="B7" s="2">
        <v>3</v>
      </c>
      <c r="D7" t="s">
        <v>505</v>
      </c>
    </row>
    <row r="8" spans="1:4" x14ac:dyDescent="0.15">
      <c r="A8" s="2">
        <v>7</v>
      </c>
      <c r="B8" s="2">
        <v>10</v>
      </c>
      <c r="D8" t="s">
        <v>506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C17" sqref="C17"/>
    </sheetView>
  </sheetViews>
  <sheetFormatPr defaultRowHeight="13.5" x14ac:dyDescent="0.15"/>
  <cols>
    <col min="4" max="4" width="35.875" bestFit="1" customWidth="1"/>
  </cols>
  <sheetData>
    <row r="1" spans="1:2" x14ac:dyDescent="0.15">
      <c r="A1" t="s">
        <v>255</v>
      </c>
      <c r="B1" t="s">
        <v>256</v>
      </c>
    </row>
    <row r="2" spans="1:2" x14ac:dyDescent="0.15">
      <c r="A2">
        <v>2</v>
      </c>
      <c r="B2">
        <v>2</v>
      </c>
    </row>
    <row r="3" spans="1:2" x14ac:dyDescent="0.15">
      <c r="A3">
        <v>3</v>
      </c>
      <c r="B3">
        <v>3</v>
      </c>
    </row>
    <row r="4" spans="1:2" x14ac:dyDescent="0.15">
      <c r="A4">
        <v>4</v>
      </c>
      <c r="B4">
        <v>4</v>
      </c>
    </row>
    <row r="5" spans="1:2" x14ac:dyDescent="0.15">
      <c r="A5">
        <v>5</v>
      </c>
      <c r="B5">
        <v>5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9"/>
  <sheetViews>
    <sheetView workbookViewId="0">
      <pane xSplit="4" ySplit="1" topLeftCell="E2" activePane="bottomRight" state="frozenSplit"/>
      <selection pane="topRight" activeCell="E1" sqref="E1"/>
      <selection pane="bottomLeft" activeCell="A2" sqref="A2"/>
      <selection pane="bottomRight" activeCell="H50" sqref="H50"/>
    </sheetView>
  </sheetViews>
  <sheetFormatPr defaultRowHeight="13.5" x14ac:dyDescent="0.15"/>
  <cols>
    <col min="8" max="8" width="18.375" bestFit="1" customWidth="1"/>
    <col min="9" max="9" width="8.875" style="15"/>
    <col min="10" max="10" width="14.875" customWidth="1"/>
  </cols>
  <sheetData>
    <row r="1" spans="1:10" x14ac:dyDescent="0.15">
      <c r="A1" t="s">
        <v>257</v>
      </c>
      <c r="B1" t="s">
        <v>28</v>
      </c>
      <c r="C1" t="s">
        <v>258</v>
      </c>
      <c r="D1" t="s">
        <v>259</v>
      </c>
      <c r="E1" t="s">
        <v>270</v>
      </c>
      <c r="F1" t="s">
        <v>271</v>
      </c>
      <c r="G1" t="s">
        <v>260</v>
      </c>
      <c r="H1" t="s">
        <v>272</v>
      </c>
      <c r="I1" s="15" t="s">
        <v>261</v>
      </c>
      <c r="J1" t="s">
        <v>273</v>
      </c>
    </row>
    <row r="2" spans="1:10" x14ac:dyDescent="0.15">
      <c r="A2" s="16">
        <v>1101</v>
      </c>
      <c r="B2" s="16">
        <v>1</v>
      </c>
      <c r="C2" s="16">
        <v>1</v>
      </c>
      <c r="D2" s="16">
        <v>1</v>
      </c>
      <c r="E2" s="16">
        <v>2000</v>
      </c>
      <c r="F2" s="16">
        <v>0</v>
      </c>
      <c r="G2" s="16">
        <v>0</v>
      </c>
      <c r="H2" s="16" t="str">
        <f>IFERROR(VLOOKUP(G2,[1]引用表合并!$A:$B,2,FALSE),"")</f>
        <v/>
      </c>
      <c r="I2" s="17">
        <v>0</v>
      </c>
      <c r="J2" s="16">
        <f>COUNTIF(E2:G2,"&gt;0")</f>
        <v>1</v>
      </c>
    </row>
    <row r="3" spans="1:10" x14ac:dyDescent="0.15">
      <c r="A3" s="16">
        <v>1102</v>
      </c>
      <c r="B3" s="16">
        <v>1</v>
      </c>
      <c r="C3" s="16">
        <v>1</v>
      </c>
      <c r="D3" s="16">
        <v>2</v>
      </c>
      <c r="E3" s="16">
        <v>0</v>
      </c>
      <c r="F3" s="16">
        <v>0</v>
      </c>
      <c r="G3" s="18">
        <v>91100</v>
      </c>
      <c r="H3" s="16" t="str">
        <f>IFERROR(VLOOKUP(G3,[1]引用表合并!$A:$B,2,FALSE),"")</f>
        <v>马仔经验药水</v>
      </c>
      <c r="I3" s="17">
        <v>5</v>
      </c>
      <c r="J3" s="16">
        <f t="shared" ref="J3:J49" si="0">COUNTIF(E3:G3,"&gt;0")</f>
        <v>1</v>
      </c>
    </row>
    <row r="4" spans="1:10" x14ac:dyDescent="0.15">
      <c r="A4" s="16">
        <v>1103</v>
      </c>
      <c r="B4" s="16">
        <v>1</v>
      </c>
      <c r="C4" s="16">
        <v>1</v>
      </c>
      <c r="D4" s="16">
        <v>3</v>
      </c>
      <c r="E4" s="16">
        <v>0</v>
      </c>
      <c r="F4" s="16">
        <v>20</v>
      </c>
      <c r="G4" s="16">
        <v>0</v>
      </c>
      <c r="H4" s="16" t="str">
        <f>IFERROR(VLOOKUP(G4,[1]引用表合并!$A:$B,2,FALSE),"")</f>
        <v/>
      </c>
      <c r="I4" s="17">
        <v>0</v>
      </c>
      <c r="J4" s="16">
        <f t="shared" si="0"/>
        <v>1</v>
      </c>
    </row>
    <row r="5" spans="1:10" x14ac:dyDescent="0.15">
      <c r="A5" s="16">
        <v>1201</v>
      </c>
      <c r="B5" s="16">
        <v>1</v>
      </c>
      <c r="C5" s="16">
        <v>2</v>
      </c>
      <c r="D5" s="16">
        <v>1</v>
      </c>
      <c r="E5" s="16">
        <v>4000</v>
      </c>
      <c r="F5" s="16">
        <v>0</v>
      </c>
      <c r="G5" s="16">
        <v>0</v>
      </c>
      <c r="H5" s="16" t="str">
        <f>IFERROR(VLOOKUP(G5,[1]引用表合并!$A:$B,2,FALSE),"")</f>
        <v/>
      </c>
      <c r="I5" s="17">
        <v>0</v>
      </c>
      <c r="J5" s="16">
        <f t="shared" si="0"/>
        <v>1</v>
      </c>
    </row>
    <row r="6" spans="1:10" x14ac:dyDescent="0.15">
      <c r="A6" s="16">
        <v>1202</v>
      </c>
      <c r="B6" s="16">
        <v>1</v>
      </c>
      <c r="C6" s="16">
        <v>2</v>
      </c>
      <c r="D6" s="16">
        <v>2</v>
      </c>
      <c r="E6" s="16">
        <v>0</v>
      </c>
      <c r="F6" s="16">
        <v>0</v>
      </c>
      <c r="G6" s="18">
        <v>91100</v>
      </c>
      <c r="H6" s="16" t="str">
        <f>IFERROR(VLOOKUP(G6,[1]引用表合并!$A:$B,2,FALSE),"")</f>
        <v>马仔经验药水</v>
      </c>
      <c r="I6" s="17">
        <v>10</v>
      </c>
      <c r="J6" s="16">
        <f t="shared" si="0"/>
        <v>1</v>
      </c>
    </row>
    <row r="7" spans="1:10" x14ac:dyDescent="0.15">
      <c r="A7" s="16">
        <v>1203</v>
      </c>
      <c r="B7" s="16">
        <v>1</v>
      </c>
      <c r="C7" s="16">
        <v>2</v>
      </c>
      <c r="D7" s="16">
        <v>3</v>
      </c>
      <c r="E7" s="16">
        <v>0</v>
      </c>
      <c r="F7" s="16">
        <v>20</v>
      </c>
      <c r="G7" s="16">
        <v>0</v>
      </c>
      <c r="H7" s="16" t="str">
        <f>IFERROR(VLOOKUP(G7,[1]引用表合并!$A:$B,2,FALSE),"")</f>
        <v/>
      </c>
      <c r="I7" s="17">
        <v>0</v>
      </c>
      <c r="J7" s="16">
        <f t="shared" si="0"/>
        <v>1</v>
      </c>
    </row>
    <row r="8" spans="1:10" x14ac:dyDescent="0.15">
      <c r="A8" s="16">
        <v>1301</v>
      </c>
      <c r="B8" s="16">
        <v>1</v>
      </c>
      <c r="C8" s="16">
        <v>3</v>
      </c>
      <c r="D8" s="16">
        <v>1</v>
      </c>
      <c r="E8" s="16">
        <v>6000</v>
      </c>
      <c r="F8" s="16">
        <v>0</v>
      </c>
      <c r="G8" s="16">
        <v>0</v>
      </c>
      <c r="H8" s="16" t="str">
        <f>IFERROR(VLOOKUP(G8,[1]引用表合并!$A:$B,2,FALSE),"")</f>
        <v/>
      </c>
      <c r="I8" s="17">
        <v>0</v>
      </c>
      <c r="J8" s="16">
        <f>COUNTIF(E8:G8,"&gt;0")</f>
        <v>1</v>
      </c>
    </row>
    <row r="9" spans="1:10" x14ac:dyDescent="0.15">
      <c r="A9" s="16">
        <v>1302</v>
      </c>
      <c r="B9" s="16">
        <v>1</v>
      </c>
      <c r="C9" s="16">
        <v>3</v>
      </c>
      <c r="D9" s="16">
        <v>2</v>
      </c>
      <c r="E9" s="16">
        <v>0</v>
      </c>
      <c r="F9" s="16">
        <v>0</v>
      </c>
      <c r="G9" s="18">
        <v>91100</v>
      </c>
      <c r="H9" s="16" t="str">
        <f>IFERROR(VLOOKUP(G9,[1]引用表合并!$A:$B,2,FALSE),"")</f>
        <v>马仔经验药水</v>
      </c>
      <c r="I9" s="17">
        <v>15</v>
      </c>
      <c r="J9" s="16">
        <f t="shared" si="0"/>
        <v>1</v>
      </c>
    </row>
    <row r="10" spans="1:10" x14ac:dyDescent="0.15">
      <c r="A10" s="16">
        <v>1303</v>
      </c>
      <c r="B10" s="16">
        <v>1</v>
      </c>
      <c r="C10" s="16">
        <v>3</v>
      </c>
      <c r="D10" s="16">
        <v>3</v>
      </c>
      <c r="E10" s="16">
        <v>0</v>
      </c>
      <c r="F10" s="16">
        <v>20</v>
      </c>
      <c r="G10" s="16">
        <v>0</v>
      </c>
      <c r="H10" s="16" t="str">
        <f>IFERROR(VLOOKUP(G10,[1]引用表合并!$A:$B,2,FALSE),"")</f>
        <v/>
      </c>
      <c r="I10" s="17">
        <v>0</v>
      </c>
      <c r="J10" s="16">
        <f t="shared" si="0"/>
        <v>1</v>
      </c>
    </row>
    <row r="11" spans="1:10" x14ac:dyDescent="0.15">
      <c r="A11" s="16">
        <v>1401</v>
      </c>
      <c r="B11" s="16">
        <v>1</v>
      </c>
      <c r="C11" s="16">
        <v>4</v>
      </c>
      <c r="D11" s="16">
        <v>1</v>
      </c>
      <c r="E11" s="16">
        <v>8000</v>
      </c>
      <c r="F11" s="16">
        <v>0</v>
      </c>
      <c r="G11" s="16">
        <v>0</v>
      </c>
      <c r="H11" s="16" t="str">
        <f>IFERROR(VLOOKUP(G11,[1]引用表合并!$A:$B,2,FALSE),"")</f>
        <v/>
      </c>
      <c r="I11" s="17">
        <v>0</v>
      </c>
      <c r="J11" s="16">
        <f t="shared" si="0"/>
        <v>1</v>
      </c>
    </row>
    <row r="12" spans="1:10" x14ac:dyDescent="0.15">
      <c r="A12" s="16">
        <v>1402</v>
      </c>
      <c r="B12" s="16">
        <v>1</v>
      </c>
      <c r="C12" s="16">
        <v>4</v>
      </c>
      <c r="D12" s="16">
        <v>2</v>
      </c>
      <c r="E12" s="16">
        <v>0</v>
      </c>
      <c r="F12" s="16">
        <v>0</v>
      </c>
      <c r="G12" s="18">
        <v>91200</v>
      </c>
      <c r="H12" s="16" t="str">
        <f>IFERROR(VLOOKUP(G12,[1]引用表合并!$A:$B,2,FALSE),"")</f>
        <v>马仔经验合剂</v>
      </c>
      <c r="I12" s="17">
        <v>4</v>
      </c>
      <c r="J12" s="16">
        <f t="shared" si="0"/>
        <v>1</v>
      </c>
    </row>
    <row r="13" spans="1:10" x14ac:dyDescent="0.15">
      <c r="A13" s="16">
        <v>1403</v>
      </c>
      <c r="B13" s="16">
        <v>1</v>
      </c>
      <c r="C13" s="16">
        <v>4</v>
      </c>
      <c r="D13" s="16">
        <v>3</v>
      </c>
      <c r="E13" s="16">
        <v>0</v>
      </c>
      <c r="F13" s="16">
        <v>20</v>
      </c>
      <c r="G13" s="16">
        <v>0</v>
      </c>
      <c r="H13" s="16" t="str">
        <f>IFERROR(VLOOKUP(G13,[1]引用表合并!$A:$B,2,FALSE),"")</f>
        <v/>
      </c>
      <c r="I13" s="17">
        <v>0</v>
      </c>
      <c r="J13" s="16">
        <f t="shared" si="0"/>
        <v>1</v>
      </c>
    </row>
    <row r="14" spans="1:10" x14ac:dyDescent="0.15">
      <c r="A14" s="16">
        <v>1501</v>
      </c>
      <c r="B14" s="16">
        <v>1</v>
      </c>
      <c r="C14" s="16">
        <v>5</v>
      </c>
      <c r="D14" s="16">
        <v>1</v>
      </c>
      <c r="E14" s="16">
        <v>10000</v>
      </c>
      <c r="F14" s="16">
        <v>0</v>
      </c>
      <c r="G14" s="16">
        <v>0</v>
      </c>
      <c r="H14" s="16" t="str">
        <f>IFERROR(VLOOKUP(G14,[1]引用表合并!$A:$B,2,FALSE),"")</f>
        <v/>
      </c>
      <c r="I14" s="17">
        <v>0</v>
      </c>
      <c r="J14" s="16">
        <f t="shared" si="0"/>
        <v>1</v>
      </c>
    </row>
    <row r="15" spans="1:10" x14ac:dyDescent="0.15">
      <c r="A15" s="16">
        <v>1502</v>
      </c>
      <c r="B15" s="16">
        <v>1</v>
      </c>
      <c r="C15" s="16">
        <v>5</v>
      </c>
      <c r="D15" s="16">
        <v>2</v>
      </c>
      <c r="E15" s="16">
        <v>0</v>
      </c>
      <c r="F15" s="16">
        <v>0</v>
      </c>
      <c r="G15" s="18">
        <v>91200</v>
      </c>
      <c r="H15" s="16" t="str">
        <f>IFERROR(VLOOKUP(G15,[1]引用表合并!$A:$B,2,FALSE),"")</f>
        <v>马仔经验合剂</v>
      </c>
      <c r="I15" s="17">
        <v>6</v>
      </c>
      <c r="J15" s="16">
        <f t="shared" si="0"/>
        <v>1</v>
      </c>
    </row>
    <row r="16" spans="1:10" x14ac:dyDescent="0.15">
      <c r="A16" s="16">
        <v>1503</v>
      </c>
      <c r="B16" s="16">
        <v>1</v>
      </c>
      <c r="C16" s="16">
        <v>5</v>
      </c>
      <c r="D16" s="16">
        <v>3</v>
      </c>
      <c r="E16" s="16">
        <v>0</v>
      </c>
      <c r="F16" s="16">
        <v>20</v>
      </c>
      <c r="G16" s="16">
        <v>0</v>
      </c>
      <c r="H16" s="16" t="str">
        <f>IFERROR(VLOOKUP(G16,[1]引用表合并!$A:$B,2,FALSE),"")</f>
        <v/>
      </c>
      <c r="I16" s="17">
        <v>0</v>
      </c>
      <c r="J16" s="16">
        <f t="shared" si="0"/>
        <v>1</v>
      </c>
    </row>
    <row r="17" spans="1:10" x14ac:dyDescent="0.15">
      <c r="A17" s="16">
        <v>1601</v>
      </c>
      <c r="B17" s="16">
        <v>1</v>
      </c>
      <c r="C17" s="16">
        <v>6</v>
      </c>
      <c r="D17" s="16">
        <v>1</v>
      </c>
      <c r="E17" s="16">
        <v>12000</v>
      </c>
      <c r="F17" s="16">
        <v>0</v>
      </c>
      <c r="G17" s="16">
        <v>0</v>
      </c>
      <c r="H17" s="16" t="str">
        <f>IFERROR(VLOOKUP(G17,[1]引用表合并!$A:$B,2,FALSE),"")</f>
        <v/>
      </c>
      <c r="I17" s="17">
        <v>0</v>
      </c>
      <c r="J17" s="16">
        <f t="shared" si="0"/>
        <v>1</v>
      </c>
    </row>
    <row r="18" spans="1:10" x14ac:dyDescent="0.15">
      <c r="A18" s="16">
        <v>1602</v>
      </c>
      <c r="B18" s="16">
        <v>1</v>
      </c>
      <c r="C18" s="16">
        <v>6</v>
      </c>
      <c r="D18" s="16">
        <v>2</v>
      </c>
      <c r="E18" s="16">
        <v>0</v>
      </c>
      <c r="F18" s="16">
        <v>0</v>
      </c>
      <c r="G18" s="18">
        <v>91200</v>
      </c>
      <c r="H18" s="16" t="str">
        <f>IFERROR(VLOOKUP(G18,[1]引用表合并!$A:$B,2,FALSE),"")</f>
        <v>马仔经验合剂</v>
      </c>
      <c r="I18" s="17">
        <v>8</v>
      </c>
      <c r="J18" s="16">
        <f t="shared" si="0"/>
        <v>1</v>
      </c>
    </row>
    <row r="19" spans="1:10" x14ac:dyDescent="0.15">
      <c r="A19" s="16">
        <v>1603</v>
      </c>
      <c r="B19" s="16">
        <v>1</v>
      </c>
      <c r="C19" s="16">
        <v>6</v>
      </c>
      <c r="D19" s="16">
        <v>3</v>
      </c>
      <c r="E19" s="16">
        <v>0</v>
      </c>
      <c r="F19" s="16">
        <v>20</v>
      </c>
      <c r="G19" s="16">
        <v>0</v>
      </c>
      <c r="H19" s="16" t="str">
        <f>IFERROR(VLOOKUP(G19,[1]引用表合并!$A:$B,2,FALSE),"")</f>
        <v/>
      </c>
      <c r="I19" s="17">
        <v>0</v>
      </c>
      <c r="J19" s="16">
        <f t="shared" si="0"/>
        <v>1</v>
      </c>
    </row>
    <row r="20" spans="1:10" x14ac:dyDescent="0.15">
      <c r="A20" s="16">
        <v>1701</v>
      </c>
      <c r="B20" s="16">
        <v>1</v>
      </c>
      <c r="C20" s="16">
        <v>7</v>
      </c>
      <c r="D20" s="16">
        <v>1</v>
      </c>
      <c r="E20" s="16">
        <v>14000</v>
      </c>
      <c r="F20" s="16">
        <v>0</v>
      </c>
      <c r="G20" s="16">
        <v>0</v>
      </c>
      <c r="H20" s="16" t="str">
        <f>IFERROR(VLOOKUP(G20,[1]引用表合并!$A:$B,2,FALSE),"")</f>
        <v/>
      </c>
      <c r="I20" s="17">
        <v>0</v>
      </c>
      <c r="J20" s="16">
        <f t="shared" si="0"/>
        <v>1</v>
      </c>
    </row>
    <row r="21" spans="1:10" x14ac:dyDescent="0.15">
      <c r="A21" s="16">
        <v>1702</v>
      </c>
      <c r="B21" s="16">
        <v>1</v>
      </c>
      <c r="C21" s="16">
        <v>7</v>
      </c>
      <c r="D21" s="16">
        <v>2</v>
      </c>
      <c r="E21" s="16">
        <v>0</v>
      </c>
      <c r="F21" s="16">
        <v>0</v>
      </c>
      <c r="G21" s="18">
        <v>91300</v>
      </c>
      <c r="H21" s="16" t="str">
        <f>IFERROR(VLOOKUP(G21,[1]引用表合并!$A:$B,2,FALSE),"")</f>
        <v>马仔经验甘露</v>
      </c>
      <c r="I21" s="17">
        <v>2</v>
      </c>
      <c r="J21" s="16">
        <f t="shared" si="0"/>
        <v>1</v>
      </c>
    </row>
    <row r="22" spans="1:10" x14ac:dyDescent="0.15">
      <c r="A22" s="16">
        <v>1703</v>
      </c>
      <c r="B22" s="16">
        <v>1</v>
      </c>
      <c r="C22" s="16">
        <v>7</v>
      </c>
      <c r="D22" s="16">
        <v>3</v>
      </c>
      <c r="E22" s="16">
        <v>0</v>
      </c>
      <c r="F22" s="16">
        <v>20</v>
      </c>
      <c r="G22" s="16">
        <v>0</v>
      </c>
      <c r="H22" s="16" t="str">
        <f>IFERROR(VLOOKUP(G22,[1]引用表合并!$A:$B,2,FALSE),"")</f>
        <v/>
      </c>
      <c r="I22" s="17">
        <v>0</v>
      </c>
      <c r="J22" s="16">
        <f t="shared" si="0"/>
        <v>1</v>
      </c>
    </row>
    <row r="23" spans="1:10" x14ac:dyDescent="0.15">
      <c r="A23" s="16">
        <v>1801</v>
      </c>
      <c r="B23" s="16">
        <v>1</v>
      </c>
      <c r="C23" s="16">
        <v>8</v>
      </c>
      <c r="D23" s="16">
        <v>1</v>
      </c>
      <c r="E23" s="16">
        <v>16000</v>
      </c>
      <c r="F23" s="16">
        <v>0</v>
      </c>
      <c r="G23" s="16">
        <v>0</v>
      </c>
      <c r="H23" s="16" t="str">
        <f>IFERROR(VLOOKUP(G23,[1]引用表合并!$A:$B,2,FALSE),"")</f>
        <v/>
      </c>
      <c r="I23" s="17">
        <v>0</v>
      </c>
      <c r="J23" s="16">
        <f t="shared" si="0"/>
        <v>1</v>
      </c>
    </row>
    <row r="24" spans="1:10" x14ac:dyDescent="0.15">
      <c r="A24" s="16">
        <v>1802</v>
      </c>
      <c r="B24" s="16">
        <v>1</v>
      </c>
      <c r="C24" s="16">
        <v>8</v>
      </c>
      <c r="D24" s="16">
        <v>2</v>
      </c>
      <c r="E24" s="16">
        <v>0</v>
      </c>
      <c r="F24" s="16">
        <v>0</v>
      </c>
      <c r="G24" s="18">
        <v>91300</v>
      </c>
      <c r="H24" s="16" t="str">
        <f>IFERROR(VLOOKUP(G24,[1]引用表合并!$A:$B,2,FALSE),"")</f>
        <v>马仔经验甘露</v>
      </c>
      <c r="I24" s="17">
        <v>3</v>
      </c>
      <c r="J24" s="16">
        <f t="shared" si="0"/>
        <v>1</v>
      </c>
    </row>
    <row r="25" spans="1:10" x14ac:dyDescent="0.15">
      <c r="A25" s="16">
        <v>1803</v>
      </c>
      <c r="B25" s="16">
        <v>1</v>
      </c>
      <c r="C25" s="16">
        <v>8</v>
      </c>
      <c r="D25" s="16">
        <v>3</v>
      </c>
      <c r="E25" s="16">
        <v>0</v>
      </c>
      <c r="F25" s="16">
        <v>20</v>
      </c>
      <c r="G25" s="16">
        <v>0</v>
      </c>
      <c r="H25" s="16" t="str">
        <f>IFERROR(VLOOKUP(G25,[1]引用表合并!$A:$B,2,FALSE),"")</f>
        <v/>
      </c>
      <c r="I25" s="17">
        <v>0</v>
      </c>
      <c r="J25" s="16">
        <f t="shared" si="0"/>
        <v>1</v>
      </c>
    </row>
    <row r="26" spans="1:10" x14ac:dyDescent="0.15">
      <c r="A26" s="18">
        <v>2101</v>
      </c>
      <c r="B26" s="18">
        <v>2</v>
      </c>
      <c r="C26" s="18">
        <v>1</v>
      </c>
      <c r="D26" s="18">
        <v>1</v>
      </c>
      <c r="E26" s="18">
        <v>4000</v>
      </c>
      <c r="F26" s="18">
        <v>0</v>
      </c>
      <c r="G26" s="18">
        <v>0</v>
      </c>
      <c r="H26" s="18" t="str">
        <f>IFERROR(VLOOKUP(G26,[1]引用表合并!$A:$B,2,FALSE),"")</f>
        <v/>
      </c>
      <c r="I26" s="19">
        <v>0</v>
      </c>
      <c r="J26" s="18">
        <f t="shared" si="0"/>
        <v>1</v>
      </c>
    </row>
    <row r="27" spans="1:10" x14ac:dyDescent="0.15">
      <c r="A27" s="18">
        <v>2102</v>
      </c>
      <c r="B27" s="18">
        <v>2</v>
      </c>
      <c r="C27" s="18">
        <v>1</v>
      </c>
      <c r="D27" s="18">
        <v>2</v>
      </c>
      <c r="E27" s="18">
        <v>0</v>
      </c>
      <c r="F27" s="18">
        <v>0</v>
      </c>
      <c r="G27" s="18">
        <v>83304</v>
      </c>
      <c r="H27" s="18" t="str">
        <f>IFERROR(VLOOKUP(G27,[1]引用表合并!$A:$B,2,FALSE),"")</f>
        <v>寻宝券</v>
      </c>
      <c r="I27" s="19">
        <v>1</v>
      </c>
      <c r="J27" s="18">
        <f t="shared" si="0"/>
        <v>1</v>
      </c>
    </row>
    <row r="28" spans="1:10" x14ac:dyDescent="0.15">
      <c r="A28" s="18">
        <v>2103</v>
      </c>
      <c r="B28" s="18">
        <v>2</v>
      </c>
      <c r="C28" s="18">
        <v>1</v>
      </c>
      <c r="D28" s="18">
        <v>3</v>
      </c>
      <c r="E28" s="18">
        <f t="shared" ref="E28:E49" si="1">E4*2</f>
        <v>0</v>
      </c>
      <c r="F28" s="18">
        <v>0</v>
      </c>
      <c r="G28" s="18">
        <v>78107</v>
      </c>
      <c r="H28" s="18" t="str">
        <f>IFERROR(VLOOKUP(G28,[1]引用表合并!$A:$B,2,FALSE),"")</f>
        <v>马仔碎片(雷复轰)</v>
      </c>
      <c r="I28" s="19">
        <v>5</v>
      </c>
      <c r="J28" s="18">
        <f t="shared" si="0"/>
        <v>1</v>
      </c>
    </row>
    <row r="29" spans="1:10" x14ac:dyDescent="0.15">
      <c r="A29" s="18">
        <v>2201</v>
      </c>
      <c r="B29" s="18">
        <v>2</v>
      </c>
      <c r="C29" s="18">
        <v>2</v>
      </c>
      <c r="D29" s="18">
        <v>1</v>
      </c>
      <c r="E29" s="18">
        <f t="shared" si="1"/>
        <v>8000</v>
      </c>
      <c r="F29" s="18">
        <v>0</v>
      </c>
      <c r="G29" s="18">
        <v>0</v>
      </c>
      <c r="H29" s="18" t="str">
        <f>IFERROR(VLOOKUP(G29,[1]引用表合并!$A:$B,2,FALSE),"")</f>
        <v/>
      </c>
      <c r="I29" s="19">
        <v>0</v>
      </c>
      <c r="J29" s="18">
        <f t="shared" si="0"/>
        <v>1</v>
      </c>
    </row>
    <row r="30" spans="1:10" x14ac:dyDescent="0.15">
      <c r="A30" s="18">
        <v>2202</v>
      </c>
      <c r="B30" s="18">
        <v>2</v>
      </c>
      <c r="C30" s="18">
        <v>2</v>
      </c>
      <c r="D30" s="18">
        <v>2</v>
      </c>
      <c r="E30" s="18">
        <f t="shared" si="1"/>
        <v>0</v>
      </c>
      <c r="F30" s="18">
        <v>0</v>
      </c>
      <c r="G30" s="18">
        <v>83304</v>
      </c>
      <c r="H30" s="18" t="str">
        <f>IFERROR(VLOOKUP(G30,[1]引用表合并!$A:$B,2,FALSE),"")</f>
        <v>寻宝券</v>
      </c>
      <c r="I30" s="19">
        <v>2</v>
      </c>
      <c r="J30" s="18">
        <f t="shared" si="0"/>
        <v>1</v>
      </c>
    </row>
    <row r="31" spans="1:10" x14ac:dyDescent="0.15">
      <c r="A31" s="18">
        <v>2203</v>
      </c>
      <c r="B31" s="18">
        <v>2</v>
      </c>
      <c r="C31" s="18">
        <v>2</v>
      </c>
      <c r="D31" s="18">
        <v>3</v>
      </c>
      <c r="E31" s="18">
        <f t="shared" si="1"/>
        <v>0</v>
      </c>
      <c r="F31" s="18">
        <v>0</v>
      </c>
      <c r="G31" s="18">
        <v>78107</v>
      </c>
      <c r="H31" s="18" t="str">
        <f>IFERROR(VLOOKUP(G31,[1]引用表合并!$A:$B,2,FALSE),"")</f>
        <v>马仔碎片(雷复轰)</v>
      </c>
      <c r="I31" s="19">
        <v>5</v>
      </c>
      <c r="J31" s="18">
        <f t="shared" si="0"/>
        <v>1</v>
      </c>
    </row>
    <row r="32" spans="1:10" x14ac:dyDescent="0.15">
      <c r="A32" s="18">
        <v>2301</v>
      </c>
      <c r="B32" s="18">
        <v>2</v>
      </c>
      <c r="C32" s="18">
        <v>3</v>
      </c>
      <c r="D32" s="18">
        <v>1</v>
      </c>
      <c r="E32" s="18">
        <f t="shared" si="1"/>
        <v>12000</v>
      </c>
      <c r="F32" s="18">
        <v>0</v>
      </c>
      <c r="G32" s="18">
        <v>0</v>
      </c>
      <c r="H32" s="18" t="str">
        <f>IFERROR(VLOOKUP(G32,[1]引用表合并!$A:$B,2,FALSE),"")</f>
        <v/>
      </c>
      <c r="I32" s="19">
        <v>0</v>
      </c>
      <c r="J32" s="18">
        <f t="shared" si="0"/>
        <v>1</v>
      </c>
    </row>
    <row r="33" spans="1:10" x14ac:dyDescent="0.15">
      <c r="A33" s="18">
        <v>2302</v>
      </c>
      <c r="B33" s="18">
        <v>2</v>
      </c>
      <c r="C33" s="18">
        <v>3</v>
      </c>
      <c r="D33" s="18">
        <v>2</v>
      </c>
      <c r="E33" s="18">
        <f t="shared" si="1"/>
        <v>0</v>
      </c>
      <c r="F33" s="18">
        <v>0</v>
      </c>
      <c r="G33" s="18">
        <v>83304</v>
      </c>
      <c r="H33" s="18" t="str">
        <f>IFERROR(VLOOKUP(G33,[1]引用表合并!$A:$B,2,FALSE),"")</f>
        <v>寻宝券</v>
      </c>
      <c r="I33" s="19">
        <v>3</v>
      </c>
      <c r="J33" s="18">
        <f t="shared" si="0"/>
        <v>1</v>
      </c>
    </row>
    <row r="34" spans="1:10" x14ac:dyDescent="0.15">
      <c r="A34" s="18">
        <v>2303</v>
      </c>
      <c r="B34" s="18">
        <v>2</v>
      </c>
      <c r="C34" s="18">
        <v>3</v>
      </c>
      <c r="D34" s="18">
        <v>3</v>
      </c>
      <c r="E34" s="18">
        <f t="shared" si="1"/>
        <v>0</v>
      </c>
      <c r="F34" s="18">
        <v>0</v>
      </c>
      <c r="G34" s="18">
        <v>78107</v>
      </c>
      <c r="H34" s="18" t="str">
        <f>IFERROR(VLOOKUP(G34,[1]引用表合并!$A:$B,2,FALSE),"")</f>
        <v>马仔碎片(雷复轰)</v>
      </c>
      <c r="I34" s="19">
        <v>10</v>
      </c>
      <c r="J34" s="18">
        <f t="shared" si="0"/>
        <v>1</v>
      </c>
    </row>
    <row r="35" spans="1:10" x14ac:dyDescent="0.15">
      <c r="A35" s="18">
        <v>2401</v>
      </c>
      <c r="B35" s="18">
        <v>2</v>
      </c>
      <c r="C35" s="18">
        <v>4</v>
      </c>
      <c r="D35" s="18">
        <v>1</v>
      </c>
      <c r="E35" s="18">
        <f t="shared" si="1"/>
        <v>16000</v>
      </c>
      <c r="F35" s="18">
        <v>0</v>
      </c>
      <c r="G35" s="18">
        <v>0</v>
      </c>
      <c r="H35" s="18" t="str">
        <f>IFERROR(VLOOKUP(G35,[1]引用表合并!$A:$B,2,FALSE),"")</f>
        <v/>
      </c>
      <c r="I35" s="19">
        <v>0</v>
      </c>
      <c r="J35" s="18">
        <f t="shared" si="0"/>
        <v>1</v>
      </c>
    </row>
    <row r="36" spans="1:10" x14ac:dyDescent="0.15">
      <c r="A36" s="18">
        <v>2402</v>
      </c>
      <c r="B36" s="18">
        <v>2</v>
      </c>
      <c r="C36" s="18">
        <v>4</v>
      </c>
      <c r="D36" s="18">
        <v>2</v>
      </c>
      <c r="E36" s="18">
        <f t="shared" si="1"/>
        <v>0</v>
      </c>
      <c r="F36" s="18">
        <v>0</v>
      </c>
      <c r="G36" s="18">
        <v>83304</v>
      </c>
      <c r="H36" s="18" t="str">
        <f>IFERROR(VLOOKUP(G36,[1]引用表合并!$A:$B,2,FALSE),"")</f>
        <v>寻宝券</v>
      </c>
      <c r="I36" s="19">
        <v>4</v>
      </c>
      <c r="J36" s="18">
        <f t="shared" si="0"/>
        <v>1</v>
      </c>
    </row>
    <row r="37" spans="1:10" x14ac:dyDescent="0.15">
      <c r="A37" s="18">
        <v>2403</v>
      </c>
      <c r="B37" s="18">
        <v>2</v>
      </c>
      <c r="C37" s="18">
        <v>4</v>
      </c>
      <c r="D37" s="18">
        <v>3</v>
      </c>
      <c r="E37" s="18">
        <f t="shared" si="1"/>
        <v>0</v>
      </c>
      <c r="F37" s="18">
        <v>0</v>
      </c>
      <c r="G37" s="18">
        <v>78107</v>
      </c>
      <c r="H37" s="18" t="str">
        <f>IFERROR(VLOOKUP(G37,[1]引用表合并!$A:$B,2,FALSE),"")</f>
        <v>马仔碎片(雷复轰)</v>
      </c>
      <c r="I37" s="19">
        <v>10</v>
      </c>
      <c r="J37" s="18">
        <f t="shared" si="0"/>
        <v>1</v>
      </c>
    </row>
    <row r="38" spans="1:10" x14ac:dyDescent="0.15">
      <c r="A38" s="18">
        <v>2501</v>
      </c>
      <c r="B38" s="18">
        <v>2</v>
      </c>
      <c r="C38" s="18">
        <v>5</v>
      </c>
      <c r="D38" s="18">
        <v>1</v>
      </c>
      <c r="E38" s="18">
        <f t="shared" si="1"/>
        <v>20000</v>
      </c>
      <c r="F38" s="18">
        <v>0</v>
      </c>
      <c r="G38" s="18">
        <v>0</v>
      </c>
      <c r="H38" s="18" t="str">
        <f>IFERROR(VLOOKUP(G38,[1]引用表合并!$A:$B,2,FALSE),"")</f>
        <v/>
      </c>
      <c r="I38" s="19">
        <v>0</v>
      </c>
      <c r="J38" s="18">
        <f t="shared" si="0"/>
        <v>1</v>
      </c>
    </row>
    <row r="39" spans="1:10" x14ac:dyDescent="0.15">
      <c r="A39" s="18">
        <v>2502</v>
      </c>
      <c r="B39" s="18">
        <v>2</v>
      </c>
      <c r="C39" s="18">
        <v>5</v>
      </c>
      <c r="D39" s="18">
        <v>2</v>
      </c>
      <c r="E39" s="18">
        <f t="shared" si="1"/>
        <v>0</v>
      </c>
      <c r="F39" s="18">
        <v>0</v>
      </c>
      <c r="G39" s="18">
        <v>83304</v>
      </c>
      <c r="H39" s="18" t="str">
        <f>IFERROR(VLOOKUP(G39,[1]引用表合并!$A:$B,2,FALSE),"")</f>
        <v>寻宝券</v>
      </c>
      <c r="I39" s="19">
        <v>5</v>
      </c>
      <c r="J39" s="18">
        <f t="shared" si="0"/>
        <v>1</v>
      </c>
    </row>
    <row r="40" spans="1:10" x14ac:dyDescent="0.15">
      <c r="A40" s="18">
        <v>2503</v>
      </c>
      <c r="B40" s="18">
        <v>2</v>
      </c>
      <c r="C40" s="18">
        <v>5</v>
      </c>
      <c r="D40" s="18">
        <v>3</v>
      </c>
      <c r="E40" s="18">
        <f t="shared" si="1"/>
        <v>0</v>
      </c>
      <c r="F40" s="18">
        <v>0</v>
      </c>
      <c r="G40" s="18">
        <v>78107</v>
      </c>
      <c r="H40" s="18" t="str">
        <f>IFERROR(VLOOKUP(G40,[1]引用表合并!$A:$B,2,FALSE),"")</f>
        <v>马仔碎片(雷复轰)</v>
      </c>
      <c r="I40" s="19">
        <v>15</v>
      </c>
      <c r="J40" s="18">
        <f t="shared" si="0"/>
        <v>1</v>
      </c>
    </row>
    <row r="41" spans="1:10" x14ac:dyDescent="0.15">
      <c r="A41" s="18">
        <v>2601</v>
      </c>
      <c r="B41" s="18">
        <v>2</v>
      </c>
      <c r="C41" s="18">
        <v>6</v>
      </c>
      <c r="D41" s="18">
        <v>1</v>
      </c>
      <c r="E41" s="18">
        <f t="shared" si="1"/>
        <v>24000</v>
      </c>
      <c r="F41" s="18">
        <v>0</v>
      </c>
      <c r="G41" s="18">
        <v>0</v>
      </c>
      <c r="H41" s="18" t="str">
        <f>IFERROR(VLOOKUP(G41,[1]引用表合并!$A:$B,2,FALSE),"")</f>
        <v/>
      </c>
      <c r="I41" s="19">
        <v>0</v>
      </c>
      <c r="J41" s="18">
        <f t="shared" si="0"/>
        <v>1</v>
      </c>
    </row>
    <row r="42" spans="1:10" x14ac:dyDescent="0.15">
      <c r="A42" s="18">
        <v>2602</v>
      </c>
      <c r="B42" s="18">
        <v>2</v>
      </c>
      <c r="C42" s="18">
        <v>6</v>
      </c>
      <c r="D42" s="18">
        <v>2</v>
      </c>
      <c r="E42" s="18">
        <f t="shared" si="1"/>
        <v>0</v>
      </c>
      <c r="F42" s="18">
        <v>0</v>
      </c>
      <c r="G42" s="18">
        <v>83304</v>
      </c>
      <c r="H42" s="18" t="str">
        <f>IFERROR(VLOOKUP(G42,[1]引用表合并!$A:$B,2,FALSE),"")</f>
        <v>寻宝券</v>
      </c>
      <c r="I42" s="19">
        <v>6</v>
      </c>
      <c r="J42" s="18">
        <f t="shared" si="0"/>
        <v>1</v>
      </c>
    </row>
    <row r="43" spans="1:10" x14ac:dyDescent="0.15">
      <c r="A43" s="18">
        <v>2603</v>
      </c>
      <c r="B43" s="18">
        <v>2</v>
      </c>
      <c r="C43" s="18">
        <v>6</v>
      </c>
      <c r="D43" s="18">
        <v>3</v>
      </c>
      <c r="E43" s="18">
        <f t="shared" si="1"/>
        <v>0</v>
      </c>
      <c r="F43" s="18">
        <v>0</v>
      </c>
      <c r="G43" s="18">
        <v>78107</v>
      </c>
      <c r="H43" s="18" t="str">
        <f>IFERROR(VLOOKUP(G43,[1]引用表合并!$A:$B,2,FALSE),"")</f>
        <v>马仔碎片(雷复轰)</v>
      </c>
      <c r="I43" s="19">
        <v>15</v>
      </c>
      <c r="J43" s="18">
        <f t="shared" si="0"/>
        <v>1</v>
      </c>
    </row>
    <row r="44" spans="1:10" x14ac:dyDescent="0.15">
      <c r="A44" s="18">
        <v>2701</v>
      </c>
      <c r="B44" s="18">
        <v>2</v>
      </c>
      <c r="C44" s="18">
        <v>7</v>
      </c>
      <c r="D44" s="18">
        <v>1</v>
      </c>
      <c r="E44" s="18">
        <f t="shared" si="1"/>
        <v>28000</v>
      </c>
      <c r="F44" s="18">
        <v>0</v>
      </c>
      <c r="G44" s="18">
        <v>0</v>
      </c>
      <c r="H44" s="18" t="str">
        <f>IFERROR(VLOOKUP(G44,[1]引用表合并!$A:$B,2,FALSE),"")</f>
        <v/>
      </c>
      <c r="I44" s="19">
        <v>0</v>
      </c>
      <c r="J44" s="18">
        <f t="shared" si="0"/>
        <v>1</v>
      </c>
    </row>
    <row r="45" spans="1:10" x14ac:dyDescent="0.15">
      <c r="A45" s="18">
        <v>2702</v>
      </c>
      <c r="B45" s="18">
        <v>2</v>
      </c>
      <c r="C45" s="18">
        <v>7</v>
      </c>
      <c r="D45" s="18">
        <v>2</v>
      </c>
      <c r="E45" s="18">
        <f t="shared" si="1"/>
        <v>0</v>
      </c>
      <c r="F45" s="18">
        <v>0</v>
      </c>
      <c r="G45" s="18">
        <v>83304</v>
      </c>
      <c r="H45" s="18" t="str">
        <f>IFERROR(VLOOKUP(G45,[1]引用表合并!$A:$B,2,FALSE),"")</f>
        <v>寻宝券</v>
      </c>
      <c r="I45" s="19">
        <v>7</v>
      </c>
      <c r="J45" s="18">
        <f t="shared" si="0"/>
        <v>1</v>
      </c>
    </row>
    <row r="46" spans="1:10" x14ac:dyDescent="0.15">
      <c r="A46" s="18">
        <v>2703</v>
      </c>
      <c r="B46" s="18">
        <v>2</v>
      </c>
      <c r="C46" s="18">
        <v>7</v>
      </c>
      <c r="D46" s="18">
        <v>3</v>
      </c>
      <c r="E46" s="18">
        <f t="shared" si="1"/>
        <v>0</v>
      </c>
      <c r="F46" s="18">
        <v>0</v>
      </c>
      <c r="G46" s="18">
        <v>78107</v>
      </c>
      <c r="H46" s="18" t="str">
        <f>IFERROR(VLOOKUP(G46,[1]引用表合并!$A:$B,2,FALSE),"")</f>
        <v>马仔碎片(雷复轰)</v>
      </c>
      <c r="I46" s="19">
        <v>20</v>
      </c>
      <c r="J46" s="18">
        <f t="shared" si="0"/>
        <v>1</v>
      </c>
    </row>
    <row r="47" spans="1:10" x14ac:dyDescent="0.15">
      <c r="A47" s="18">
        <v>2801</v>
      </c>
      <c r="B47" s="18">
        <v>2</v>
      </c>
      <c r="C47" s="18">
        <v>8</v>
      </c>
      <c r="D47" s="18">
        <v>1</v>
      </c>
      <c r="E47" s="18">
        <f t="shared" si="1"/>
        <v>32000</v>
      </c>
      <c r="F47" s="18">
        <v>0</v>
      </c>
      <c r="G47" s="18">
        <v>0</v>
      </c>
      <c r="H47" s="18" t="str">
        <f>IFERROR(VLOOKUP(G47,[1]引用表合并!$A:$B,2,FALSE),"")</f>
        <v/>
      </c>
      <c r="I47" s="19">
        <v>0</v>
      </c>
      <c r="J47" s="18">
        <f t="shared" si="0"/>
        <v>1</v>
      </c>
    </row>
    <row r="48" spans="1:10" x14ac:dyDescent="0.15">
      <c r="A48" s="18">
        <v>2802</v>
      </c>
      <c r="B48" s="18">
        <v>2</v>
      </c>
      <c r="C48" s="18">
        <v>8</v>
      </c>
      <c r="D48" s="18">
        <v>2</v>
      </c>
      <c r="E48" s="18">
        <f t="shared" si="1"/>
        <v>0</v>
      </c>
      <c r="F48" s="18">
        <v>0</v>
      </c>
      <c r="G48" s="18">
        <v>83304</v>
      </c>
      <c r="H48" s="18" t="str">
        <f>IFERROR(VLOOKUP(G48,[1]引用表合并!$A:$B,2,FALSE),"")</f>
        <v>寻宝券</v>
      </c>
      <c r="I48" s="19">
        <v>8</v>
      </c>
      <c r="J48" s="18">
        <f t="shared" si="0"/>
        <v>1</v>
      </c>
    </row>
    <row r="49" spans="1:10" x14ac:dyDescent="0.15">
      <c r="A49" s="18">
        <v>2803</v>
      </c>
      <c r="B49" s="18">
        <v>2</v>
      </c>
      <c r="C49" s="18">
        <v>8</v>
      </c>
      <c r="D49" s="18">
        <v>3</v>
      </c>
      <c r="E49" s="18">
        <f t="shared" si="1"/>
        <v>0</v>
      </c>
      <c r="F49" s="18">
        <v>0</v>
      </c>
      <c r="G49" s="18">
        <v>78107</v>
      </c>
      <c r="H49" s="18" t="str">
        <f>IFERROR(VLOOKUP(G49,[1]引用表合并!$A:$B,2,FALSE),"")</f>
        <v>马仔碎片(雷复轰)</v>
      </c>
      <c r="I49" s="19">
        <v>20</v>
      </c>
      <c r="J49" s="18">
        <f t="shared" si="0"/>
        <v>1</v>
      </c>
    </row>
  </sheetData>
  <phoneticPr fontId="1" type="noConversion"/>
  <conditionalFormatting sqref="J2:J49">
    <cfRule type="cellIs" dxfId="218" priority="4" operator="greaterThan">
      <formula>1</formula>
    </cfRule>
  </conditionalFormatting>
  <conditionalFormatting sqref="O8:O2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{668C2055-D3F9-48F4-8206-D7160A43520E}</x14:id>
        </ext>
      </extLst>
    </cfRule>
  </conditionalFormatting>
  <pageMargins left="0.7" right="0.7" top="0.75" bottom="0.75" header="0.3" footer="0.3"/>
  <ignoredErrors>
    <ignoredError sqref="J26:J49 J2:J8 J9:J25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8C2055-D3F9-48F4-8206-D7160A4352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O8:O27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74"/>
  <sheetViews>
    <sheetView tabSelected="1" workbookViewId="0">
      <selection activeCell="D19" sqref="D19"/>
    </sheetView>
  </sheetViews>
  <sheetFormatPr defaultRowHeight="13.5" x14ac:dyDescent="0.15"/>
  <cols>
    <col min="2" max="2" width="19.25" bestFit="1" customWidth="1"/>
    <col min="7" max="7" width="12.5" customWidth="1"/>
    <col min="10" max="10" width="13.875" customWidth="1"/>
  </cols>
  <sheetData>
    <row r="1" spans="1:14" x14ac:dyDescent="0.15">
      <c r="A1" t="s">
        <v>341</v>
      </c>
      <c r="B1" t="s">
        <v>342</v>
      </c>
      <c r="G1" t="s">
        <v>419</v>
      </c>
      <c r="J1" t="s">
        <v>423</v>
      </c>
      <c r="L1" t="s">
        <v>429</v>
      </c>
      <c r="M1" t="s">
        <v>428</v>
      </c>
      <c r="N1" t="s">
        <v>430</v>
      </c>
    </row>
    <row r="2" spans="1:14" x14ac:dyDescent="0.15">
      <c r="A2" s="8">
        <f>D_地图数据!A10</f>
        <v>1001</v>
      </c>
      <c r="B2">
        <f t="shared" ref="B2:B33" si="0">ROUND($K$4*(0.7+0.6*C2/(COUNT(C:C)+1)),0)</f>
        <v>35</v>
      </c>
      <c r="C2">
        <v>1</v>
      </c>
      <c r="G2" s="2" t="s">
        <v>420</v>
      </c>
      <c r="H2" s="2">
        <f>[2]D_公式常数表!$D$20/100</f>
        <v>0.05</v>
      </c>
      <c r="J2" s="2" t="s">
        <v>424</v>
      </c>
      <c r="K2" s="2">
        <f>H6-H4</f>
        <v>35658.038160355303</v>
      </c>
      <c r="L2">
        <f>K3*60*B59</f>
        <v>41760</v>
      </c>
      <c r="M2">
        <f>K2*24/K3</f>
        <v>71316.076320710607</v>
      </c>
      <c r="N2">
        <f>L2*24/K3</f>
        <v>83520</v>
      </c>
    </row>
    <row r="3" spans="1:14" x14ac:dyDescent="0.15">
      <c r="A3" s="8">
        <f>D_地图数据!A11</f>
        <v>1002</v>
      </c>
      <c r="B3">
        <f>ROUND($K$4*(0.7+0.6*C3/(COUNT(C:C)+1)),0)</f>
        <v>35</v>
      </c>
      <c r="C3">
        <v>2</v>
      </c>
      <c r="G3" s="2" t="s">
        <v>421</v>
      </c>
      <c r="H3" s="11">
        <v>100</v>
      </c>
      <c r="J3" s="2" t="s">
        <v>425</v>
      </c>
      <c r="K3" s="11">
        <v>12</v>
      </c>
    </row>
    <row r="4" spans="1:14" x14ac:dyDescent="0.15">
      <c r="A4" s="8">
        <f>D_地图数据!A12</f>
        <v>1003</v>
      </c>
      <c r="B4">
        <f t="shared" si="0"/>
        <v>36</v>
      </c>
      <c r="C4">
        <v>3</v>
      </c>
      <c r="G4" s="2" t="s">
        <v>422</v>
      </c>
      <c r="H4" s="2">
        <f>[3]金币投放!$N$8*H3*H2</f>
        <v>266.59624824684437</v>
      </c>
      <c r="J4" s="2" t="s">
        <v>426</v>
      </c>
      <c r="K4" s="2">
        <f>K2/K3/60</f>
        <v>49.525053000493479</v>
      </c>
    </row>
    <row r="5" spans="1:14" x14ac:dyDescent="0.15">
      <c r="A5" s="8">
        <f>D_地图数据!A13</f>
        <v>1004</v>
      </c>
      <c r="B5">
        <f t="shared" si="0"/>
        <v>36</v>
      </c>
      <c r="C5">
        <v>4</v>
      </c>
      <c r="J5" t="s">
        <v>427</v>
      </c>
      <c r="K5">
        <f>K4*30</f>
        <v>1485.7515900148044</v>
      </c>
    </row>
    <row r="6" spans="1:14" x14ac:dyDescent="0.15">
      <c r="A6" s="8">
        <f>D_地图数据!A14</f>
        <v>1005</v>
      </c>
      <c r="B6">
        <f t="shared" si="0"/>
        <v>37</v>
      </c>
      <c r="C6">
        <v>5</v>
      </c>
      <c r="G6" s="2" t="s">
        <v>418</v>
      </c>
      <c r="H6" s="2">
        <v>35924.634408602149</v>
      </c>
    </row>
    <row r="7" spans="1:14" x14ac:dyDescent="0.15">
      <c r="A7" s="8">
        <f>D_地图数据!A15</f>
        <v>1006</v>
      </c>
      <c r="B7">
        <f t="shared" si="0"/>
        <v>37</v>
      </c>
      <c r="C7">
        <v>6</v>
      </c>
      <c r="G7" s="22" t="s">
        <v>700</v>
      </c>
      <c r="H7">
        <f>[3]金币投放!$M$15</f>
        <v>36790.284946236556</v>
      </c>
    </row>
    <row r="8" spans="1:14" x14ac:dyDescent="0.15">
      <c r="A8" s="8">
        <f>D_地图数据!A16</f>
        <v>1007</v>
      </c>
      <c r="B8">
        <f t="shared" si="0"/>
        <v>37</v>
      </c>
      <c r="C8">
        <v>7</v>
      </c>
    </row>
    <row r="9" spans="1:14" x14ac:dyDescent="0.15">
      <c r="A9" s="8">
        <f>D_地图数据!A17</f>
        <v>1008</v>
      </c>
      <c r="B9">
        <f t="shared" si="0"/>
        <v>38</v>
      </c>
      <c r="C9">
        <v>8</v>
      </c>
    </row>
    <row r="10" spans="1:14" x14ac:dyDescent="0.15">
      <c r="A10" s="8">
        <f>D_地图数据!A18</f>
        <v>1009</v>
      </c>
      <c r="B10">
        <f t="shared" si="0"/>
        <v>38</v>
      </c>
      <c r="C10">
        <v>9</v>
      </c>
    </row>
    <row r="11" spans="1:14" x14ac:dyDescent="0.15">
      <c r="A11" s="8">
        <f>D_地图数据!A19</f>
        <v>1010</v>
      </c>
      <c r="B11">
        <f t="shared" si="0"/>
        <v>39</v>
      </c>
      <c r="C11">
        <v>10</v>
      </c>
    </row>
    <row r="12" spans="1:14" x14ac:dyDescent="0.15">
      <c r="A12" s="8">
        <f>D_地图数据!A20</f>
        <v>2001</v>
      </c>
      <c r="B12">
        <f t="shared" si="0"/>
        <v>39</v>
      </c>
      <c r="C12">
        <v>11</v>
      </c>
    </row>
    <row r="13" spans="1:14" x14ac:dyDescent="0.15">
      <c r="A13" s="8">
        <f>D_地图数据!A21</f>
        <v>2002</v>
      </c>
      <c r="B13">
        <f t="shared" si="0"/>
        <v>39</v>
      </c>
      <c r="C13">
        <v>12</v>
      </c>
    </row>
    <row r="14" spans="1:14" x14ac:dyDescent="0.15">
      <c r="A14" s="8">
        <f>D_地图数据!A22</f>
        <v>2003</v>
      </c>
      <c r="B14">
        <f t="shared" si="0"/>
        <v>40</v>
      </c>
      <c r="C14">
        <v>13</v>
      </c>
    </row>
    <row r="15" spans="1:14" x14ac:dyDescent="0.15">
      <c r="A15" s="8">
        <f>D_地图数据!A23</f>
        <v>2004</v>
      </c>
      <c r="B15">
        <f t="shared" si="0"/>
        <v>40</v>
      </c>
      <c r="C15">
        <v>14</v>
      </c>
    </row>
    <row r="16" spans="1:14" x14ac:dyDescent="0.15">
      <c r="A16" s="8">
        <f>D_地图数据!A24</f>
        <v>2005</v>
      </c>
      <c r="B16">
        <f t="shared" si="0"/>
        <v>41</v>
      </c>
      <c r="C16">
        <v>15</v>
      </c>
    </row>
    <row r="17" spans="1:3" x14ac:dyDescent="0.15">
      <c r="A17" s="8">
        <f>D_地图数据!A25</f>
        <v>2006</v>
      </c>
      <c r="B17">
        <f t="shared" si="0"/>
        <v>41</v>
      </c>
      <c r="C17">
        <v>16</v>
      </c>
    </row>
    <row r="18" spans="1:3" x14ac:dyDescent="0.15">
      <c r="A18" s="8">
        <f>D_地图数据!A26</f>
        <v>2007</v>
      </c>
      <c r="B18">
        <f t="shared" si="0"/>
        <v>41</v>
      </c>
      <c r="C18">
        <v>17</v>
      </c>
    </row>
    <row r="19" spans="1:3" x14ac:dyDescent="0.15">
      <c r="A19" s="8">
        <f>D_地图数据!A27</f>
        <v>2008</v>
      </c>
      <c r="B19">
        <f t="shared" si="0"/>
        <v>42</v>
      </c>
      <c r="C19">
        <v>18</v>
      </c>
    </row>
    <row r="20" spans="1:3" x14ac:dyDescent="0.15">
      <c r="A20" s="8">
        <f>D_地图数据!A28</f>
        <v>2009</v>
      </c>
      <c r="B20">
        <f t="shared" si="0"/>
        <v>42</v>
      </c>
      <c r="C20">
        <v>19</v>
      </c>
    </row>
    <row r="21" spans="1:3" x14ac:dyDescent="0.15">
      <c r="A21" s="8">
        <f>D_地图数据!A29</f>
        <v>3001</v>
      </c>
      <c r="B21">
        <f t="shared" si="0"/>
        <v>43</v>
      </c>
      <c r="C21">
        <v>20</v>
      </c>
    </row>
    <row r="22" spans="1:3" x14ac:dyDescent="0.15">
      <c r="A22" s="8">
        <f>D_地图数据!A30</f>
        <v>3002</v>
      </c>
      <c r="B22">
        <f t="shared" si="0"/>
        <v>43</v>
      </c>
      <c r="C22">
        <v>21</v>
      </c>
    </row>
    <row r="23" spans="1:3" x14ac:dyDescent="0.15">
      <c r="A23" s="8">
        <f>D_地图数据!A31</f>
        <v>3003</v>
      </c>
      <c r="B23">
        <f t="shared" si="0"/>
        <v>44</v>
      </c>
      <c r="C23">
        <v>22</v>
      </c>
    </row>
    <row r="24" spans="1:3" x14ac:dyDescent="0.15">
      <c r="A24" s="8">
        <f>D_地图数据!A32</f>
        <v>3004</v>
      </c>
      <c r="B24">
        <f t="shared" si="0"/>
        <v>44</v>
      </c>
      <c r="C24">
        <v>23</v>
      </c>
    </row>
    <row r="25" spans="1:3" x14ac:dyDescent="0.15">
      <c r="A25" s="8">
        <f>D_地图数据!A33</f>
        <v>3005</v>
      </c>
      <c r="B25">
        <f t="shared" si="0"/>
        <v>44</v>
      </c>
      <c r="C25">
        <v>24</v>
      </c>
    </row>
    <row r="26" spans="1:3" x14ac:dyDescent="0.15">
      <c r="A26" s="8">
        <f>D_地图数据!A34</f>
        <v>3006</v>
      </c>
      <c r="B26">
        <f t="shared" si="0"/>
        <v>45</v>
      </c>
      <c r="C26">
        <v>25</v>
      </c>
    </row>
    <row r="27" spans="1:3" x14ac:dyDescent="0.15">
      <c r="A27" s="8">
        <f>D_地图数据!A35</f>
        <v>3007</v>
      </c>
      <c r="B27">
        <f t="shared" si="0"/>
        <v>45</v>
      </c>
      <c r="C27">
        <v>26</v>
      </c>
    </row>
    <row r="28" spans="1:3" x14ac:dyDescent="0.15">
      <c r="A28" s="8">
        <f>D_地图数据!A36</f>
        <v>3008</v>
      </c>
      <c r="B28">
        <f t="shared" si="0"/>
        <v>46</v>
      </c>
      <c r="C28">
        <v>27</v>
      </c>
    </row>
    <row r="29" spans="1:3" x14ac:dyDescent="0.15">
      <c r="A29" s="8">
        <f>D_地图数据!A37</f>
        <v>3009</v>
      </c>
      <c r="B29">
        <f t="shared" si="0"/>
        <v>46</v>
      </c>
      <c r="C29">
        <v>28</v>
      </c>
    </row>
    <row r="30" spans="1:3" x14ac:dyDescent="0.15">
      <c r="A30" s="8">
        <f>D_地图数据!A38</f>
        <v>4001</v>
      </c>
      <c r="B30">
        <f t="shared" si="0"/>
        <v>46</v>
      </c>
      <c r="C30">
        <v>29</v>
      </c>
    </row>
    <row r="31" spans="1:3" x14ac:dyDescent="0.15">
      <c r="A31" s="8">
        <f>D_地图数据!A39</f>
        <v>4002</v>
      </c>
      <c r="B31">
        <f t="shared" si="0"/>
        <v>47</v>
      </c>
      <c r="C31">
        <v>30</v>
      </c>
    </row>
    <row r="32" spans="1:3" x14ac:dyDescent="0.15">
      <c r="A32" s="8">
        <f>D_地图数据!A40</f>
        <v>4003</v>
      </c>
      <c r="B32">
        <f t="shared" si="0"/>
        <v>47</v>
      </c>
      <c r="C32">
        <v>31</v>
      </c>
    </row>
    <row r="33" spans="1:3" x14ac:dyDescent="0.15">
      <c r="A33" s="8">
        <f>D_地图数据!A41</f>
        <v>4004</v>
      </c>
      <c r="B33">
        <f t="shared" si="0"/>
        <v>48</v>
      </c>
      <c r="C33">
        <v>32</v>
      </c>
    </row>
    <row r="34" spans="1:3" x14ac:dyDescent="0.15">
      <c r="A34" s="8">
        <f>D_地图数据!A42</f>
        <v>4005</v>
      </c>
      <c r="B34">
        <f t="shared" ref="B34:B65" si="1">ROUND($K$4*(0.7+0.6*C34/(COUNT(C:C)+1)),0)</f>
        <v>48</v>
      </c>
      <c r="C34">
        <v>33</v>
      </c>
    </row>
    <row r="35" spans="1:3" x14ac:dyDescent="0.15">
      <c r="A35" s="8">
        <f>D_地图数据!A43</f>
        <v>4006</v>
      </c>
      <c r="B35">
        <f t="shared" si="1"/>
        <v>48</v>
      </c>
      <c r="C35">
        <v>34</v>
      </c>
    </row>
    <row r="36" spans="1:3" x14ac:dyDescent="0.15">
      <c r="A36" s="8">
        <f>D_地图数据!A44</f>
        <v>4007</v>
      </c>
      <c r="B36">
        <f t="shared" si="1"/>
        <v>49</v>
      </c>
      <c r="C36">
        <v>35</v>
      </c>
    </row>
    <row r="37" spans="1:3" x14ac:dyDescent="0.15">
      <c r="A37" s="8">
        <f>D_地图数据!A45</f>
        <v>4008</v>
      </c>
      <c r="B37">
        <f t="shared" si="1"/>
        <v>49</v>
      </c>
      <c r="C37">
        <v>36</v>
      </c>
    </row>
    <row r="38" spans="1:3" x14ac:dyDescent="0.15">
      <c r="A38" s="8">
        <f>D_地图数据!A46</f>
        <v>4009</v>
      </c>
      <c r="B38">
        <f t="shared" si="1"/>
        <v>50</v>
      </c>
      <c r="C38">
        <v>37</v>
      </c>
    </row>
    <row r="39" spans="1:3" x14ac:dyDescent="0.15">
      <c r="A39" s="8">
        <f>D_地图数据!A47</f>
        <v>5001</v>
      </c>
      <c r="B39">
        <f t="shared" si="1"/>
        <v>50</v>
      </c>
      <c r="C39">
        <v>38</v>
      </c>
    </row>
    <row r="40" spans="1:3" x14ac:dyDescent="0.15">
      <c r="A40" s="8">
        <f>D_地图数据!A48</f>
        <v>5002</v>
      </c>
      <c r="B40">
        <f t="shared" si="1"/>
        <v>50</v>
      </c>
      <c r="C40">
        <v>39</v>
      </c>
    </row>
    <row r="41" spans="1:3" x14ac:dyDescent="0.15">
      <c r="A41" s="8">
        <f>D_地图数据!A49</f>
        <v>5003</v>
      </c>
      <c r="B41">
        <f t="shared" si="1"/>
        <v>51</v>
      </c>
      <c r="C41">
        <v>40</v>
      </c>
    </row>
    <row r="42" spans="1:3" x14ac:dyDescent="0.15">
      <c r="A42" s="8">
        <f>D_地图数据!A50</f>
        <v>5004</v>
      </c>
      <c r="B42">
        <f t="shared" si="1"/>
        <v>51</v>
      </c>
      <c r="C42">
        <v>41</v>
      </c>
    </row>
    <row r="43" spans="1:3" x14ac:dyDescent="0.15">
      <c r="A43" s="8">
        <f>D_地图数据!A51</f>
        <v>5005</v>
      </c>
      <c r="B43">
        <f t="shared" si="1"/>
        <v>52</v>
      </c>
      <c r="C43">
        <v>42</v>
      </c>
    </row>
    <row r="44" spans="1:3" x14ac:dyDescent="0.15">
      <c r="A44" s="8">
        <f>D_地图数据!A52</f>
        <v>5006</v>
      </c>
      <c r="B44">
        <f t="shared" si="1"/>
        <v>52</v>
      </c>
      <c r="C44">
        <v>43</v>
      </c>
    </row>
    <row r="45" spans="1:3" x14ac:dyDescent="0.15">
      <c r="A45" s="8">
        <f>D_地图数据!A53</f>
        <v>5007</v>
      </c>
      <c r="B45">
        <f t="shared" si="1"/>
        <v>52</v>
      </c>
      <c r="C45">
        <v>44</v>
      </c>
    </row>
    <row r="46" spans="1:3" x14ac:dyDescent="0.15">
      <c r="A46" s="8">
        <f>D_地图数据!A54</f>
        <v>5008</v>
      </c>
      <c r="B46">
        <f t="shared" si="1"/>
        <v>53</v>
      </c>
      <c r="C46">
        <v>45</v>
      </c>
    </row>
    <row r="47" spans="1:3" x14ac:dyDescent="0.15">
      <c r="A47" s="8">
        <f>D_地图数据!A55</f>
        <v>5009</v>
      </c>
      <c r="B47">
        <f t="shared" si="1"/>
        <v>53</v>
      </c>
      <c r="C47">
        <v>46</v>
      </c>
    </row>
    <row r="48" spans="1:3" x14ac:dyDescent="0.15">
      <c r="A48" s="8">
        <f>D_地图数据!A56</f>
        <v>6001</v>
      </c>
      <c r="B48">
        <f t="shared" si="1"/>
        <v>54</v>
      </c>
      <c r="C48">
        <v>47</v>
      </c>
    </row>
    <row r="49" spans="1:3" x14ac:dyDescent="0.15">
      <c r="A49" s="8">
        <f>D_地图数据!A57</f>
        <v>6002</v>
      </c>
      <c r="B49">
        <f t="shared" si="1"/>
        <v>54</v>
      </c>
      <c r="C49">
        <v>48</v>
      </c>
    </row>
    <row r="50" spans="1:3" x14ac:dyDescent="0.15">
      <c r="A50" s="8">
        <f>D_地图数据!A58</f>
        <v>6003</v>
      </c>
      <c r="B50">
        <f t="shared" si="1"/>
        <v>54</v>
      </c>
      <c r="C50">
        <v>49</v>
      </c>
    </row>
    <row r="51" spans="1:3" x14ac:dyDescent="0.15">
      <c r="A51" s="8">
        <f>D_地图数据!A59</f>
        <v>6004</v>
      </c>
      <c r="B51">
        <f t="shared" si="1"/>
        <v>55</v>
      </c>
      <c r="C51">
        <v>50</v>
      </c>
    </row>
    <row r="52" spans="1:3" x14ac:dyDescent="0.15">
      <c r="A52" s="8">
        <f>D_地图数据!A60</f>
        <v>6005</v>
      </c>
      <c r="B52">
        <f t="shared" si="1"/>
        <v>55</v>
      </c>
      <c r="C52">
        <v>51</v>
      </c>
    </row>
    <row r="53" spans="1:3" x14ac:dyDescent="0.15">
      <c r="A53" s="8">
        <f>D_地图数据!A61</f>
        <v>6006</v>
      </c>
      <c r="B53">
        <f t="shared" si="1"/>
        <v>56</v>
      </c>
      <c r="C53">
        <v>52</v>
      </c>
    </row>
    <row r="54" spans="1:3" x14ac:dyDescent="0.15">
      <c r="A54" s="8">
        <f>D_地图数据!A62</f>
        <v>6007</v>
      </c>
      <c r="B54">
        <f t="shared" si="1"/>
        <v>56</v>
      </c>
      <c r="C54">
        <v>53</v>
      </c>
    </row>
    <row r="55" spans="1:3" x14ac:dyDescent="0.15">
      <c r="A55" s="8">
        <f>D_地图数据!A63</f>
        <v>6008</v>
      </c>
      <c r="B55">
        <f t="shared" si="1"/>
        <v>56</v>
      </c>
      <c r="C55">
        <v>54</v>
      </c>
    </row>
    <row r="56" spans="1:3" x14ac:dyDescent="0.15">
      <c r="A56" s="8">
        <f>D_地图数据!A64</f>
        <v>6009</v>
      </c>
      <c r="B56">
        <f t="shared" si="1"/>
        <v>57</v>
      </c>
      <c r="C56">
        <v>55</v>
      </c>
    </row>
    <row r="57" spans="1:3" x14ac:dyDescent="0.15">
      <c r="A57" s="8">
        <f>D_地图数据!A65</f>
        <v>7001</v>
      </c>
      <c r="B57">
        <f t="shared" si="1"/>
        <v>57</v>
      </c>
      <c r="C57">
        <v>56</v>
      </c>
    </row>
    <row r="58" spans="1:3" x14ac:dyDescent="0.15">
      <c r="A58" s="8">
        <f>D_地图数据!A66</f>
        <v>7002</v>
      </c>
      <c r="B58">
        <f t="shared" si="1"/>
        <v>58</v>
      </c>
      <c r="C58">
        <v>57</v>
      </c>
    </row>
    <row r="59" spans="1:3" x14ac:dyDescent="0.15">
      <c r="A59" s="8">
        <f>D_地图数据!A67</f>
        <v>7003</v>
      </c>
      <c r="B59">
        <f t="shared" si="1"/>
        <v>58</v>
      </c>
      <c r="C59">
        <v>58</v>
      </c>
    </row>
    <row r="60" spans="1:3" x14ac:dyDescent="0.15">
      <c r="A60" s="8">
        <f>D_地图数据!A68</f>
        <v>7004</v>
      </c>
      <c r="B60">
        <f t="shared" si="1"/>
        <v>58</v>
      </c>
      <c r="C60">
        <v>59</v>
      </c>
    </row>
    <row r="61" spans="1:3" x14ac:dyDescent="0.15">
      <c r="A61" s="8">
        <f>D_地图数据!A69</f>
        <v>7005</v>
      </c>
      <c r="B61">
        <f t="shared" si="1"/>
        <v>59</v>
      </c>
      <c r="C61">
        <v>60</v>
      </c>
    </row>
    <row r="62" spans="1:3" x14ac:dyDescent="0.15">
      <c r="A62" s="8">
        <f>D_地图数据!A70</f>
        <v>7006</v>
      </c>
      <c r="B62">
        <f t="shared" si="1"/>
        <v>59</v>
      </c>
      <c r="C62">
        <v>61</v>
      </c>
    </row>
    <row r="63" spans="1:3" x14ac:dyDescent="0.15">
      <c r="A63" s="8">
        <f>D_地图数据!A71</f>
        <v>7007</v>
      </c>
      <c r="B63">
        <f t="shared" si="1"/>
        <v>60</v>
      </c>
      <c r="C63">
        <v>62</v>
      </c>
    </row>
    <row r="64" spans="1:3" x14ac:dyDescent="0.15">
      <c r="A64" s="8">
        <f>D_地图数据!A72</f>
        <v>7008</v>
      </c>
      <c r="B64">
        <f t="shared" si="1"/>
        <v>60</v>
      </c>
      <c r="C64">
        <v>63</v>
      </c>
    </row>
    <row r="65" spans="1:3" x14ac:dyDescent="0.15">
      <c r="A65" s="8">
        <f>D_地图数据!A73</f>
        <v>7009</v>
      </c>
      <c r="B65">
        <f t="shared" si="1"/>
        <v>60</v>
      </c>
      <c r="C65">
        <v>64</v>
      </c>
    </row>
    <row r="66" spans="1:3" x14ac:dyDescent="0.15">
      <c r="A66" s="8">
        <f>D_地图数据!A74</f>
        <v>8001</v>
      </c>
      <c r="B66">
        <f t="shared" ref="B66:B74" si="2">ROUND($K$4*(0.7+0.6*C66/(COUNT(C:C)+1)),0)</f>
        <v>61</v>
      </c>
      <c r="C66">
        <v>65</v>
      </c>
    </row>
    <row r="67" spans="1:3" x14ac:dyDescent="0.15">
      <c r="A67" s="8">
        <f>D_地图数据!A75</f>
        <v>8002</v>
      </c>
      <c r="B67">
        <f t="shared" si="2"/>
        <v>61</v>
      </c>
      <c r="C67">
        <v>66</v>
      </c>
    </row>
    <row r="68" spans="1:3" x14ac:dyDescent="0.15">
      <c r="A68" s="8">
        <f>D_地图数据!A76</f>
        <v>8003</v>
      </c>
      <c r="B68">
        <f t="shared" si="2"/>
        <v>62</v>
      </c>
      <c r="C68">
        <v>67</v>
      </c>
    </row>
    <row r="69" spans="1:3" x14ac:dyDescent="0.15">
      <c r="A69" s="8">
        <f>D_地图数据!A77</f>
        <v>8004</v>
      </c>
      <c r="B69">
        <f t="shared" si="2"/>
        <v>62</v>
      </c>
      <c r="C69">
        <v>68</v>
      </c>
    </row>
    <row r="70" spans="1:3" x14ac:dyDescent="0.15">
      <c r="A70" s="8">
        <f>D_地图数据!A78</f>
        <v>8005</v>
      </c>
      <c r="B70">
        <f t="shared" si="2"/>
        <v>62</v>
      </c>
      <c r="C70">
        <v>69</v>
      </c>
    </row>
    <row r="71" spans="1:3" x14ac:dyDescent="0.15">
      <c r="A71" s="8">
        <f>D_地图数据!A79</f>
        <v>8006</v>
      </c>
      <c r="B71">
        <f t="shared" si="2"/>
        <v>63</v>
      </c>
      <c r="C71">
        <v>70</v>
      </c>
    </row>
    <row r="72" spans="1:3" x14ac:dyDescent="0.15">
      <c r="A72" s="8">
        <f>D_地图数据!A80</f>
        <v>8007</v>
      </c>
      <c r="B72">
        <f t="shared" si="2"/>
        <v>63</v>
      </c>
      <c r="C72">
        <v>71</v>
      </c>
    </row>
    <row r="73" spans="1:3" x14ac:dyDescent="0.15">
      <c r="A73" s="8">
        <f>D_地图数据!A81</f>
        <v>8008</v>
      </c>
      <c r="B73">
        <f t="shared" si="2"/>
        <v>64</v>
      </c>
      <c r="C73">
        <v>72</v>
      </c>
    </row>
    <row r="74" spans="1:3" x14ac:dyDescent="0.15">
      <c r="A74" s="8">
        <f>D_地图数据!A82</f>
        <v>8009</v>
      </c>
      <c r="B74">
        <f t="shared" si="2"/>
        <v>64</v>
      </c>
      <c r="C74">
        <v>73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I16"/>
  <sheetViews>
    <sheetView workbookViewId="0">
      <selection activeCell="F29" sqref="F29"/>
    </sheetView>
  </sheetViews>
  <sheetFormatPr defaultRowHeight="13.5" x14ac:dyDescent="0.15"/>
  <sheetData>
    <row r="3" spans="2:9" x14ac:dyDescent="0.15">
      <c r="B3" s="2" t="s">
        <v>106</v>
      </c>
      <c r="C3" s="2"/>
      <c r="E3" t="s">
        <v>115</v>
      </c>
      <c r="H3" t="s">
        <v>681</v>
      </c>
    </row>
    <row r="4" spans="2:9" x14ac:dyDescent="0.15">
      <c r="B4" s="2">
        <v>0</v>
      </c>
      <c r="C4" s="2" t="s">
        <v>107</v>
      </c>
      <c r="E4">
        <v>0</v>
      </c>
      <c r="F4" t="s">
        <v>116</v>
      </c>
      <c r="H4">
        <v>1</v>
      </c>
      <c r="I4" t="s">
        <v>682</v>
      </c>
    </row>
    <row r="5" spans="2:9" x14ac:dyDescent="0.15">
      <c r="B5" s="2">
        <v>1</v>
      </c>
      <c r="C5" s="2" t="s">
        <v>108</v>
      </c>
      <c r="E5">
        <v>1</v>
      </c>
      <c r="F5" t="s">
        <v>117</v>
      </c>
      <c r="H5">
        <v>0</v>
      </c>
      <c r="I5" t="s">
        <v>683</v>
      </c>
    </row>
    <row r="6" spans="2:9" x14ac:dyDescent="0.15">
      <c r="B6" s="2">
        <v>2</v>
      </c>
      <c r="C6" s="2" t="s">
        <v>109</v>
      </c>
      <c r="E6">
        <v>2</v>
      </c>
      <c r="F6" t="s">
        <v>118</v>
      </c>
    </row>
    <row r="7" spans="2:9" x14ac:dyDescent="0.15">
      <c r="B7" s="2">
        <v>3</v>
      </c>
      <c r="C7" s="2" t="s">
        <v>110</v>
      </c>
      <c r="E7">
        <v>3</v>
      </c>
      <c r="F7" t="s">
        <v>119</v>
      </c>
    </row>
    <row r="8" spans="2:9" x14ac:dyDescent="0.15">
      <c r="B8" s="2">
        <v>4</v>
      </c>
      <c r="C8" s="2" t="s">
        <v>111</v>
      </c>
      <c r="E8">
        <v>4</v>
      </c>
      <c r="F8" t="s">
        <v>120</v>
      </c>
    </row>
    <row r="9" spans="2:9" x14ac:dyDescent="0.15">
      <c r="B9" s="2">
        <v>5</v>
      </c>
      <c r="C9" s="2" t="s">
        <v>112</v>
      </c>
      <c r="E9">
        <v>5</v>
      </c>
      <c r="F9" t="s">
        <v>677</v>
      </c>
    </row>
    <row r="10" spans="2:9" x14ac:dyDescent="0.15">
      <c r="B10" s="2">
        <v>6</v>
      </c>
      <c r="C10" s="2" t="s">
        <v>113</v>
      </c>
    </row>
    <row r="11" spans="2:9" x14ac:dyDescent="0.15">
      <c r="B11" s="2">
        <v>7</v>
      </c>
      <c r="C11" s="2" t="s">
        <v>464</v>
      </c>
    </row>
    <row r="12" spans="2:9" x14ac:dyDescent="0.15">
      <c r="B12" s="21">
        <v>8</v>
      </c>
      <c r="C12" s="21" t="s">
        <v>701</v>
      </c>
    </row>
    <row r="16" spans="2:9" x14ac:dyDescent="0.15">
      <c r="B16" s="3" t="s">
        <v>114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T226"/>
  <sheetViews>
    <sheetView workbookViewId="0">
      <pane xSplit="5" ySplit="2" topLeftCell="F69" activePane="bottomRight" state="frozen"/>
      <selection pane="topRight" activeCell="F1" sqref="F1"/>
      <selection pane="bottomLeft" activeCell="A3" sqref="A3"/>
      <selection pane="bottomRight" activeCell="G210" sqref="G210"/>
    </sheetView>
  </sheetViews>
  <sheetFormatPr defaultRowHeight="13.5" x14ac:dyDescent="0.15"/>
  <cols>
    <col min="4" max="4" width="19.375" bestFit="1" customWidth="1"/>
    <col min="5" max="5" width="9.5" style="10" customWidth="1"/>
    <col min="6" max="6" width="11.625" bestFit="1" customWidth="1"/>
    <col min="7" max="9" width="18.375" bestFit="1" customWidth="1"/>
    <col min="10" max="10" width="13.875" bestFit="1" customWidth="1"/>
    <col min="11" max="11" width="18.375" bestFit="1" customWidth="1"/>
    <col min="12" max="12" width="9.5" bestFit="1" customWidth="1"/>
    <col min="13" max="13" width="11.625" bestFit="1" customWidth="1"/>
    <col min="14" max="14" width="11.625" customWidth="1"/>
    <col min="15" max="18" width="15" bestFit="1" customWidth="1"/>
    <col min="19" max="19" width="9.5" style="10" customWidth="1"/>
    <col min="20" max="20" width="9.75" style="10" customWidth="1"/>
    <col min="21" max="21" width="13.875" customWidth="1"/>
    <col min="22" max="30" width="12.75" customWidth="1"/>
    <col min="31" max="31" width="13.875" customWidth="1"/>
    <col min="32" max="32" width="11.625" customWidth="1"/>
    <col min="33" max="41" width="8.5" customWidth="1"/>
    <col min="42" max="42" width="9.5" customWidth="1"/>
    <col min="44" max="44" width="10.5" customWidth="1"/>
    <col min="45" max="45" width="11.125" customWidth="1"/>
  </cols>
  <sheetData>
    <row r="1" spans="1:46" x14ac:dyDescent="0.15">
      <c r="A1" s="2">
        <v>1</v>
      </c>
      <c r="B1" s="2">
        <v>2</v>
      </c>
      <c r="C1" s="2">
        <v>3</v>
      </c>
      <c r="D1" s="2">
        <v>4</v>
      </c>
      <c r="E1" s="11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>
        <v>25</v>
      </c>
      <c r="Z1" s="2">
        <v>26</v>
      </c>
      <c r="AA1" s="2">
        <v>27</v>
      </c>
      <c r="AB1" s="2">
        <v>28</v>
      </c>
      <c r="AC1" s="2">
        <v>29</v>
      </c>
      <c r="AD1" s="2">
        <v>30</v>
      </c>
      <c r="AE1" s="2">
        <v>31</v>
      </c>
      <c r="AF1" s="2">
        <v>32</v>
      </c>
      <c r="AG1" s="2">
        <v>33</v>
      </c>
      <c r="AH1" s="2">
        <v>34</v>
      </c>
      <c r="AI1" s="2">
        <v>35</v>
      </c>
      <c r="AJ1" s="2">
        <v>36</v>
      </c>
      <c r="AK1" s="2">
        <v>37</v>
      </c>
      <c r="AL1" s="2">
        <v>38</v>
      </c>
      <c r="AM1" s="2">
        <v>39</v>
      </c>
      <c r="AN1" s="2">
        <v>40</v>
      </c>
      <c r="AO1" s="2">
        <v>41</v>
      </c>
      <c r="AP1" s="2">
        <v>42</v>
      </c>
      <c r="AQ1" s="2">
        <v>43</v>
      </c>
    </row>
    <row r="2" spans="1:46" x14ac:dyDescent="0.15">
      <c r="A2" s="1" t="s">
        <v>27</v>
      </c>
      <c r="B2" s="1" t="s">
        <v>28</v>
      </c>
      <c r="C2" s="1" t="s">
        <v>29</v>
      </c>
      <c r="D2" s="1" t="s">
        <v>30</v>
      </c>
      <c r="E2" s="12" t="s">
        <v>32</v>
      </c>
      <c r="F2" s="4" t="s">
        <v>38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39</v>
      </c>
      <c r="L2" s="4" t="s">
        <v>40</v>
      </c>
      <c r="M2" s="4" t="s">
        <v>42</v>
      </c>
      <c r="N2" s="28" t="s">
        <v>680</v>
      </c>
      <c r="O2" s="4" t="s">
        <v>43</v>
      </c>
      <c r="P2" s="4" t="s">
        <v>44</v>
      </c>
      <c r="Q2" s="4" t="s">
        <v>45</v>
      </c>
      <c r="R2" s="4" t="s">
        <v>46</v>
      </c>
      <c r="S2" s="12" t="s">
        <v>51</v>
      </c>
      <c r="T2" s="12" t="s">
        <v>52</v>
      </c>
      <c r="U2" s="4" t="s">
        <v>53</v>
      </c>
      <c r="V2" s="4" t="s">
        <v>54</v>
      </c>
      <c r="W2" s="4" t="s">
        <v>55</v>
      </c>
      <c r="X2" s="4" t="s">
        <v>56</v>
      </c>
      <c r="Y2" s="4" t="s">
        <v>57</v>
      </c>
      <c r="Z2" s="4" t="s">
        <v>58</v>
      </c>
      <c r="AA2" s="4" t="s">
        <v>59</v>
      </c>
      <c r="AB2" s="4" t="s">
        <v>60</v>
      </c>
      <c r="AC2" s="4" t="s">
        <v>61</v>
      </c>
      <c r="AD2" s="4" t="s">
        <v>62</v>
      </c>
      <c r="AE2" s="4" t="s">
        <v>63</v>
      </c>
      <c r="AF2" s="4" t="s">
        <v>70</v>
      </c>
      <c r="AG2" s="4" t="s">
        <v>71</v>
      </c>
      <c r="AH2" s="4" t="s">
        <v>72</v>
      </c>
      <c r="AI2" s="4" t="s">
        <v>73</v>
      </c>
      <c r="AJ2" s="4" t="s">
        <v>74</v>
      </c>
      <c r="AK2" s="4" t="s">
        <v>75</v>
      </c>
      <c r="AL2" s="4" t="s">
        <v>76</v>
      </c>
      <c r="AM2" s="4" t="s">
        <v>77</v>
      </c>
      <c r="AN2" s="4" t="s">
        <v>78</v>
      </c>
      <c r="AO2" s="4" t="s">
        <v>79</v>
      </c>
      <c r="AP2" s="4" t="s">
        <v>80</v>
      </c>
      <c r="AQ2" s="7" t="s">
        <v>262</v>
      </c>
      <c r="AR2" s="7" t="s">
        <v>263</v>
      </c>
      <c r="AS2" s="7" t="s">
        <v>264</v>
      </c>
      <c r="AT2" s="7" t="s">
        <v>274</v>
      </c>
    </row>
    <row r="3" spans="1:46" x14ac:dyDescent="0.15">
      <c r="A3" s="2">
        <v>1</v>
      </c>
      <c r="B3" s="2">
        <v>0</v>
      </c>
      <c r="C3" s="2">
        <v>1</v>
      </c>
      <c r="D3" s="2" t="s">
        <v>82</v>
      </c>
      <c r="E3" s="11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/>
      <c r="M3" s="2">
        <f>SUM(O3&gt;0,Q3&gt;0)</f>
        <v>0</v>
      </c>
      <c r="N3" s="2">
        <v>1</v>
      </c>
      <c r="O3" s="2">
        <v>0</v>
      </c>
      <c r="P3" s="2">
        <v>0</v>
      </c>
      <c r="Q3" s="2">
        <v>0</v>
      </c>
      <c r="R3" s="2">
        <v>0</v>
      </c>
      <c r="S3" s="11"/>
      <c r="T3" s="11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>
        <v>2</v>
      </c>
      <c r="AG3" s="2">
        <v>70</v>
      </c>
      <c r="AH3" s="2">
        <v>71</v>
      </c>
      <c r="AI3" s="2"/>
      <c r="AJ3" s="2"/>
      <c r="AK3" s="2"/>
      <c r="AL3" s="2"/>
      <c r="AM3" s="2"/>
      <c r="AN3" s="2"/>
      <c r="AO3" s="2"/>
      <c r="AP3" s="2"/>
      <c r="AQ3">
        <f t="shared" ref="AQ3:AQ93" si="0">IF(O3=1,P3,IF(Q3=1,R3,0))</f>
        <v>0</v>
      </c>
      <c r="AR3">
        <f>IF(ISERROR(VLOOKUP(IF(O3=4,P3,IF(Q3=4,R3,0)),[4]D_任务!$A$2:$B$132,2,FALSE)),IF(O3=4,P3,IF(Q3=4,R3,0)),VLOOKUP(IF(O3=4,P3,IF(Q3=4,R3,0)),[4]D_任务!$A$2:$B$132,2,FALSE))</f>
        <v>0</v>
      </c>
      <c r="AS3">
        <f t="shared" ref="AS3:AS66" si="1">IF(ISERROR(VLOOKUP(IF(O3=3,P3,IF(Q3=3,R3,0)),$A$3:$D$220,4,FALSE)),IF(O3=3,P3,IF(Q3=3,R3,0)),VLOOKUP(IF(O3=3,P3,IF(Q3=3,R3,0)),$A$3:$D$220,4,FALSE))</f>
        <v>0</v>
      </c>
    </row>
    <row r="4" spans="1:46" x14ac:dyDescent="0.15">
      <c r="A4" s="2">
        <v>2</v>
      </c>
      <c r="B4" s="2">
        <v>0</v>
      </c>
      <c r="C4" s="2">
        <v>2</v>
      </c>
      <c r="D4" s="2" t="s">
        <v>301</v>
      </c>
      <c r="E4" s="11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/>
      <c r="M4" s="2">
        <f>SUM(O4&gt;0,Q4&gt;0)</f>
        <v>2</v>
      </c>
      <c r="N4" s="2">
        <v>1</v>
      </c>
      <c r="O4" s="2">
        <v>1</v>
      </c>
      <c r="P4" s="2">
        <v>9</v>
      </c>
      <c r="Q4" s="2">
        <v>3</v>
      </c>
      <c r="R4" s="2">
        <v>1006</v>
      </c>
      <c r="S4" s="11"/>
      <c r="T4" s="11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>
        <v>3</v>
      </c>
      <c r="AG4" s="2">
        <v>60</v>
      </c>
      <c r="AH4" s="2">
        <v>61</v>
      </c>
      <c r="AI4" s="2">
        <v>62</v>
      </c>
      <c r="AJ4" s="2"/>
      <c r="AK4" s="2"/>
      <c r="AL4" s="2"/>
      <c r="AM4" s="2"/>
      <c r="AN4" s="2"/>
      <c r="AO4" s="2"/>
      <c r="AP4" s="2"/>
      <c r="AQ4">
        <f t="shared" si="0"/>
        <v>9</v>
      </c>
      <c r="AR4">
        <f>IF(ISERROR(VLOOKUP(IF(O4=4,P4,IF(Q4=4,R4,0)),[4]D_任务!$A$2:$B$132,2,FALSE)),IF(O4=4,P4,IF(Q4=4,R4,0)),VLOOKUP(IF(O4=4,P4,IF(Q4=4,R4,0)),[4]D_任务!$A$2:$B$132,2,FALSE))</f>
        <v>0</v>
      </c>
      <c r="AS4" t="str">
        <f t="shared" si="1"/>
        <v>逃出生天</v>
      </c>
    </row>
    <row r="5" spans="1:46" x14ac:dyDescent="0.15">
      <c r="A5" s="2">
        <v>3</v>
      </c>
      <c r="B5" s="2">
        <v>0</v>
      </c>
      <c r="C5" s="2">
        <v>3</v>
      </c>
      <c r="D5" s="2" t="s">
        <v>302</v>
      </c>
      <c r="E5" s="11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/>
      <c r="M5" s="2">
        <f t="shared" ref="M5:M95" si="2">SUM(O5&gt;0,Q5&gt;0)</f>
        <v>2</v>
      </c>
      <c r="N5" s="2">
        <v>1</v>
      </c>
      <c r="O5" s="2">
        <v>1</v>
      </c>
      <c r="P5" s="2">
        <v>20</v>
      </c>
      <c r="Q5" s="2">
        <v>3</v>
      </c>
      <c r="R5" s="2">
        <v>2006</v>
      </c>
      <c r="S5" s="11"/>
      <c r="T5" s="1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>
        <f t="shared" si="0"/>
        <v>20</v>
      </c>
      <c r="AR5">
        <f>IF(ISERROR(VLOOKUP(IF(O5=4,P5,IF(Q5=4,R5,0)),[4]D_任务!$A$2:$B$132,2,FALSE)),IF(O5=4,P5,IF(Q5=4,R5,0)),VLOOKUP(IF(O5=4,P5,IF(Q5=4,R5,0)),[4]D_任务!$A$2:$B$132,2,FALSE))</f>
        <v>0</v>
      </c>
      <c r="AS5" t="str">
        <f t="shared" si="1"/>
        <v>缓和契机</v>
      </c>
    </row>
    <row r="6" spans="1:46" x14ac:dyDescent="0.15">
      <c r="A6" s="2">
        <v>4</v>
      </c>
      <c r="B6" s="2">
        <v>0</v>
      </c>
      <c r="C6" s="2">
        <v>4</v>
      </c>
      <c r="D6" s="2" t="s">
        <v>303</v>
      </c>
      <c r="E6" s="11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/>
      <c r="M6" s="2">
        <f t="shared" si="2"/>
        <v>2</v>
      </c>
      <c r="N6" s="2">
        <v>1</v>
      </c>
      <c r="O6" s="2">
        <v>1</v>
      </c>
      <c r="P6" s="2">
        <v>29</v>
      </c>
      <c r="Q6" s="2">
        <v>3</v>
      </c>
      <c r="R6" s="2">
        <v>3006</v>
      </c>
      <c r="S6" s="11"/>
      <c r="T6" s="11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>
        <f t="shared" si="0"/>
        <v>29</v>
      </c>
      <c r="AR6">
        <f>IF(ISERROR(VLOOKUP(IF(O6=4,P6,IF(Q6=4,R6,0)),[4]D_任务!$A$2:$B$132,2,FALSE)),IF(O6=4,P6,IF(Q6=4,R6,0)),VLOOKUP(IF(O6=4,P6,IF(Q6=4,R6,0)),[4]D_任务!$A$2:$B$132,2,FALSE))</f>
        <v>0</v>
      </c>
      <c r="AS6" t="str">
        <f t="shared" si="1"/>
        <v>获取弹药</v>
      </c>
    </row>
    <row r="7" spans="1:46" x14ac:dyDescent="0.15">
      <c r="A7" s="2">
        <v>5</v>
      </c>
      <c r="B7" s="2">
        <v>0</v>
      </c>
      <c r="C7" s="2">
        <v>5</v>
      </c>
      <c r="D7" s="2" t="s">
        <v>83</v>
      </c>
      <c r="E7" s="11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/>
      <c r="M7" s="2">
        <f t="shared" si="2"/>
        <v>2</v>
      </c>
      <c r="N7" s="2">
        <v>1</v>
      </c>
      <c r="O7" s="2">
        <v>1</v>
      </c>
      <c r="P7" s="2">
        <v>35</v>
      </c>
      <c r="Q7" s="2">
        <v>3</v>
      </c>
      <c r="R7" s="2">
        <v>4006</v>
      </c>
      <c r="S7" s="11"/>
      <c r="T7" s="11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>
        <f t="shared" si="0"/>
        <v>35</v>
      </c>
      <c r="AR7">
        <f>IF(ISERROR(VLOOKUP(IF(O7=4,P7,IF(Q7=4,R7,0)),[4]D_任务!$A$2:$B$132,2,FALSE)),IF(O7=4,P7,IF(Q7=4,R7,0)),VLOOKUP(IF(O7=4,P7,IF(Q7=4,R7,0)),[4]D_任务!$A$2:$B$132,2,FALSE))</f>
        <v>0</v>
      </c>
      <c r="AS7" t="str">
        <f t="shared" si="1"/>
        <v>调虎离山</v>
      </c>
    </row>
    <row r="8" spans="1:46" x14ac:dyDescent="0.15">
      <c r="A8" s="2">
        <v>6</v>
      </c>
      <c r="B8" s="2">
        <v>0</v>
      </c>
      <c r="C8" s="2">
        <v>6</v>
      </c>
      <c r="D8" s="2" t="s">
        <v>84</v>
      </c>
      <c r="E8" s="11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/>
      <c r="M8" s="2">
        <f t="shared" si="2"/>
        <v>2</v>
      </c>
      <c r="N8" s="2">
        <v>1</v>
      </c>
      <c r="O8" s="2">
        <v>1</v>
      </c>
      <c r="P8" s="2">
        <v>41</v>
      </c>
      <c r="Q8" s="2">
        <v>3</v>
      </c>
      <c r="R8" s="2">
        <v>5006</v>
      </c>
      <c r="S8" s="11"/>
      <c r="T8" s="11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>
        <f t="shared" si="0"/>
        <v>41</v>
      </c>
      <c r="AR8">
        <f>IF(ISERROR(VLOOKUP(IF(O8=4,P8,IF(Q8=4,R8,0)),[4]D_任务!$A$2:$B$132,2,FALSE)),IF(O8=4,P8,IF(Q8=4,R8,0)),VLOOKUP(IF(O8=4,P8,IF(Q8=4,R8,0)),[4]D_任务!$A$2:$B$132,2,FALSE))</f>
        <v>0</v>
      </c>
      <c r="AS8" t="str">
        <f t="shared" si="1"/>
        <v>备战拳赛</v>
      </c>
    </row>
    <row r="9" spans="1:46" x14ac:dyDescent="0.15">
      <c r="A9" s="2">
        <v>7</v>
      </c>
      <c r="B9" s="2">
        <v>0</v>
      </c>
      <c r="C9" s="2">
        <v>7</v>
      </c>
      <c r="D9" s="2" t="s">
        <v>304</v>
      </c>
      <c r="E9" s="11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/>
      <c r="M9" s="2">
        <f t="shared" si="2"/>
        <v>2</v>
      </c>
      <c r="N9" s="2">
        <v>1</v>
      </c>
      <c r="O9" s="2">
        <v>1</v>
      </c>
      <c r="P9" s="2">
        <v>47</v>
      </c>
      <c r="Q9" s="2">
        <v>3</v>
      </c>
      <c r="R9" s="2">
        <v>6006</v>
      </c>
      <c r="S9" s="11"/>
      <c r="T9" s="11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>
        <f t="shared" si="0"/>
        <v>47</v>
      </c>
      <c r="AR9">
        <f>IF(ISERROR(VLOOKUP(IF(O9=4,P9,IF(Q9=4,R9,0)),[4]D_任务!$A$2:$B$132,2,FALSE)),IF(O9=4,P9,IF(Q9=4,R9,0)),VLOOKUP(IF(O9=4,P9,IF(Q9=4,R9,0)),[4]D_任务!$A$2:$B$132,2,FALSE))</f>
        <v>0</v>
      </c>
      <c r="AS9" t="str">
        <f t="shared" si="1"/>
        <v>力克强敌</v>
      </c>
    </row>
    <row r="10" spans="1:46" x14ac:dyDescent="0.15">
      <c r="A10" s="2">
        <v>8</v>
      </c>
      <c r="B10" s="2">
        <v>0</v>
      </c>
      <c r="C10" s="2">
        <v>8</v>
      </c>
      <c r="D10" s="2" t="s">
        <v>85</v>
      </c>
      <c r="E10" s="11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/>
      <c r="M10" s="2">
        <f t="shared" si="2"/>
        <v>2</v>
      </c>
      <c r="N10" s="2">
        <v>1</v>
      </c>
      <c r="O10" s="2">
        <v>1</v>
      </c>
      <c r="P10" s="2">
        <v>53</v>
      </c>
      <c r="Q10" s="2">
        <v>3</v>
      </c>
      <c r="R10" s="2">
        <v>7006</v>
      </c>
      <c r="S10" s="11"/>
      <c r="T10" s="11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>
        <v>2</v>
      </c>
      <c r="AG10" s="2">
        <v>70</v>
      </c>
      <c r="AH10" s="2">
        <v>71</v>
      </c>
      <c r="AI10" s="2"/>
      <c r="AJ10" s="2"/>
      <c r="AK10" s="2"/>
      <c r="AL10" s="2"/>
      <c r="AM10" s="2"/>
      <c r="AN10" s="2"/>
      <c r="AO10" s="2"/>
      <c r="AP10" s="2"/>
      <c r="AQ10">
        <f t="shared" si="0"/>
        <v>53</v>
      </c>
      <c r="AR10">
        <f>IF(ISERROR(VLOOKUP(IF(O10=4,P10,IF(Q10=4,R10,0)),[4]D_任务!$A$2:$B$132,2,FALSE)),IF(O10=4,P10,IF(Q10=4,R10,0)),VLOOKUP(IF(O10=4,P10,IF(Q10=4,R10,0)),[4]D_任务!$A$2:$B$132,2,FALSE))</f>
        <v>0</v>
      </c>
      <c r="AS10" t="str">
        <f t="shared" si="1"/>
        <v>恶虎下山</v>
      </c>
    </row>
    <row r="11" spans="1:46" x14ac:dyDescent="0.15">
      <c r="A11" s="2">
        <v>1001</v>
      </c>
      <c r="B11" s="2">
        <v>1</v>
      </c>
      <c r="C11" s="2">
        <v>1</v>
      </c>
      <c r="D11" s="8" t="s">
        <v>344</v>
      </c>
      <c r="E11" s="11">
        <f>IFERROR(VLOOKUP(C11,[3]副本规划!$Y$20:$Z$27,2,0),E10)</f>
        <v>6</v>
      </c>
      <c r="F11" s="2">
        <f>IFERROR(ROUNDUP(VLOOKUP(T11,CHOOSE({1,2},[5]D_怪物表!$I$1:$I$1120,[5]D_怪物表!$AH$1:$AH$1120),2,FALSE),0),0)</f>
        <v>109</v>
      </c>
      <c r="G11" s="2">
        <v>1</v>
      </c>
      <c r="H11" s="2">
        <v>1</v>
      </c>
      <c r="I11" s="2">
        <v>0</v>
      </c>
      <c r="J11" s="2">
        <v>0</v>
      </c>
      <c r="K11" s="2">
        <v>0</v>
      </c>
      <c r="L11" s="2"/>
      <c r="M11" s="2">
        <f t="shared" si="2"/>
        <v>0</v>
      </c>
      <c r="N11" s="2">
        <v>1</v>
      </c>
      <c r="O11" s="2">
        <v>0</v>
      </c>
      <c r="P11" s="2">
        <v>0</v>
      </c>
      <c r="Q11" s="2">
        <v>0</v>
      </c>
      <c r="R11" s="2">
        <v>0</v>
      </c>
      <c r="S11" s="11">
        <f>50*10000+A11</f>
        <v>501001</v>
      </c>
      <c r="T11" s="11">
        <f>100104+MOD(A11,100)*1000+INT(A11/1000)*10000</f>
        <v>111104</v>
      </c>
      <c r="U11" s="2">
        <v>2</v>
      </c>
      <c r="V11" s="14">
        <f>100101+MOD(A11,100)*1000+INT(A11/1000)*10000</f>
        <v>111101</v>
      </c>
      <c r="W11" s="14">
        <f>V11+1</f>
        <v>111102</v>
      </c>
      <c r="X11" s="14"/>
      <c r="Y11" s="2"/>
      <c r="Z11" s="2"/>
      <c r="AA11" s="2"/>
      <c r="AB11" s="2"/>
      <c r="AC11" s="2"/>
      <c r="AD11" s="2"/>
      <c r="AE11" s="2"/>
      <c r="AF11" s="2">
        <v>3</v>
      </c>
      <c r="AG11" s="2">
        <v>512</v>
      </c>
      <c r="AH11" s="2">
        <v>519</v>
      </c>
      <c r="AI11" s="2">
        <v>525</v>
      </c>
      <c r="AJ11" s="2"/>
      <c r="AK11" s="2"/>
      <c r="AL11" s="2"/>
      <c r="AM11" s="2"/>
      <c r="AN11" s="2"/>
      <c r="AO11" s="2"/>
      <c r="AP11" s="2"/>
      <c r="AQ11">
        <f t="shared" si="0"/>
        <v>0</v>
      </c>
      <c r="AR11">
        <f>IF(ISERROR(VLOOKUP(IF(O11=4,P11,IF(Q11=4,R11,0)),[4]D_任务!$A$2:$B$132,2,FALSE)),IF(O11=4,P11,IF(Q11=4,R11,0)),VLOOKUP(IF(O11=4,P11,IF(Q11=4,R11,0)),[4]D_任务!$A$2:$B$132,2,FALSE))</f>
        <v>0</v>
      </c>
      <c r="AS11">
        <f t="shared" si="1"/>
        <v>0</v>
      </c>
      <c r="AT11">
        <f>VLOOKUP(A11,CHOOSE({1,2},[5]怪物信息表!$C$5:$C$77,[5]怪物信息表!$B$5:$B$77),2,FALSE)</f>
        <v>2</v>
      </c>
    </row>
    <row r="12" spans="1:46" x14ac:dyDescent="0.15">
      <c r="A12" s="2">
        <v>1002</v>
      </c>
      <c r="B12" s="2">
        <v>1</v>
      </c>
      <c r="C12" s="2">
        <v>1</v>
      </c>
      <c r="D12" s="8" t="s">
        <v>343</v>
      </c>
      <c r="E12" s="11">
        <f>IFERROR(VLOOKUP(C12,[3]副本规划!$Y$20:$Z$27,2,0),E11)</f>
        <v>6</v>
      </c>
      <c r="F12" s="2">
        <f>IFERROR(ROUNDUP(VLOOKUP(T12,CHOOSE({1,2},[5]D_怪物表!$I$1:$I$1120,[5]D_怪物表!$AH$1:$AH$1120),2,FALSE),0),0)</f>
        <v>123</v>
      </c>
      <c r="G12" s="2">
        <v>1</v>
      </c>
      <c r="H12" s="2">
        <v>1</v>
      </c>
      <c r="I12" s="2">
        <v>0</v>
      </c>
      <c r="J12" s="2">
        <v>0</v>
      </c>
      <c r="K12" s="2">
        <v>0</v>
      </c>
      <c r="L12" s="2"/>
      <c r="M12" s="2">
        <f t="shared" si="2"/>
        <v>1</v>
      </c>
      <c r="N12" s="2">
        <v>1</v>
      </c>
      <c r="O12" s="2">
        <v>3</v>
      </c>
      <c r="P12" s="2">
        <v>1001</v>
      </c>
      <c r="Q12" s="2">
        <v>0</v>
      </c>
      <c r="R12" s="2">
        <v>0</v>
      </c>
      <c r="S12" s="11">
        <f t="shared" ref="S12:S105" si="3">50*10000+A12</f>
        <v>501002</v>
      </c>
      <c r="T12" s="11">
        <f t="shared" ref="T12:T75" si="4">100104+MOD(A12,100)*1000+INT(A12/1000)*10000</f>
        <v>112104</v>
      </c>
      <c r="U12" s="2">
        <v>2</v>
      </c>
      <c r="V12" s="14">
        <f t="shared" ref="V12:V75" si="5">100101+MOD(A12,100)*1000+INT(A12/1000)*10000</f>
        <v>112101</v>
      </c>
      <c r="W12" s="14">
        <f t="shared" ref="W12:X75" si="6">V12+1</f>
        <v>112102</v>
      </c>
      <c r="X12" s="14"/>
      <c r="Y12" s="2"/>
      <c r="Z12" s="2"/>
      <c r="AA12" s="2"/>
      <c r="AB12" s="2"/>
      <c r="AC12" s="2"/>
      <c r="AD12" s="2"/>
      <c r="AE12" s="2"/>
      <c r="AF12" s="2">
        <v>3</v>
      </c>
      <c r="AG12" s="2">
        <v>234</v>
      </c>
      <c r="AH12" s="2">
        <v>240</v>
      </c>
      <c r="AI12" s="2">
        <v>270</v>
      </c>
      <c r="AJ12" s="2"/>
      <c r="AK12" s="2"/>
      <c r="AL12" s="2"/>
      <c r="AM12" s="2"/>
      <c r="AN12" s="2"/>
      <c r="AO12" s="2"/>
      <c r="AP12" s="2"/>
      <c r="AQ12">
        <f t="shared" si="0"/>
        <v>0</v>
      </c>
      <c r="AR12">
        <f>IF(ISERROR(VLOOKUP(IF(O12=4,P12,IF(Q12=4,R12,0)),[4]D_任务!$A$2:$B$132,2,FALSE)),IF(O12=4,P12,IF(Q12=4,R12,0)),VLOOKUP(IF(O12=4,P12,IF(Q12=4,R12,0)),[4]D_任务!$A$2:$B$132,2,FALSE))</f>
        <v>0</v>
      </c>
      <c r="AS12" t="str">
        <f t="shared" si="1"/>
        <v>浴室砍巴闭</v>
      </c>
      <c r="AT12">
        <f>VLOOKUP(A12,CHOOSE({1,2},[5]怪物信息表!$C$5:$C$77,[5]怪物信息表!$B$5:$B$77),2,FALSE)</f>
        <v>3</v>
      </c>
    </row>
    <row r="13" spans="1:46" x14ac:dyDescent="0.15">
      <c r="A13" s="2">
        <v>1003</v>
      </c>
      <c r="B13" s="2">
        <v>1</v>
      </c>
      <c r="C13" s="2">
        <v>1</v>
      </c>
      <c r="D13" s="8" t="s">
        <v>345</v>
      </c>
      <c r="E13" s="11">
        <f>IFERROR(VLOOKUP(C13,[3]副本规划!$Y$20:$Z$27,2,0),E12)</f>
        <v>6</v>
      </c>
      <c r="F13" s="2">
        <f>IFERROR(ROUNDUP(VLOOKUP(T13,CHOOSE({1,2},[5]D_怪物表!$I$1:$I$1120,[5]D_怪物表!$AH$1:$AH$1120),2,FALSE),0),0)</f>
        <v>112</v>
      </c>
      <c r="G13" s="2">
        <v>1</v>
      </c>
      <c r="H13" s="2">
        <v>1</v>
      </c>
      <c r="I13" s="2">
        <v>0</v>
      </c>
      <c r="J13" s="2">
        <v>0</v>
      </c>
      <c r="K13" s="2">
        <v>0</v>
      </c>
      <c r="L13" s="2"/>
      <c r="M13" s="2">
        <f t="shared" si="2"/>
        <v>1</v>
      </c>
      <c r="N13" s="2">
        <v>1</v>
      </c>
      <c r="O13" s="2">
        <v>3</v>
      </c>
      <c r="P13" s="2">
        <v>1002</v>
      </c>
      <c r="Q13" s="2">
        <v>0</v>
      </c>
      <c r="R13" s="2">
        <v>0</v>
      </c>
      <c r="S13" s="11">
        <f t="shared" si="3"/>
        <v>501003</v>
      </c>
      <c r="T13" s="11">
        <f t="shared" si="4"/>
        <v>113104</v>
      </c>
      <c r="U13" s="2">
        <v>2</v>
      </c>
      <c r="V13" s="14">
        <f t="shared" si="5"/>
        <v>113101</v>
      </c>
      <c r="W13" s="14">
        <f t="shared" si="6"/>
        <v>113102</v>
      </c>
      <c r="X13" s="14"/>
      <c r="Y13" s="2"/>
      <c r="Z13" s="2"/>
      <c r="AA13" s="2"/>
      <c r="AB13" s="2"/>
      <c r="AC13" s="2"/>
      <c r="AD13" s="2"/>
      <c r="AE13" s="2"/>
      <c r="AF13" s="2">
        <v>3</v>
      </c>
      <c r="AG13" s="2">
        <v>69</v>
      </c>
      <c r="AH13" s="2">
        <v>80</v>
      </c>
      <c r="AI13" s="2">
        <v>101</v>
      </c>
      <c r="AJ13" s="2"/>
      <c r="AK13" s="2"/>
      <c r="AL13" s="2"/>
      <c r="AM13" s="2"/>
      <c r="AN13" s="2"/>
      <c r="AO13" s="2"/>
      <c r="AP13" s="2"/>
      <c r="AQ13">
        <f t="shared" si="0"/>
        <v>0</v>
      </c>
      <c r="AR13">
        <f>IF(ISERROR(VLOOKUP(IF(O13=4,P13,IF(Q13=4,R13,0)),[4]D_任务!$A$2:$B$132,2,FALSE)),IF(O13=4,P13,IF(Q13=4,R13,0)),VLOOKUP(IF(O13=4,P13,IF(Q13=4,R13,0)),[4]D_任务!$A$2:$B$132,2,FALSE))</f>
        <v>0</v>
      </c>
      <c r="AS13" t="str">
        <f t="shared" si="1"/>
        <v>西贡打大傻</v>
      </c>
      <c r="AT13">
        <f>VLOOKUP(A13,CHOOSE({1,2},[5]怪物信息表!$C$5:$C$77,[5]怪物信息表!$B$5:$B$77),2,FALSE)</f>
        <v>4</v>
      </c>
    </row>
    <row r="14" spans="1:46" x14ac:dyDescent="0.15">
      <c r="A14" s="2">
        <v>1004</v>
      </c>
      <c r="B14" s="2">
        <v>1</v>
      </c>
      <c r="C14" s="2">
        <v>1</v>
      </c>
      <c r="D14" s="8" t="s">
        <v>593</v>
      </c>
      <c r="E14" s="11">
        <f>IFERROR(VLOOKUP(C14,[3]副本规划!$Y$20:$Z$27,2,0),E13)</f>
        <v>6</v>
      </c>
      <c r="F14" s="2">
        <f>IFERROR(ROUNDUP(VLOOKUP(T14,CHOOSE({1,2},[5]D_怪物表!$I$1:$I$1120,[5]D_怪物表!$AH$1:$AH$1120),2,FALSE),0),0)</f>
        <v>123</v>
      </c>
      <c r="G14" s="2">
        <v>1</v>
      </c>
      <c r="H14" s="2">
        <v>1</v>
      </c>
      <c r="I14" s="2">
        <v>0</v>
      </c>
      <c r="J14" s="2">
        <v>0</v>
      </c>
      <c r="K14" s="2">
        <v>0</v>
      </c>
      <c r="L14" s="2"/>
      <c r="M14" s="2">
        <f t="shared" si="2"/>
        <v>1</v>
      </c>
      <c r="N14" s="2">
        <v>1</v>
      </c>
      <c r="O14" s="2">
        <v>3</v>
      </c>
      <c r="P14" s="2">
        <v>1003</v>
      </c>
      <c r="Q14" s="2">
        <v>0</v>
      </c>
      <c r="R14" s="2">
        <v>0</v>
      </c>
      <c r="S14" s="11">
        <f t="shared" si="3"/>
        <v>501004</v>
      </c>
      <c r="T14" s="11">
        <f t="shared" si="4"/>
        <v>114104</v>
      </c>
      <c r="U14" s="2">
        <v>2</v>
      </c>
      <c r="V14" s="14">
        <f t="shared" si="5"/>
        <v>114101</v>
      </c>
      <c r="W14" s="14">
        <f t="shared" si="6"/>
        <v>114102</v>
      </c>
      <c r="X14" s="14"/>
      <c r="Y14" s="2"/>
      <c r="Z14" s="2"/>
      <c r="AA14" s="2"/>
      <c r="AB14" s="2"/>
      <c r="AC14" s="2"/>
      <c r="AD14" s="2"/>
      <c r="AE14" s="2"/>
      <c r="AF14" s="2">
        <v>4</v>
      </c>
      <c r="AG14" s="2">
        <v>326</v>
      </c>
      <c r="AH14" s="2">
        <v>327</v>
      </c>
      <c r="AI14" s="2">
        <v>328</v>
      </c>
      <c r="AJ14" s="2">
        <v>329</v>
      </c>
      <c r="AK14" s="2"/>
      <c r="AL14" s="2"/>
      <c r="AM14" s="2"/>
      <c r="AN14" s="2"/>
      <c r="AO14" s="2"/>
      <c r="AP14" s="2"/>
      <c r="AQ14">
        <f t="shared" si="0"/>
        <v>0</v>
      </c>
      <c r="AR14">
        <f>IF(ISERROR(VLOOKUP(IF(O14=4,P14,IF(Q14=4,R14,0)),[4]D_任务!$A$2:$B$132,2,FALSE)),IF(O14=4,P14,IF(Q14=4,R14,0)),VLOOKUP(IF(O14=4,P14,IF(Q14=4,R14,0)),[4]D_任务!$A$2:$B$132,2,FALSE))</f>
        <v>0</v>
      </c>
      <c r="AS14" t="str">
        <f t="shared" si="1"/>
        <v>戏逗小结巴</v>
      </c>
      <c r="AT14">
        <f>VLOOKUP(A14,CHOOSE({1,2},[5]怪物信息表!$C$5:$C$77,[5]怪物信息表!$B$5:$B$77),2,FALSE)</f>
        <v>5</v>
      </c>
    </row>
    <row r="15" spans="1:46" x14ac:dyDescent="0.15">
      <c r="A15" s="2">
        <v>1005</v>
      </c>
      <c r="B15" s="2">
        <v>1</v>
      </c>
      <c r="C15" s="2">
        <v>1</v>
      </c>
      <c r="D15" s="8" t="s">
        <v>592</v>
      </c>
      <c r="E15" s="11">
        <f>IFERROR(VLOOKUP(C15,[3]副本规划!$Y$20:$Z$27,2,0),E14)</f>
        <v>6</v>
      </c>
      <c r="F15" s="2">
        <f>IFERROR(ROUNDUP(VLOOKUP(T15,CHOOSE({1,2},[5]D_怪物表!$I$1:$I$1120,[5]D_怪物表!$AH$1:$AH$1120),2,FALSE),0),0)</f>
        <v>217</v>
      </c>
      <c r="G15" s="2">
        <v>1</v>
      </c>
      <c r="H15" s="2">
        <v>1</v>
      </c>
      <c r="I15" s="2">
        <v>0</v>
      </c>
      <c r="J15" s="2">
        <v>0</v>
      </c>
      <c r="K15" s="2">
        <v>0</v>
      </c>
      <c r="L15" s="2"/>
      <c r="M15" s="2">
        <f t="shared" si="2"/>
        <v>1</v>
      </c>
      <c r="N15" s="2">
        <v>1</v>
      </c>
      <c r="O15" s="2">
        <v>3</v>
      </c>
      <c r="P15" s="2">
        <v>1004</v>
      </c>
      <c r="Q15" s="2">
        <v>0</v>
      </c>
      <c r="R15" s="2">
        <v>0</v>
      </c>
      <c r="S15" s="11">
        <f t="shared" si="3"/>
        <v>501005</v>
      </c>
      <c r="T15" s="11">
        <f t="shared" si="4"/>
        <v>115104</v>
      </c>
      <c r="U15" s="2">
        <v>2</v>
      </c>
      <c r="V15" s="14">
        <f t="shared" si="5"/>
        <v>115101</v>
      </c>
      <c r="W15" s="14">
        <f t="shared" si="6"/>
        <v>115102</v>
      </c>
      <c r="X15" s="14"/>
      <c r="Y15" s="2"/>
      <c r="Z15" s="2"/>
      <c r="AA15" s="2"/>
      <c r="AB15" s="2"/>
      <c r="AC15" s="2"/>
      <c r="AD15" s="2"/>
      <c r="AE15" s="2"/>
      <c r="AF15" s="2">
        <v>4</v>
      </c>
      <c r="AG15" s="2">
        <v>15</v>
      </c>
      <c r="AH15" s="2">
        <v>21</v>
      </c>
      <c r="AI15" s="2">
        <v>27</v>
      </c>
      <c r="AJ15" s="2">
        <v>355</v>
      </c>
      <c r="AK15" s="2">
        <v>566</v>
      </c>
      <c r="AL15" s="2"/>
      <c r="AM15" s="2"/>
      <c r="AN15" s="2"/>
      <c r="AO15" s="2"/>
      <c r="AP15" s="2"/>
      <c r="AQ15">
        <f t="shared" si="0"/>
        <v>0</v>
      </c>
      <c r="AR15">
        <f>IF(ISERROR(VLOOKUP(IF(O15=4,P15,IF(Q15=4,R15,0)),[4]D_任务!$A$2:$B$132,2,FALSE)),IF(O15=4,P15,IF(Q15=4,R15,0)),VLOOKUP(IF(O15=4,P15,IF(Q15=4,R15,0)),[4]D_任务!$A$2:$B$132,2,FALSE))</f>
        <v>0</v>
      </c>
      <c r="AS15" t="str">
        <f t="shared" si="1"/>
        <v>秘密任务</v>
      </c>
      <c r="AT15">
        <f>VLOOKUP(A15,CHOOSE({1,2},[5]怪物信息表!$C$5:$C$77,[5]怪物信息表!$B$5:$B$77),2,FALSE)</f>
        <v>6</v>
      </c>
    </row>
    <row r="16" spans="1:46" x14ac:dyDescent="0.15">
      <c r="A16" s="2">
        <v>1006</v>
      </c>
      <c r="B16" s="2">
        <v>1</v>
      </c>
      <c r="C16" s="2">
        <v>1</v>
      </c>
      <c r="D16" s="8" t="s">
        <v>594</v>
      </c>
      <c r="E16" s="11">
        <f>IFERROR(VLOOKUP(C16,[3]副本规划!$Y$20:$Z$27,2,0),E15)</f>
        <v>6</v>
      </c>
      <c r="F16" s="2">
        <f>IFERROR(ROUNDUP(VLOOKUP(T16,CHOOSE({1,2},[5]D_怪物表!$I$1:$I$1120,[5]D_怪物表!$AH$1:$AH$1120),2,FALSE),0),0)</f>
        <v>264</v>
      </c>
      <c r="G16" s="2">
        <v>1</v>
      </c>
      <c r="H16" s="2">
        <v>1</v>
      </c>
      <c r="I16" s="2">
        <v>0</v>
      </c>
      <c r="J16" s="2">
        <v>0</v>
      </c>
      <c r="K16" s="2">
        <v>0</v>
      </c>
      <c r="L16" s="2"/>
      <c r="M16" s="2">
        <f t="shared" si="2"/>
        <v>1</v>
      </c>
      <c r="N16" s="2">
        <v>1</v>
      </c>
      <c r="O16" s="2">
        <v>3</v>
      </c>
      <c r="P16" s="2">
        <v>1005</v>
      </c>
      <c r="Q16" s="2">
        <v>0</v>
      </c>
      <c r="R16" s="2">
        <v>0</v>
      </c>
      <c r="S16" s="11">
        <f t="shared" si="3"/>
        <v>501006</v>
      </c>
      <c r="T16" s="11">
        <f t="shared" si="4"/>
        <v>116104</v>
      </c>
      <c r="U16" s="2">
        <v>2</v>
      </c>
      <c r="V16" s="14">
        <f t="shared" si="5"/>
        <v>116101</v>
      </c>
      <c r="W16" s="14">
        <f t="shared" si="6"/>
        <v>116102</v>
      </c>
      <c r="X16" s="14"/>
      <c r="Y16" s="2"/>
      <c r="Z16" s="2"/>
      <c r="AA16" s="2"/>
      <c r="AB16" s="2"/>
      <c r="AC16" s="2"/>
      <c r="AD16" s="2"/>
      <c r="AE16" s="2"/>
      <c r="AF16" s="2">
        <v>5</v>
      </c>
      <c r="AG16" s="2">
        <v>11</v>
      </c>
      <c r="AH16" s="2">
        <v>20</v>
      </c>
      <c r="AI16" s="2">
        <v>29</v>
      </c>
      <c r="AJ16" s="2">
        <v>158</v>
      </c>
      <c r="AK16" s="2">
        <v>415</v>
      </c>
      <c r="AL16" s="2"/>
      <c r="AM16" s="2"/>
      <c r="AN16" s="2"/>
      <c r="AO16" s="2"/>
      <c r="AP16" s="2"/>
      <c r="AQ16">
        <f t="shared" si="0"/>
        <v>0</v>
      </c>
      <c r="AR16">
        <f>IF(ISERROR(VLOOKUP(IF(O16=4,P16,IF(Q16=4,R16,0)),[4]D_任务!$A$2:$B$132,2,FALSE)),IF(O16=4,P16,IF(Q16=4,R16,0)),VLOOKUP(IF(O16=4,P16,IF(Q16=4,R16,0)),[4]D_任务!$A$2:$B$132,2,FALSE))</f>
        <v>0</v>
      </c>
      <c r="AS16" t="str">
        <f t="shared" si="1"/>
        <v>遭遇埋伏</v>
      </c>
      <c r="AT16">
        <f>VLOOKUP(A16,CHOOSE({1,2},[5]怪物信息表!$C$5:$C$77,[5]怪物信息表!$B$5:$B$77),2,FALSE)</f>
        <v>7</v>
      </c>
    </row>
    <row r="17" spans="1:46" x14ac:dyDescent="0.15">
      <c r="A17" s="2">
        <v>1007</v>
      </c>
      <c r="B17" s="2">
        <v>1</v>
      </c>
      <c r="C17" s="2">
        <v>1</v>
      </c>
      <c r="D17" s="8" t="s">
        <v>595</v>
      </c>
      <c r="E17" s="11">
        <f>IFERROR(VLOOKUP(C17,[3]副本规划!$Y$20:$Z$27,2,0),E16)</f>
        <v>6</v>
      </c>
      <c r="F17" s="2">
        <f>IFERROR(ROUNDUP(VLOOKUP(T17,CHOOSE({1,2},[5]D_怪物表!$I$1:$I$1120,[5]D_怪物表!$AH$1:$AH$1120),2,FALSE),0),0)</f>
        <v>310</v>
      </c>
      <c r="G17" s="2">
        <v>1</v>
      </c>
      <c r="H17" s="2">
        <v>1</v>
      </c>
      <c r="I17" s="2">
        <v>0</v>
      </c>
      <c r="J17" s="2">
        <v>0</v>
      </c>
      <c r="K17" s="2">
        <v>0</v>
      </c>
      <c r="L17" s="2"/>
      <c r="M17" s="2">
        <f t="shared" ref="M17:M19" si="7">SUM(O17&gt;0,Q17&gt;0)</f>
        <v>1</v>
      </c>
      <c r="N17" s="2">
        <v>1</v>
      </c>
      <c r="O17" s="2">
        <v>3</v>
      </c>
      <c r="P17" s="2">
        <v>1006</v>
      </c>
      <c r="Q17" s="2">
        <v>0</v>
      </c>
      <c r="R17" s="2">
        <v>0</v>
      </c>
      <c r="S17" s="11">
        <f t="shared" ref="S17:S19" si="8">50*10000+A17</f>
        <v>501007</v>
      </c>
      <c r="T17" s="11">
        <f t="shared" si="4"/>
        <v>117104</v>
      </c>
      <c r="U17" s="2">
        <v>2</v>
      </c>
      <c r="V17" s="14">
        <f t="shared" si="5"/>
        <v>117101</v>
      </c>
      <c r="W17" s="14">
        <f t="shared" si="6"/>
        <v>117102</v>
      </c>
      <c r="X17" s="14"/>
      <c r="Y17" s="2"/>
      <c r="Z17" s="2"/>
      <c r="AA17" s="2"/>
      <c r="AB17" s="2"/>
      <c r="AC17" s="2"/>
      <c r="AD17" s="2"/>
      <c r="AE17" s="2"/>
      <c r="AF17" s="2">
        <v>4</v>
      </c>
      <c r="AG17" s="2">
        <v>326</v>
      </c>
      <c r="AH17" s="2">
        <v>327</v>
      </c>
      <c r="AI17" s="2">
        <v>328</v>
      </c>
      <c r="AJ17" s="2">
        <v>329</v>
      </c>
      <c r="AK17" s="2">
        <v>455</v>
      </c>
      <c r="AL17" s="2">
        <v>459</v>
      </c>
      <c r="AM17" s="2"/>
      <c r="AN17" s="2"/>
      <c r="AO17" s="2"/>
      <c r="AP17" s="2"/>
      <c r="AQ17">
        <f t="shared" ref="AQ17:AQ19" si="9">IF(O17=1,P17,IF(Q17=1,R17,0))</f>
        <v>0</v>
      </c>
      <c r="AR17">
        <f>IF(ISERROR(VLOOKUP(IF(O17=4,P17,IF(Q17=4,R17,0)),[4]D_任务!$A$2:$B$132,2,FALSE)),IF(O17=4,P17,IF(Q17=4,R17,0)),VLOOKUP(IF(O17=4,P17,IF(Q17=4,R17,0)),[4]D_任务!$A$2:$B$132,2,FALSE))</f>
        <v>0</v>
      </c>
      <c r="AS17" t="str">
        <f t="shared" si="1"/>
        <v>逃出生天</v>
      </c>
      <c r="AT17">
        <f>VLOOKUP(A17,CHOOSE({1,2},[5]怪物信息表!$C$5:$C$77,[5]怪物信息表!$B$5:$B$77),2,FALSE)</f>
        <v>8</v>
      </c>
    </row>
    <row r="18" spans="1:46" x14ac:dyDescent="0.15">
      <c r="A18" s="2">
        <v>1008</v>
      </c>
      <c r="B18" s="2">
        <v>1</v>
      </c>
      <c r="C18" s="2">
        <v>1</v>
      </c>
      <c r="D18" s="8" t="s">
        <v>596</v>
      </c>
      <c r="E18" s="11">
        <f>IFERROR(VLOOKUP(C18,[3]副本规划!$Y$20:$Z$27,2,0),E17)</f>
        <v>6</v>
      </c>
      <c r="F18" s="2">
        <f>IFERROR(ROUNDUP(VLOOKUP(T18,CHOOSE({1,2},[5]D_怪物表!$I$1:$I$1120,[5]D_怪物表!$AH$1:$AH$1120),2,FALSE),0),0)</f>
        <v>411</v>
      </c>
      <c r="G18" s="2">
        <v>1</v>
      </c>
      <c r="H18" s="2">
        <v>1</v>
      </c>
      <c r="I18" s="2">
        <v>0</v>
      </c>
      <c r="J18" s="2">
        <v>0</v>
      </c>
      <c r="K18" s="2">
        <v>0</v>
      </c>
      <c r="L18" s="2"/>
      <c r="M18" s="2">
        <f t="shared" si="7"/>
        <v>1</v>
      </c>
      <c r="N18" s="2">
        <v>1</v>
      </c>
      <c r="O18" s="2">
        <v>3</v>
      </c>
      <c r="P18" s="2">
        <v>1007</v>
      </c>
      <c r="Q18" s="2">
        <v>0</v>
      </c>
      <c r="R18" s="2">
        <v>0</v>
      </c>
      <c r="S18" s="11">
        <f t="shared" si="8"/>
        <v>501008</v>
      </c>
      <c r="T18" s="11">
        <f t="shared" si="4"/>
        <v>118104</v>
      </c>
      <c r="U18" s="2">
        <v>2</v>
      </c>
      <c r="V18" s="14">
        <f t="shared" si="5"/>
        <v>118101</v>
      </c>
      <c r="W18" s="14">
        <f t="shared" si="6"/>
        <v>118102</v>
      </c>
      <c r="X18" s="14"/>
      <c r="Y18" s="2"/>
      <c r="Z18" s="2"/>
      <c r="AA18" s="2"/>
      <c r="AB18" s="2"/>
      <c r="AC18" s="2"/>
      <c r="AD18" s="2"/>
      <c r="AE18" s="2"/>
      <c r="AF18" s="2">
        <v>4</v>
      </c>
      <c r="AG18" s="2">
        <v>15</v>
      </c>
      <c r="AH18" s="2">
        <v>21</v>
      </c>
      <c r="AI18" s="2">
        <v>27</v>
      </c>
      <c r="AJ18" s="2">
        <v>355</v>
      </c>
      <c r="AK18" s="2"/>
      <c r="AL18" s="2"/>
      <c r="AM18" s="2"/>
      <c r="AN18" s="2"/>
      <c r="AO18" s="2"/>
      <c r="AP18" s="2"/>
      <c r="AQ18">
        <f t="shared" si="9"/>
        <v>0</v>
      </c>
      <c r="AR18">
        <f>IF(ISERROR(VLOOKUP(IF(O18=4,P18,IF(Q18=4,R18,0)),[4]D_任务!$A$2:$B$132,2,FALSE)),IF(O18=4,P18,IF(Q18=4,R18,0)),VLOOKUP(IF(O18=4,P18,IF(Q18=4,R18,0)),[4]D_任务!$A$2:$B$132,2,FALSE))</f>
        <v>0</v>
      </c>
      <c r="AS18" t="str">
        <f t="shared" si="1"/>
        <v>B哥遇害</v>
      </c>
      <c r="AT18">
        <f>VLOOKUP(A18,CHOOSE({1,2},[5]怪物信息表!$C$5:$C$77,[5]怪物信息表!$B$5:$B$77),2,FALSE)</f>
        <v>9</v>
      </c>
    </row>
    <row r="19" spans="1:46" x14ac:dyDescent="0.15">
      <c r="A19" s="2">
        <v>1009</v>
      </c>
      <c r="B19" s="2">
        <v>1</v>
      </c>
      <c r="C19" s="2">
        <v>1</v>
      </c>
      <c r="D19" s="8" t="s">
        <v>346</v>
      </c>
      <c r="E19" s="11">
        <f>IFERROR(VLOOKUP(C19,[3]副本规划!$Y$20:$Z$27,2,0),E18)</f>
        <v>6</v>
      </c>
      <c r="F19" s="2">
        <f>IFERROR(ROUNDUP(VLOOKUP(T19,CHOOSE({1,2},[5]D_怪物表!$I$1:$I$1120,[5]D_怪物表!$AH$1:$AH$1120),2,FALSE),0),0)</f>
        <v>527</v>
      </c>
      <c r="G19" s="2">
        <v>1</v>
      </c>
      <c r="H19" s="2">
        <v>1</v>
      </c>
      <c r="I19" s="2">
        <v>0</v>
      </c>
      <c r="J19" s="2">
        <v>0</v>
      </c>
      <c r="K19" s="2">
        <v>0</v>
      </c>
      <c r="L19" s="2"/>
      <c r="M19" s="2">
        <f t="shared" si="7"/>
        <v>1</v>
      </c>
      <c r="N19" s="2">
        <v>1</v>
      </c>
      <c r="O19" s="2">
        <v>3</v>
      </c>
      <c r="P19" s="2">
        <v>1008</v>
      </c>
      <c r="Q19" s="2">
        <v>0</v>
      </c>
      <c r="R19" s="2">
        <v>0</v>
      </c>
      <c r="S19" s="11">
        <f t="shared" si="8"/>
        <v>501009</v>
      </c>
      <c r="T19" s="11">
        <f t="shared" si="4"/>
        <v>119104</v>
      </c>
      <c r="U19" s="2">
        <v>2</v>
      </c>
      <c r="V19" s="14">
        <f t="shared" si="5"/>
        <v>119101</v>
      </c>
      <c r="W19" s="14">
        <f t="shared" si="6"/>
        <v>119102</v>
      </c>
      <c r="X19" s="14"/>
      <c r="Y19" s="2"/>
      <c r="Z19" s="2"/>
      <c r="AA19" s="2"/>
      <c r="AB19" s="2"/>
      <c r="AC19" s="2"/>
      <c r="AD19" s="2"/>
      <c r="AE19" s="2"/>
      <c r="AF19" s="2">
        <v>5</v>
      </c>
      <c r="AG19" s="2">
        <v>11</v>
      </c>
      <c r="AH19" s="2">
        <v>20</v>
      </c>
      <c r="AI19" s="2">
        <v>29</v>
      </c>
      <c r="AJ19" s="2">
        <v>158</v>
      </c>
      <c r="AK19" s="2">
        <v>415</v>
      </c>
      <c r="AL19" s="2"/>
      <c r="AM19" s="2"/>
      <c r="AN19" s="2"/>
      <c r="AO19" s="2"/>
      <c r="AP19" s="2"/>
      <c r="AQ19">
        <f t="shared" si="9"/>
        <v>0</v>
      </c>
      <c r="AR19">
        <f>IF(ISERROR(VLOOKUP(IF(O19=4,P19,IF(Q19=4,R19,0)),[4]D_任务!$A$2:$B$132,2,FALSE)),IF(O19=4,P19,IF(Q19=4,R19,0)),VLOOKUP(IF(O19=4,P19,IF(Q19=4,R19,0)),[4]D_任务!$A$2:$B$132,2,FALSE))</f>
        <v>0</v>
      </c>
      <c r="AS19" t="str">
        <f t="shared" si="1"/>
        <v>同仇敌忾</v>
      </c>
      <c r="AT19">
        <f>VLOOKUP(A19,CHOOSE({1,2},[5]怪物信息表!$C$5:$C$77,[5]怪物信息表!$B$5:$B$77),2,FALSE)</f>
        <v>10</v>
      </c>
    </row>
    <row r="20" spans="1:46" ht="13.9" customHeight="1" x14ac:dyDescent="0.15">
      <c r="A20" s="2">
        <v>1010</v>
      </c>
      <c r="B20" s="2">
        <v>1</v>
      </c>
      <c r="C20" s="2">
        <v>0</v>
      </c>
      <c r="D20" s="8" t="s">
        <v>340</v>
      </c>
      <c r="E20" s="11">
        <f>IFERROR(VLOOKUP(C20,[3]副本规划!$Y$20:$Z$27,2,0),E16)</f>
        <v>6</v>
      </c>
      <c r="F20" s="2">
        <f>IFERROR(ROUNDUP(VLOOKUP(T20,CHOOSE({1,2},[5]D_怪物表!$I$1:$I$1120,[5]D_怪物表!$AH$1:$AH$1120),2,FALSE),0),0)</f>
        <v>264</v>
      </c>
      <c r="G20" s="2">
        <v>1</v>
      </c>
      <c r="H20" s="2">
        <v>1</v>
      </c>
      <c r="I20" s="2">
        <v>0</v>
      </c>
      <c r="J20" s="2">
        <v>0</v>
      </c>
      <c r="K20" s="2">
        <v>0</v>
      </c>
      <c r="L20" s="2"/>
      <c r="M20" s="2">
        <f t="shared" si="2"/>
        <v>0</v>
      </c>
      <c r="N20" s="2">
        <v>1</v>
      </c>
      <c r="O20" s="2">
        <v>0</v>
      </c>
      <c r="P20" s="2">
        <v>0</v>
      </c>
      <c r="Q20" s="2">
        <v>0</v>
      </c>
      <c r="R20" s="2">
        <v>0</v>
      </c>
      <c r="S20" s="11">
        <f t="shared" si="3"/>
        <v>501010</v>
      </c>
      <c r="T20" s="27">
        <v>116104</v>
      </c>
      <c r="U20" s="2">
        <v>2</v>
      </c>
      <c r="V20" s="26">
        <v>111101</v>
      </c>
      <c r="W20" s="14">
        <f t="shared" si="6"/>
        <v>111102</v>
      </c>
      <c r="X20" s="14"/>
      <c r="Y20" s="2"/>
      <c r="Z20" s="2"/>
      <c r="AA20" s="2"/>
      <c r="AB20" s="2"/>
      <c r="AC20" s="2"/>
      <c r="AD20" s="2"/>
      <c r="AE20" s="2"/>
      <c r="AF20" s="2">
        <v>3</v>
      </c>
      <c r="AG20" s="2">
        <v>127</v>
      </c>
      <c r="AH20" s="2">
        <v>132</v>
      </c>
      <c r="AI20" s="2">
        <v>142</v>
      </c>
      <c r="AJ20" s="2">
        <v>455</v>
      </c>
      <c r="AK20" s="2"/>
      <c r="AL20" s="2"/>
      <c r="AM20" s="2"/>
      <c r="AN20" s="2"/>
      <c r="AO20" s="2"/>
      <c r="AP20" s="2"/>
      <c r="AQ20">
        <f>IF(O20=1,P20,IF(Q20=1,R20,0))</f>
        <v>0</v>
      </c>
      <c r="AR20">
        <f>IF(ISERROR(VLOOKUP(IF(O20=4,P20,IF(Q20=4,R20,0)),[4]D_任务!$A$2:$B$132,2,FALSE)),IF(O20=4,P20,IF(Q20=4,R20,0)),VLOOKUP(IF(O20=4,P20,IF(Q20=4,R20,0)),[4]D_任务!$A$2:$B$132,2,FALSE))</f>
        <v>0</v>
      </c>
      <c r="AS20">
        <f t="shared" si="1"/>
        <v>0</v>
      </c>
      <c r="AT20">
        <f>VLOOKUP(A20,CHOOSE({1,2},[5]怪物信息表!$C$5:$C$77,[5]怪物信息表!$B$5:$B$77),2,FALSE)</f>
        <v>1</v>
      </c>
    </row>
    <row r="21" spans="1:46" x14ac:dyDescent="0.15">
      <c r="A21" s="2">
        <v>2001</v>
      </c>
      <c r="B21" s="2">
        <v>1</v>
      </c>
      <c r="C21" s="2">
        <v>2</v>
      </c>
      <c r="D21" s="8" t="s">
        <v>347</v>
      </c>
      <c r="E21" s="11">
        <f>IFERROR(VLOOKUP(C21,[3]副本规划!$Y$20:$Z$27,2,0),E20)</f>
        <v>6</v>
      </c>
      <c r="F21" s="2">
        <f>IFERROR(ROUNDUP(VLOOKUP(T21,CHOOSE({1,2},[5]D_怪物表!$I$1:$I$1120,[5]D_怪物表!$AH$1:$AH$1120),2,FALSE),0),0)</f>
        <v>592</v>
      </c>
      <c r="G21" s="2">
        <v>1</v>
      </c>
      <c r="H21" s="2">
        <v>1</v>
      </c>
      <c r="I21" s="2">
        <v>0</v>
      </c>
      <c r="J21" s="2">
        <v>0</v>
      </c>
      <c r="K21" s="2">
        <v>0</v>
      </c>
      <c r="L21" s="2"/>
      <c r="M21" s="2">
        <f t="shared" si="2"/>
        <v>1</v>
      </c>
      <c r="N21" s="2">
        <v>1</v>
      </c>
      <c r="O21" s="2">
        <v>3</v>
      </c>
      <c r="P21" s="2">
        <v>1009</v>
      </c>
      <c r="Q21" s="2">
        <v>0</v>
      </c>
      <c r="R21" s="2">
        <v>0</v>
      </c>
      <c r="S21" s="11">
        <f t="shared" si="3"/>
        <v>502001</v>
      </c>
      <c r="T21" s="11">
        <f t="shared" si="4"/>
        <v>121104</v>
      </c>
      <c r="U21" s="2">
        <v>2</v>
      </c>
      <c r="V21" s="14">
        <f t="shared" si="5"/>
        <v>121101</v>
      </c>
      <c r="W21" s="14">
        <f t="shared" si="6"/>
        <v>121102</v>
      </c>
      <c r="X21" s="14"/>
      <c r="Y21" s="2"/>
      <c r="Z21" s="2"/>
      <c r="AA21" s="2"/>
      <c r="AB21" s="2"/>
      <c r="AC21" s="2"/>
      <c r="AD21" s="2"/>
      <c r="AE21" s="2"/>
      <c r="AF21" s="2">
        <v>3</v>
      </c>
      <c r="AG21" s="2">
        <v>69</v>
      </c>
      <c r="AH21" s="2">
        <v>78</v>
      </c>
      <c r="AI21" s="2">
        <v>84</v>
      </c>
      <c r="AJ21" s="2"/>
      <c r="AK21" s="2"/>
      <c r="AL21" s="2"/>
      <c r="AM21" s="2"/>
      <c r="AN21" s="2"/>
      <c r="AO21" s="2"/>
      <c r="AP21" s="2"/>
      <c r="AQ21">
        <f t="shared" si="0"/>
        <v>0</v>
      </c>
      <c r="AR21">
        <f>IF(ISERROR(VLOOKUP(IF(O21=4,P21,IF(Q21=4,R21,0)),[4]D_任务!$A$2:$B$132,2,FALSE)),IF(O21=4,P21,IF(Q21=4,R21,0)),VLOOKUP(IF(O21=4,P21,IF(Q21=4,R21,0)),[4]D_任务!$A$2:$B$132,2,FALSE))</f>
        <v>0</v>
      </c>
      <c r="AS21" t="str">
        <f t="shared" si="1"/>
        <v>合力毙靓坤</v>
      </c>
      <c r="AT21">
        <f>VLOOKUP(A21,CHOOSE({1,2},[5]怪物信息表!$C$5:$C$77,[5]怪物信息表!$B$5:$B$77),2,FALSE)</f>
        <v>11</v>
      </c>
    </row>
    <row r="22" spans="1:46" x14ac:dyDescent="0.15">
      <c r="A22" s="2">
        <v>2002</v>
      </c>
      <c r="B22" s="2">
        <v>1</v>
      </c>
      <c r="C22" s="2">
        <v>2</v>
      </c>
      <c r="D22" s="8" t="s">
        <v>348</v>
      </c>
      <c r="E22" s="11">
        <f>IFERROR(VLOOKUP(C22,[3]副本规划!$Y$20:$Z$27,2,0),E21)</f>
        <v>6</v>
      </c>
      <c r="F22" s="2">
        <f>IFERROR(ROUNDUP(VLOOKUP(T22,CHOOSE({1,2},[5]D_怪物表!$I$1:$I$1120,[5]D_怪物表!$AH$1:$AH$1120),2,FALSE),0),0)</f>
        <v>700</v>
      </c>
      <c r="G22" s="2">
        <v>1</v>
      </c>
      <c r="H22" s="2">
        <v>1</v>
      </c>
      <c r="I22" s="2">
        <v>0</v>
      </c>
      <c r="J22" s="2">
        <v>0</v>
      </c>
      <c r="K22" s="2">
        <v>0</v>
      </c>
      <c r="L22" s="2"/>
      <c r="M22" s="2">
        <f t="shared" si="2"/>
        <v>1</v>
      </c>
      <c r="N22" s="2">
        <v>1</v>
      </c>
      <c r="O22" s="2">
        <v>3</v>
      </c>
      <c r="P22" s="2">
        <f>A21</f>
        <v>2001</v>
      </c>
      <c r="Q22" s="2">
        <v>0</v>
      </c>
      <c r="R22" s="2">
        <v>0</v>
      </c>
      <c r="S22" s="11">
        <f t="shared" si="3"/>
        <v>502002</v>
      </c>
      <c r="T22" s="11">
        <f t="shared" si="4"/>
        <v>122104</v>
      </c>
      <c r="U22" s="2">
        <v>2</v>
      </c>
      <c r="V22" s="14">
        <f t="shared" si="5"/>
        <v>122101</v>
      </c>
      <c r="W22" s="14">
        <f t="shared" si="6"/>
        <v>122102</v>
      </c>
      <c r="X22" s="14"/>
      <c r="Y22" s="2"/>
      <c r="Z22" s="2"/>
      <c r="AA22" s="2"/>
      <c r="AB22" s="2"/>
      <c r="AC22" s="2"/>
      <c r="AD22" s="2"/>
      <c r="AE22" s="2"/>
      <c r="AF22" s="2">
        <v>3</v>
      </c>
      <c r="AG22" s="2">
        <v>64</v>
      </c>
      <c r="AH22" s="2">
        <v>70</v>
      </c>
      <c r="AI22" s="2">
        <v>76</v>
      </c>
      <c r="AJ22" s="2"/>
      <c r="AK22" s="2"/>
      <c r="AL22" s="2"/>
      <c r="AM22" s="2"/>
      <c r="AN22" s="2"/>
      <c r="AO22" s="2"/>
      <c r="AP22" s="2"/>
      <c r="AQ22">
        <f t="shared" si="0"/>
        <v>0</v>
      </c>
      <c r="AR22">
        <f>IF(ISERROR(VLOOKUP(IF(O22=4,P22,IF(Q22=4,R22,0)),[4]D_任务!$A$2:$B$132,2,FALSE)),IF(O22=4,P22,IF(Q22=4,R22,0)),VLOOKUP(IF(O22=4,P22,IF(Q22=4,R22,0)),[4]D_任务!$A$2:$B$132,2,FALSE))</f>
        <v>0</v>
      </c>
      <c r="AS22" t="str">
        <f t="shared" si="1"/>
        <v>协助山鸡</v>
      </c>
      <c r="AT22">
        <f>VLOOKUP(A22,CHOOSE({1,2},[5]怪物信息表!$C$5:$C$77,[5]怪物信息表!$B$5:$B$77),2,FALSE)</f>
        <v>12</v>
      </c>
    </row>
    <row r="23" spans="1:46" x14ac:dyDescent="0.15">
      <c r="A23" s="2">
        <v>2003</v>
      </c>
      <c r="B23" s="2">
        <v>1</v>
      </c>
      <c r="C23" s="2">
        <v>2</v>
      </c>
      <c r="D23" s="8" t="s">
        <v>349</v>
      </c>
      <c r="E23" s="11">
        <f>IFERROR(VLOOKUP(C23,[3]副本规划!$Y$20:$Z$27,2,0),E22)</f>
        <v>6</v>
      </c>
      <c r="F23" s="2">
        <f>IFERROR(ROUNDUP(VLOOKUP(T23,CHOOSE({1,2},[5]D_怪物表!$I$1:$I$1120,[5]D_怪物表!$AH$1:$AH$1120),2,FALSE),0),0)</f>
        <v>812</v>
      </c>
      <c r="G23" s="2">
        <v>1</v>
      </c>
      <c r="H23" s="2">
        <v>1</v>
      </c>
      <c r="I23" s="2">
        <v>0</v>
      </c>
      <c r="J23" s="2">
        <v>0</v>
      </c>
      <c r="K23" s="2">
        <v>0</v>
      </c>
      <c r="L23" s="2"/>
      <c r="M23" s="2">
        <f t="shared" si="2"/>
        <v>1</v>
      </c>
      <c r="N23" s="2">
        <v>1</v>
      </c>
      <c r="O23" s="2">
        <v>3</v>
      </c>
      <c r="P23" s="2">
        <f t="shared" ref="P23:P83" si="10">A22</f>
        <v>2002</v>
      </c>
      <c r="Q23" s="2">
        <v>0</v>
      </c>
      <c r="R23" s="2">
        <v>0</v>
      </c>
      <c r="S23" s="11">
        <f t="shared" si="3"/>
        <v>502003</v>
      </c>
      <c r="T23" s="11">
        <f t="shared" si="4"/>
        <v>123104</v>
      </c>
      <c r="U23" s="2">
        <v>2</v>
      </c>
      <c r="V23" s="14">
        <f t="shared" si="5"/>
        <v>123101</v>
      </c>
      <c r="W23" s="14">
        <f t="shared" si="6"/>
        <v>123102</v>
      </c>
      <c r="X23" s="14"/>
      <c r="Y23" s="2"/>
      <c r="Z23" s="2"/>
      <c r="AA23" s="2"/>
      <c r="AB23" s="2"/>
      <c r="AC23" s="2"/>
      <c r="AD23" s="2"/>
      <c r="AE23" s="2"/>
      <c r="AF23" s="2">
        <v>3</v>
      </c>
      <c r="AG23" s="2">
        <v>61</v>
      </c>
      <c r="AH23" s="2">
        <v>67</v>
      </c>
      <c r="AI23" s="2">
        <v>73</v>
      </c>
      <c r="AJ23" s="2"/>
      <c r="AK23" s="2"/>
      <c r="AL23" s="2"/>
      <c r="AM23" s="2"/>
      <c r="AN23" s="2"/>
      <c r="AO23" s="2"/>
      <c r="AP23" s="2"/>
      <c r="AQ23">
        <f t="shared" si="0"/>
        <v>0</v>
      </c>
      <c r="AR23">
        <f>IF(ISERROR(VLOOKUP(IF(O23=4,P23,IF(Q23=4,R23,0)),[4]D_任务!$A$2:$B$132,2,FALSE)),IF(O23=4,P23,IF(Q23=4,R23,0)),VLOOKUP(IF(O23=4,P23,IF(Q23=4,R23,0)),[4]D_任务!$A$2:$B$132,2,FALSE))</f>
        <v>0</v>
      </c>
      <c r="AS23" t="str">
        <f t="shared" si="1"/>
        <v>伏击张议员</v>
      </c>
      <c r="AT23">
        <f>VLOOKUP(A23,CHOOSE({1,2},[5]怪物信息表!$C$5:$C$77,[5]怪物信息表!$B$5:$B$77),2,FALSE)</f>
        <v>13</v>
      </c>
    </row>
    <row r="24" spans="1:46" x14ac:dyDescent="0.15">
      <c r="A24" s="2">
        <v>2004</v>
      </c>
      <c r="B24" s="2">
        <v>1</v>
      </c>
      <c r="C24" s="2">
        <v>2</v>
      </c>
      <c r="D24" s="8" t="s">
        <v>597</v>
      </c>
      <c r="E24" s="11">
        <f>IFERROR(VLOOKUP(C24,[3]副本规划!$Y$20:$Z$27,2,0),E23)</f>
        <v>6</v>
      </c>
      <c r="F24" s="2">
        <f>IFERROR(ROUNDUP(VLOOKUP(T24,CHOOSE({1,2},[5]D_怪物表!$I$1:$I$1120,[5]D_怪物表!$AH$1:$AH$1120),2,FALSE),0),0)</f>
        <v>945</v>
      </c>
      <c r="G24" s="2">
        <v>1</v>
      </c>
      <c r="H24" s="2">
        <v>1</v>
      </c>
      <c r="I24" s="2">
        <v>0</v>
      </c>
      <c r="J24" s="2">
        <v>0</v>
      </c>
      <c r="K24" s="2">
        <v>0</v>
      </c>
      <c r="L24" s="2"/>
      <c r="M24" s="2">
        <f t="shared" si="2"/>
        <v>1</v>
      </c>
      <c r="N24" s="2">
        <v>1</v>
      </c>
      <c r="O24" s="2">
        <v>3</v>
      </c>
      <c r="P24" s="2">
        <f t="shared" si="10"/>
        <v>2003</v>
      </c>
      <c r="Q24" s="2">
        <v>0</v>
      </c>
      <c r="R24" s="2">
        <v>0</v>
      </c>
      <c r="S24" s="11">
        <f t="shared" si="3"/>
        <v>502004</v>
      </c>
      <c r="T24" s="11">
        <f t="shared" si="4"/>
        <v>124104</v>
      </c>
      <c r="U24" s="2">
        <v>2</v>
      </c>
      <c r="V24" s="14">
        <f t="shared" si="5"/>
        <v>124101</v>
      </c>
      <c r="W24" s="14">
        <f t="shared" si="6"/>
        <v>124102</v>
      </c>
      <c r="X24" s="14"/>
      <c r="Y24" s="2"/>
      <c r="Z24" s="2"/>
      <c r="AA24" s="2"/>
      <c r="AB24" s="2"/>
      <c r="AC24" s="2"/>
      <c r="AD24" s="2"/>
      <c r="AE24" s="2"/>
      <c r="AF24" s="2">
        <v>4</v>
      </c>
      <c r="AG24" s="2">
        <v>45</v>
      </c>
      <c r="AH24" s="2">
        <v>54</v>
      </c>
      <c r="AI24" s="2">
        <v>60</v>
      </c>
      <c r="AJ24" s="2">
        <v>85</v>
      </c>
      <c r="AK24" s="2"/>
      <c r="AL24" s="2"/>
      <c r="AM24" s="2"/>
      <c r="AN24" s="2"/>
      <c r="AO24" s="2"/>
      <c r="AP24" s="2"/>
      <c r="AQ24">
        <f t="shared" si="0"/>
        <v>0</v>
      </c>
      <c r="AR24">
        <f>IF(ISERROR(VLOOKUP(IF(O24=4,P24,IF(Q24=4,R24,0)),[4]D_任务!$A$2:$B$132,2,FALSE)),IF(O24=4,P24,IF(Q24=4,R24,0)),VLOOKUP(IF(O24=4,P24,IF(Q24=4,R24,0)),[4]D_任务!$A$2:$B$132,2,FALSE))</f>
        <v>0</v>
      </c>
      <c r="AS24" t="str">
        <f t="shared" si="1"/>
        <v>蒋生遇雷功</v>
      </c>
      <c r="AT24">
        <f>VLOOKUP(A24,CHOOSE({1,2},[5]怪物信息表!$C$5:$C$77,[5]怪物信息表!$B$5:$B$77),2,FALSE)</f>
        <v>14</v>
      </c>
    </row>
    <row r="25" spans="1:46" x14ac:dyDescent="0.15">
      <c r="A25" s="2">
        <v>2005</v>
      </c>
      <c r="B25" s="2">
        <v>1</v>
      </c>
      <c r="C25" s="2">
        <v>2</v>
      </c>
      <c r="D25" s="8" t="s">
        <v>598</v>
      </c>
      <c r="E25" s="11">
        <f>IFERROR(VLOOKUP(C25,[3]副本规划!$Y$20:$Z$27,2,0),E24)</f>
        <v>6</v>
      </c>
      <c r="F25" s="2">
        <f>IFERROR(ROUNDUP(VLOOKUP(T25,CHOOSE({1,2},[5]D_怪物表!$I$1:$I$1120,[5]D_怪物表!$AH$1:$AH$1120),2,FALSE),0),0)</f>
        <v>1108</v>
      </c>
      <c r="G25" s="2">
        <v>1</v>
      </c>
      <c r="H25" s="2">
        <v>1</v>
      </c>
      <c r="I25" s="2">
        <v>0</v>
      </c>
      <c r="J25" s="2">
        <v>0</v>
      </c>
      <c r="K25" s="2">
        <v>0</v>
      </c>
      <c r="L25" s="2"/>
      <c r="M25" s="2">
        <f t="shared" si="2"/>
        <v>1</v>
      </c>
      <c r="N25" s="2">
        <v>1</v>
      </c>
      <c r="O25" s="2">
        <v>3</v>
      </c>
      <c r="P25" s="2">
        <f t="shared" si="10"/>
        <v>2004</v>
      </c>
      <c r="Q25" s="2">
        <v>0</v>
      </c>
      <c r="R25" s="2">
        <v>0</v>
      </c>
      <c r="S25" s="11">
        <f t="shared" si="3"/>
        <v>502005</v>
      </c>
      <c r="T25" s="11">
        <f t="shared" si="4"/>
        <v>125104</v>
      </c>
      <c r="U25" s="2">
        <v>2</v>
      </c>
      <c r="V25" s="14">
        <f t="shared" si="5"/>
        <v>125101</v>
      </c>
      <c r="W25" s="14">
        <f t="shared" si="6"/>
        <v>125102</v>
      </c>
      <c r="X25" s="14"/>
      <c r="Y25" s="2"/>
      <c r="Z25" s="2"/>
      <c r="AA25" s="2"/>
      <c r="AB25" s="2"/>
      <c r="AC25" s="2"/>
      <c r="AD25" s="2"/>
      <c r="AE25" s="2"/>
      <c r="AF25" s="2">
        <v>3</v>
      </c>
      <c r="AG25" s="2">
        <v>77</v>
      </c>
      <c r="AH25" s="2">
        <v>78</v>
      </c>
      <c r="AI25" s="2">
        <v>79</v>
      </c>
      <c r="AJ25" s="2"/>
      <c r="AK25" s="2"/>
      <c r="AL25" s="2"/>
      <c r="AM25" s="2"/>
      <c r="AN25" s="2"/>
      <c r="AO25" s="2"/>
      <c r="AP25" s="2"/>
      <c r="AQ25">
        <f t="shared" si="0"/>
        <v>0</v>
      </c>
      <c r="AR25">
        <f>IF(ISERROR(VLOOKUP(IF(O25=4,P25,IF(Q25=4,R25,0)),[4]D_任务!$A$2:$B$132,2,FALSE)),IF(O25=4,P25,IF(Q25=4,R25,0)),VLOOKUP(IF(O25=4,P25,IF(Q25=4,R25,0)),[4]D_任务!$A$2:$B$132,2,FALSE))</f>
        <v>0</v>
      </c>
      <c r="AS25" t="str">
        <f t="shared" si="1"/>
        <v>争夺扛把子</v>
      </c>
      <c r="AT25">
        <f>VLOOKUP(A25,CHOOSE({1,2},[5]怪物信息表!$C$5:$C$77,[5]怪物信息表!$B$5:$B$77),2,FALSE)</f>
        <v>15</v>
      </c>
    </row>
    <row r="26" spans="1:46" x14ac:dyDescent="0.15">
      <c r="A26" s="2">
        <v>2006</v>
      </c>
      <c r="B26" s="2">
        <v>1</v>
      </c>
      <c r="C26" s="2">
        <v>2</v>
      </c>
      <c r="D26" s="8" t="s">
        <v>599</v>
      </c>
      <c r="E26" s="11">
        <f>IFERROR(VLOOKUP(C26,[3]副本规划!$Y$20:$Z$27,2,0),E25)</f>
        <v>6</v>
      </c>
      <c r="F26" s="2">
        <f>IFERROR(ROUNDUP(VLOOKUP(T26,CHOOSE({1,2},[5]D_怪物表!$I$1:$I$1120,[5]D_怪物表!$AH$1:$AH$1120),2,FALSE),0),0)</f>
        <v>1261</v>
      </c>
      <c r="G26" s="2">
        <v>1</v>
      </c>
      <c r="H26" s="2">
        <v>1</v>
      </c>
      <c r="I26" s="2">
        <v>0</v>
      </c>
      <c r="J26" s="2">
        <v>0</v>
      </c>
      <c r="K26" s="2">
        <v>0</v>
      </c>
      <c r="L26" s="2"/>
      <c r="M26" s="2">
        <f t="shared" si="2"/>
        <v>1</v>
      </c>
      <c r="N26" s="2">
        <v>1</v>
      </c>
      <c r="O26" s="2">
        <v>3</v>
      </c>
      <c r="P26" s="2">
        <f t="shared" si="10"/>
        <v>2005</v>
      </c>
      <c r="Q26" s="2">
        <v>0</v>
      </c>
      <c r="R26" s="2">
        <v>0</v>
      </c>
      <c r="S26" s="11">
        <f t="shared" si="3"/>
        <v>502006</v>
      </c>
      <c r="T26" s="11">
        <f t="shared" si="4"/>
        <v>126104</v>
      </c>
      <c r="U26" s="2">
        <v>2</v>
      </c>
      <c r="V26" s="14">
        <f t="shared" si="5"/>
        <v>126101</v>
      </c>
      <c r="W26" s="14">
        <f t="shared" si="6"/>
        <v>126102</v>
      </c>
      <c r="X26" s="14"/>
      <c r="Y26" s="2"/>
      <c r="Z26" s="2"/>
      <c r="AA26" s="2"/>
      <c r="AB26" s="2"/>
      <c r="AC26" s="2"/>
      <c r="AD26" s="2"/>
      <c r="AE26" s="2"/>
      <c r="AF26" s="2">
        <v>4</v>
      </c>
      <c r="AG26" s="2">
        <v>55</v>
      </c>
      <c r="AH26" s="2">
        <v>56</v>
      </c>
      <c r="AI26" s="2">
        <v>57</v>
      </c>
      <c r="AJ26" s="2">
        <v>111</v>
      </c>
      <c r="AK26" s="2"/>
      <c r="AL26" s="2"/>
      <c r="AM26" s="2"/>
      <c r="AN26" s="2"/>
      <c r="AO26" s="2"/>
      <c r="AP26" s="2"/>
      <c r="AQ26">
        <f t="shared" si="0"/>
        <v>0</v>
      </c>
      <c r="AR26">
        <f>IF(ISERROR(VLOOKUP(IF(O26=4,P26,IF(Q26=4,R26,0)),[4]D_任务!$A$2:$B$132,2,FALSE)),IF(O26=4,P26,IF(Q26=4,R26,0)),VLOOKUP(IF(O26=4,P26,IF(Q26=4,R26,0)),[4]D_任务!$A$2:$B$132,2,FALSE))</f>
        <v>0</v>
      </c>
      <c r="AS26" t="str">
        <f t="shared" si="1"/>
        <v>约战大飞</v>
      </c>
      <c r="AT26">
        <f>VLOOKUP(A26,CHOOSE({1,2},[5]怪物信息表!$C$5:$C$77,[5]怪物信息表!$B$5:$B$77),2,FALSE)</f>
        <v>16</v>
      </c>
    </row>
    <row r="27" spans="1:46" x14ac:dyDescent="0.15">
      <c r="A27" s="2">
        <v>2007</v>
      </c>
      <c r="B27" s="2">
        <v>1</v>
      </c>
      <c r="C27" s="2">
        <v>2</v>
      </c>
      <c r="D27" s="8" t="s">
        <v>600</v>
      </c>
      <c r="E27" s="11">
        <f>IFERROR(VLOOKUP(C27,[3]副本规划!$Y$20:$Z$27,2,0),E26)</f>
        <v>6</v>
      </c>
      <c r="F27" s="2">
        <f>IFERROR(ROUNDUP(VLOOKUP(T27,CHOOSE({1,2},[5]D_怪物表!$I$1:$I$1120,[5]D_怪物表!$AH$1:$AH$1120),2,FALSE),0),0)</f>
        <v>1434</v>
      </c>
      <c r="G27" s="2">
        <v>1</v>
      </c>
      <c r="H27" s="2">
        <v>1</v>
      </c>
      <c r="I27" s="2">
        <v>0</v>
      </c>
      <c r="J27" s="2">
        <v>0</v>
      </c>
      <c r="K27" s="2">
        <v>0</v>
      </c>
      <c r="L27" s="2"/>
      <c r="M27" s="2">
        <f t="shared" ref="M27:M29" si="11">SUM(O27&gt;0,Q27&gt;0)</f>
        <v>1</v>
      </c>
      <c r="N27" s="2">
        <v>1</v>
      </c>
      <c r="O27" s="2">
        <v>3</v>
      </c>
      <c r="P27" s="2">
        <f t="shared" ref="P27:P29" si="12">A26</f>
        <v>2006</v>
      </c>
      <c r="Q27" s="2">
        <v>0</v>
      </c>
      <c r="R27" s="2">
        <v>0</v>
      </c>
      <c r="S27" s="11">
        <f t="shared" ref="S27:S29" si="13">50*10000+A27</f>
        <v>502007</v>
      </c>
      <c r="T27" s="11">
        <f t="shared" si="4"/>
        <v>127104</v>
      </c>
      <c r="U27" s="2">
        <v>2</v>
      </c>
      <c r="V27" s="14">
        <f t="shared" si="5"/>
        <v>127101</v>
      </c>
      <c r="W27" s="14">
        <f t="shared" si="6"/>
        <v>127102</v>
      </c>
      <c r="X27" s="14"/>
      <c r="Y27" s="2"/>
      <c r="Z27" s="2"/>
      <c r="AA27" s="2"/>
      <c r="AB27" s="2"/>
      <c r="AC27" s="2"/>
      <c r="AD27" s="2"/>
      <c r="AE27" s="2"/>
      <c r="AF27" s="2">
        <v>4</v>
      </c>
      <c r="AG27" s="2">
        <v>45</v>
      </c>
      <c r="AH27" s="2">
        <v>54</v>
      </c>
      <c r="AI27" s="2">
        <v>60</v>
      </c>
      <c r="AJ27" s="2">
        <v>85</v>
      </c>
      <c r="AK27" s="2"/>
      <c r="AL27" s="2"/>
      <c r="AM27" s="2"/>
      <c r="AN27" s="2"/>
      <c r="AO27" s="2"/>
      <c r="AP27" s="2"/>
      <c r="AQ27">
        <f t="shared" ref="AQ27:AQ29" si="14">IF(O27=1,P27,IF(Q27=1,R27,0))</f>
        <v>0</v>
      </c>
      <c r="AR27">
        <f>IF(ISERROR(VLOOKUP(IF(O27=4,P27,IF(Q27=4,R27,0)),[4]D_任务!$A$2:$B$132,2,FALSE)),IF(O27=4,P27,IF(Q27=4,R27,0)),VLOOKUP(IF(O27=4,P27,IF(Q27=4,R27,0)),[4]D_任务!$A$2:$B$132,2,FALSE))</f>
        <v>0</v>
      </c>
      <c r="AS27" t="str">
        <f t="shared" si="1"/>
        <v>缓和契机</v>
      </c>
      <c r="AT27">
        <f>VLOOKUP(A27,CHOOSE({1,2},[5]怪物信息表!$C$5:$C$77,[5]怪物信息表!$B$5:$B$77),2,FALSE)</f>
        <v>17</v>
      </c>
    </row>
    <row r="28" spans="1:46" x14ac:dyDescent="0.15">
      <c r="A28" s="2">
        <v>2008</v>
      </c>
      <c r="B28" s="2">
        <v>1</v>
      </c>
      <c r="C28" s="2">
        <v>2</v>
      </c>
      <c r="D28" s="8" t="s">
        <v>601</v>
      </c>
      <c r="E28" s="11">
        <f>IFERROR(VLOOKUP(C28,[3]副本规划!$Y$20:$Z$27,2,0),E27)</f>
        <v>6</v>
      </c>
      <c r="F28" s="2">
        <f>IFERROR(ROUNDUP(VLOOKUP(T28,CHOOSE({1,2},[5]D_怪物表!$I$1:$I$1120,[5]D_怪物表!$AH$1:$AH$1120),2,FALSE),0),0)</f>
        <v>1630</v>
      </c>
      <c r="G28" s="2">
        <v>1</v>
      </c>
      <c r="H28" s="2">
        <v>1</v>
      </c>
      <c r="I28" s="2">
        <v>0</v>
      </c>
      <c r="J28" s="2">
        <v>0</v>
      </c>
      <c r="K28" s="2">
        <v>0</v>
      </c>
      <c r="L28" s="2"/>
      <c r="M28" s="2">
        <f t="shared" si="11"/>
        <v>1</v>
      </c>
      <c r="N28" s="2">
        <v>1</v>
      </c>
      <c r="O28" s="2">
        <v>3</v>
      </c>
      <c r="P28" s="2">
        <f t="shared" si="12"/>
        <v>2007</v>
      </c>
      <c r="Q28" s="2">
        <v>0</v>
      </c>
      <c r="R28" s="2">
        <v>0</v>
      </c>
      <c r="S28" s="11">
        <f t="shared" si="13"/>
        <v>502008</v>
      </c>
      <c r="T28" s="11">
        <f t="shared" si="4"/>
        <v>128104</v>
      </c>
      <c r="U28" s="2">
        <v>2</v>
      </c>
      <c r="V28" s="14">
        <f t="shared" si="5"/>
        <v>128101</v>
      </c>
      <c r="W28" s="14">
        <f t="shared" si="6"/>
        <v>128102</v>
      </c>
      <c r="X28" s="14"/>
      <c r="Y28" s="2"/>
      <c r="Z28" s="2"/>
      <c r="AA28" s="2"/>
      <c r="AB28" s="2"/>
      <c r="AC28" s="2"/>
      <c r="AD28" s="2"/>
      <c r="AE28" s="2"/>
      <c r="AF28" s="2">
        <v>3</v>
      </c>
      <c r="AG28" s="2">
        <v>77</v>
      </c>
      <c r="AH28" s="2">
        <v>78</v>
      </c>
      <c r="AI28" s="2">
        <v>79</v>
      </c>
      <c r="AJ28" s="2"/>
      <c r="AK28" s="2"/>
      <c r="AL28" s="2"/>
      <c r="AM28" s="2"/>
      <c r="AN28" s="2"/>
      <c r="AO28" s="2"/>
      <c r="AP28" s="2"/>
      <c r="AQ28">
        <f t="shared" si="14"/>
        <v>0</v>
      </c>
      <c r="AR28">
        <f>IF(ISERROR(VLOOKUP(IF(O28=4,P28,IF(Q28=4,R28,0)),[4]D_任务!$A$2:$B$132,2,FALSE)),IF(O28=4,P28,IF(Q28=4,R28,0)),VLOOKUP(IF(O28=4,P28,IF(Q28=4,R28,0)),[4]D_任务!$A$2:$B$132,2,FALSE))</f>
        <v>0</v>
      </c>
      <c r="AS28" t="str">
        <f t="shared" si="1"/>
        <v>落入陷阱</v>
      </c>
      <c r="AT28">
        <f>VLOOKUP(A28,CHOOSE({1,2},[5]怪物信息表!$C$5:$C$77,[5]怪物信息表!$B$5:$B$77),2,FALSE)</f>
        <v>18</v>
      </c>
    </row>
    <row r="29" spans="1:46" x14ac:dyDescent="0.15">
      <c r="A29" s="2">
        <v>2009</v>
      </c>
      <c r="B29" s="2">
        <v>1</v>
      </c>
      <c r="C29" s="2">
        <v>2</v>
      </c>
      <c r="D29" s="8" t="s">
        <v>350</v>
      </c>
      <c r="E29" s="11">
        <f>IFERROR(VLOOKUP(C29,[3]副本规划!$Y$20:$Z$27,2,0),E28)</f>
        <v>6</v>
      </c>
      <c r="F29" s="2">
        <f>IFERROR(ROUNDUP(VLOOKUP(T29,CHOOSE({1,2},[5]D_怪物表!$I$1:$I$1120,[5]D_怪物表!$AH$1:$AH$1120),2,FALSE),0),0)</f>
        <v>2061</v>
      </c>
      <c r="G29" s="2">
        <v>1</v>
      </c>
      <c r="H29" s="2">
        <v>1</v>
      </c>
      <c r="I29" s="2">
        <v>0</v>
      </c>
      <c r="J29" s="2">
        <v>0</v>
      </c>
      <c r="K29" s="2">
        <v>0</v>
      </c>
      <c r="L29" s="2"/>
      <c r="M29" s="2">
        <f t="shared" si="11"/>
        <v>1</v>
      </c>
      <c r="N29" s="2">
        <v>1</v>
      </c>
      <c r="O29" s="2">
        <v>3</v>
      </c>
      <c r="P29" s="2">
        <f t="shared" si="12"/>
        <v>2008</v>
      </c>
      <c r="Q29" s="2">
        <v>0</v>
      </c>
      <c r="R29" s="2">
        <v>0</v>
      </c>
      <c r="S29" s="11">
        <f t="shared" si="13"/>
        <v>502009</v>
      </c>
      <c r="T29" s="11">
        <f t="shared" si="4"/>
        <v>129104</v>
      </c>
      <c r="U29" s="2">
        <v>2</v>
      </c>
      <c r="V29" s="14">
        <f t="shared" si="5"/>
        <v>129101</v>
      </c>
      <c r="W29" s="14">
        <f t="shared" si="6"/>
        <v>129102</v>
      </c>
      <c r="X29" s="14"/>
      <c r="Y29" s="2"/>
      <c r="Z29" s="2"/>
      <c r="AA29" s="2"/>
      <c r="AB29" s="2"/>
      <c r="AC29" s="2"/>
      <c r="AD29" s="2"/>
      <c r="AE29" s="2"/>
      <c r="AF29" s="2">
        <v>4</v>
      </c>
      <c r="AG29" s="2">
        <v>55</v>
      </c>
      <c r="AH29" s="2">
        <v>56</v>
      </c>
      <c r="AI29" s="2">
        <v>57</v>
      </c>
      <c r="AJ29" s="2">
        <v>111</v>
      </c>
      <c r="AK29" s="2"/>
      <c r="AL29" s="2"/>
      <c r="AM29" s="2"/>
      <c r="AN29" s="2"/>
      <c r="AO29" s="2"/>
      <c r="AP29" s="2"/>
      <c r="AQ29">
        <f t="shared" si="14"/>
        <v>0</v>
      </c>
      <c r="AR29">
        <f>IF(ISERROR(VLOOKUP(IF(O29=4,P29,IF(Q29=4,R29,0)),[4]D_任务!$A$2:$B$132,2,FALSE)),IF(O29=4,P29,IF(Q29=4,R29,0)),VLOOKUP(IF(O29=4,P29,IF(Q29=4,R29,0)),[4]D_任务!$A$2:$B$132,2,FALSE))</f>
        <v>0</v>
      </c>
      <c r="AS29" t="str">
        <f t="shared" si="1"/>
        <v>突出重围</v>
      </c>
      <c r="AT29">
        <f>VLOOKUP(A29,CHOOSE({1,2},[5]怪物信息表!$C$5:$C$77,[5]怪物信息表!$B$5:$B$77),2,FALSE)</f>
        <v>19</v>
      </c>
    </row>
    <row r="30" spans="1:46" x14ac:dyDescent="0.15">
      <c r="A30" s="2">
        <v>3001</v>
      </c>
      <c r="B30" s="2">
        <v>1</v>
      </c>
      <c r="C30" s="2">
        <v>3</v>
      </c>
      <c r="D30" s="8" t="s">
        <v>351</v>
      </c>
      <c r="E30" s="11">
        <f>IFERROR(VLOOKUP(C30,[3]副本规划!$Y$20:$Z$27,2,0),E26)</f>
        <v>6</v>
      </c>
      <c r="F30" s="2">
        <f>IFERROR(ROUNDUP(VLOOKUP(T30,CHOOSE({1,2},[5]D_怪物表!$I$1:$I$1120,[5]D_怪物表!$AH$1:$AH$1120),2,FALSE),0),0)</f>
        <v>2028</v>
      </c>
      <c r="G30" s="2">
        <v>1</v>
      </c>
      <c r="H30" s="2">
        <v>1</v>
      </c>
      <c r="I30" s="2">
        <v>0</v>
      </c>
      <c r="J30" s="2">
        <v>0</v>
      </c>
      <c r="K30" s="2">
        <v>0</v>
      </c>
      <c r="L30" s="2"/>
      <c r="M30" s="2">
        <f t="shared" si="2"/>
        <v>1</v>
      </c>
      <c r="N30" s="2">
        <v>1</v>
      </c>
      <c r="O30" s="2">
        <v>3</v>
      </c>
      <c r="P30" s="2">
        <f>A29</f>
        <v>2009</v>
      </c>
      <c r="Q30" s="2">
        <v>0</v>
      </c>
      <c r="R30" s="2">
        <v>0</v>
      </c>
      <c r="S30" s="11">
        <f t="shared" si="3"/>
        <v>503001</v>
      </c>
      <c r="T30" s="11">
        <f t="shared" si="4"/>
        <v>131104</v>
      </c>
      <c r="U30" s="2">
        <v>3</v>
      </c>
      <c r="V30" s="14">
        <f t="shared" si="5"/>
        <v>131101</v>
      </c>
      <c r="W30" s="14">
        <f t="shared" si="6"/>
        <v>131102</v>
      </c>
      <c r="X30" s="14">
        <f>W30+1</f>
        <v>131103</v>
      </c>
      <c r="Y30" s="2"/>
      <c r="Z30" s="2"/>
      <c r="AA30" s="2"/>
      <c r="AB30" s="2"/>
      <c r="AC30" s="2"/>
      <c r="AD30" s="2"/>
      <c r="AE30" s="2"/>
      <c r="AF30" s="2">
        <v>3</v>
      </c>
      <c r="AG30" s="2">
        <v>173</v>
      </c>
      <c r="AH30" s="2">
        <v>181</v>
      </c>
      <c r="AI30" s="2">
        <v>189</v>
      </c>
      <c r="AJ30" s="2"/>
      <c r="AK30" s="2"/>
      <c r="AL30" s="2"/>
      <c r="AM30" s="2"/>
      <c r="AN30" s="2"/>
      <c r="AO30" s="2"/>
      <c r="AP30" s="2"/>
      <c r="AQ30">
        <f t="shared" si="0"/>
        <v>0</v>
      </c>
      <c r="AR30">
        <f>IF(ISERROR(VLOOKUP(IF(O30=4,P30,IF(Q30=4,R30,0)),[4]D_任务!$A$2:$B$132,2,FALSE)),IF(O30=4,P30,IF(Q30=4,R30,0)),VLOOKUP(IF(O30=4,P30,IF(Q30=4,R30,0)),[4]D_任务!$A$2:$B$132,2,FALSE))</f>
        <v>0</v>
      </c>
      <c r="AS30" t="str">
        <f t="shared" si="1"/>
        <v>赌场除丁瑶</v>
      </c>
      <c r="AT30">
        <f>VLOOKUP(A30,CHOOSE({1,2},[5]怪物信息表!$C$5:$C$77,[5]怪物信息表!$B$5:$B$77),2,FALSE)</f>
        <v>20</v>
      </c>
    </row>
    <row r="31" spans="1:46" x14ac:dyDescent="0.15">
      <c r="A31" s="2">
        <v>3002</v>
      </c>
      <c r="B31" s="2">
        <v>1</v>
      </c>
      <c r="C31" s="2">
        <v>3</v>
      </c>
      <c r="D31" s="8" t="s">
        <v>352</v>
      </c>
      <c r="E31" s="11">
        <f>IFERROR(VLOOKUP(C31,[3]副本规划!$Y$20:$Z$27,2,0),E30)</f>
        <v>6</v>
      </c>
      <c r="F31" s="2">
        <f>IFERROR(ROUNDUP(VLOOKUP(T31,CHOOSE({1,2},[5]D_怪物表!$I$1:$I$1120,[5]D_怪物表!$AH$1:$AH$1120),2,FALSE),0),0)</f>
        <v>2268</v>
      </c>
      <c r="G31" s="2">
        <v>1</v>
      </c>
      <c r="H31" s="2">
        <v>1</v>
      </c>
      <c r="I31" s="2">
        <v>0</v>
      </c>
      <c r="J31" s="2">
        <v>0</v>
      </c>
      <c r="K31" s="2">
        <v>0</v>
      </c>
      <c r="L31" s="2"/>
      <c r="M31" s="2">
        <f t="shared" si="2"/>
        <v>1</v>
      </c>
      <c r="N31" s="2">
        <v>1</v>
      </c>
      <c r="O31" s="2">
        <v>3</v>
      </c>
      <c r="P31" s="2">
        <f t="shared" si="10"/>
        <v>3001</v>
      </c>
      <c r="Q31" s="2">
        <v>0</v>
      </c>
      <c r="R31" s="2">
        <v>0</v>
      </c>
      <c r="S31" s="11">
        <f t="shared" si="3"/>
        <v>503002</v>
      </c>
      <c r="T31" s="11">
        <f t="shared" si="4"/>
        <v>132104</v>
      </c>
      <c r="U31" s="2">
        <v>3</v>
      </c>
      <c r="V31" s="14">
        <f t="shared" si="5"/>
        <v>132101</v>
      </c>
      <c r="W31" s="14">
        <f t="shared" si="6"/>
        <v>132102</v>
      </c>
      <c r="X31" s="14">
        <f t="shared" si="6"/>
        <v>132103</v>
      </c>
      <c r="Y31" s="2"/>
      <c r="Z31" s="2"/>
      <c r="AA31" s="2"/>
      <c r="AB31" s="2"/>
      <c r="AC31" s="2"/>
      <c r="AD31" s="2"/>
      <c r="AE31" s="2"/>
      <c r="AF31" s="2">
        <v>3</v>
      </c>
      <c r="AG31" s="2">
        <v>135</v>
      </c>
      <c r="AH31" s="2">
        <v>143</v>
      </c>
      <c r="AI31" s="2">
        <v>151</v>
      </c>
      <c r="AJ31" s="2"/>
      <c r="AK31" s="2"/>
      <c r="AL31" s="2"/>
      <c r="AM31" s="2"/>
      <c r="AN31" s="2"/>
      <c r="AO31" s="2"/>
      <c r="AP31" s="2"/>
      <c r="AQ31">
        <f t="shared" si="0"/>
        <v>0</v>
      </c>
      <c r="AR31">
        <f>IF(ISERROR(VLOOKUP(IF(O31=4,P31,IF(Q31=4,R31,0)),[4]D_任务!$A$2:$B$132,2,FALSE)),IF(O31=4,P31,IF(Q31=4,R31,0)),VLOOKUP(IF(O31=4,P31,IF(Q31=4,R31,0)),[4]D_任务!$A$2:$B$132,2,FALSE))</f>
        <v>0</v>
      </c>
      <c r="AS31" t="str">
        <f t="shared" si="1"/>
        <v>东星鸿门宴</v>
      </c>
      <c r="AT31">
        <f>VLOOKUP(A31,CHOOSE({1,2},[5]怪物信息表!$C$5:$C$77,[5]怪物信息表!$B$5:$B$77),2,FALSE)</f>
        <v>21</v>
      </c>
    </row>
    <row r="32" spans="1:46" x14ac:dyDescent="0.15">
      <c r="A32" s="2">
        <v>3003</v>
      </c>
      <c r="B32" s="2">
        <v>1</v>
      </c>
      <c r="C32" s="2">
        <v>3</v>
      </c>
      <c r="D32" s="8" t="s">
        <v>353</v>
      </c>
      <c r="E32" s="11">
        <f>IFERROR(VLOOKUP(C32,[3]副本规划!$Y$20:$Z$27,2,0),E31)</f>
        <v>6</v>
      </c>
      <c r="F32" s="2">
        <f>IFERROR(ROUNDUP(VLOOKUP(T32,CHOOSE({1,2},[5]D_怪物表!$I$1:$I$1120,[5]D_怪物表!$AH$1:$AH$1120),2,FALSE),0),0)</f>
        <v>2495</v>
      </c>
      <c r="G32" s="2">
        <v>1</v>
      </c>
      <c r="H32" s="2">
        <v>1</v>
      </c>
      <c r="I32" s="2">
        <v>0</v>
      </c>
      <c r="J32" s="2">
        <v>0</v>
      </c>
      <c r="K32" s="2">
        <v>0</v>
      </c>
      <c r="L32" s="2"/>
      <c r="M32" s="2">
        <f t="shared" si="2"/>
        <v>1</v>
      </c>
      <c r="N32" s="2">
        <v>1</v>
      </c>
      <c r="O32" s="2">
        <v>3</v>
      </c>
      <c r="P32" s="2">
        <f t="shared" si="10"/>
        <v>3002</v>
      </c>
      <c r="Q32" s="2">
        <v>0</v>
      </c>
      <c r="R32" s="2">
        <v>0</v>
      </c>
      <c r="S32" s="11">
        <f t="shared" si="3"/>
        <v>503003</v>
      </c>
      <c r="T32" s="11">
        <f t="shared" si="4"/>
        <v>133104</v>
      </c>
      <c r="U32" s="2">
        <v>3</v>
      </c>
      <c r="V32" s="14">
        <f t="shared" si="5"/>
        <v>133101</v>
      </c>
      <c r="W32" s="14">
        <f t="shared" si="6"/>
        <v>133102</v>
      </c>
      <c r="X32" s="14">
        <f t="shared" si="6"/>
        <v>133103</v>
      </c>
      <c r="Y32" s="2"/>
      <c r="Z32" s="2"/>
      <c r="AA32" s="2"/>
      <c r="AB32" s="2"/>
      <c r="AC32" s="2"/>
      <c r="AD32" s="2"/>
      <c r="AE32" s="2"/>
      <c r="AF32" s="2">
        <v>4</v>
      </c>
      <c r="AG32" s="2">
        <v>104</v>
      </c>
      <c r="AH32" s="2">
        <v>112</v>
      </c>
      <c r="AI32" s="2">
        <v>120</v>
      </c>
      <c r="AJ32" s="2">
        <v>150</v>
      </c>
      <c r="AK32" s="2"/>
      <c r="AL32" s="2"/>
      <c r="AM32" s="2"/>
      <c r="AN32" s="2"/>
      <c r="AO32" s="2"/>
      <c r="AP32" s="2"/>
      <c r="AQ32">
        <f t="shared" si="0"/>
        <v>0</v>
      </c>
      <c r="AR32">
        <f>IF(ISERROR(VLOOKUP(IF(O32=4,P32,IF(Q32=4,R32,0)),[4]D_任务!$A$2:$B$132,2,FALSE)),IF(O32=4,P32,IF(Q32=4,R32,0)),VLOOKUP(IF(O32=4,P32,IF(Q32=4,R32,0)),[4]D_任务!$A$2:$B$132,2,FALSE))</f>
        <v>0</v>
      </c>
      <c r="AS32" t="str">
        <f t="shared" si="1"/>
        <v>怒打笑面虎</v>
      </c>
      <c r="AT32">
        <f>VLOOKUP(A32,CHOOSE({1,2},[5]怪物信息表!$C$5:$C$77,[5]怪物信息表!$B$5:$B$77),2,FALSE)</f>
        <v>22</v>
      </c>
    </row>
    <row r="33" spans="1:46" x14ac:dyDescent="0.15">
      <c r="A33" s="2">
        <v>3004</v>
      </c>
      <c r="B33" s="2">
        <v>1</v>
      </c>
      <c r="C33" s="2">
        <v>3</v>
      </c>
      <c r="D33" s="8" t="s">
        <v>602</v>
      </c>
      <c r="E33" s="11">
        <f>IFERROR(VLOOKUP(C33,[3]副本规划!$Y$20:$Z$27,2,0),E32)</f>
        <v>6</v>
      </c>
      <c r="F33" s="2">
        <f>IFERROR(ROUNDUP(VLOOKUP(T33,CHOOSE({1,2},[5]D_怪物表!$I$1:$I$1120,[5]D_怪物表!$AH$1:$AH$1120),2,FALSE),0),0)</f>
        <v>2787</v>
      </c>
      <c r="G33" s="2">
        <v>1</v>
      </c>
      <c r="H33" s="2">
        <v>1</v>
      </c>
      <c r="I33" s="2">
        <v>0</v>
      </c>
      <c r="J33" s="2">
        <v>0</v>
      </c>
      <c r="K33" s="2">
        <v>0</v>
      </c>
      <c r="L33" s="2"/>
      <c r="M33" s="2">
        <f t="shared" si="2"/>
        <v>1</v>
      </c>
      <c r="N33" s="2">
        <v>1</v>
      </c>
      <c r="O33" s="2">
        <v>3</v>
      </c>
      <c r="P33" s="2">
        <f t="shared" si="10"/>
        <v>3003</v>
      </c>
      <c r="Q33" s="2">
        <v>0</v>
      </c>
      <c r="R33" s="2">
        <v>0</v>
      </c>
      <c r="S33" s="11">
        <f t="shared" si="3"/>
        <v>503004</v>
      </c>
      <c r="T33" s="11">
        <f t="shared" si="4"/>
        <v>134104</v>
      </c>
      <c r="U33" s="2">
        <v>3</v>
      </c>
      <c r="V33" s="14">
        <f t="shared" si="5"/>
        <v>134101</v>
      </c>
      <c r="W33" s="14">
        <f t="shared" si="6"/>
        <v>134102</v>
      </c>
      <c r="X33" s="14">
        <f t="shared" si="6"/>
        <v>134103</v>
      </c>
      <c r="Y33" s="2"/>
      <c r="Z33" s="2"/>
      <c r="AA33" s="2"/>
      <c r="AB33" s="2"/>
      <c r="AC33" s="2"/>
      <c r="AD33" s="2"/>
      <c r="AE33" s="2"/>
      <c r="AF33" s="2">
        <v>6</v>
      </c>
      <c r="AG33" s="2">
        <v>154</v>
      </c>
      <c r="AH33" s="2">
        <v>155</v>
      </c>
      <c r="AI33" s="2">
        <v>156</v>
      </c>
      <c r="AJ33" s="2">
        <v>433</v>
      </c>
      <c r="AK33" s="2">
        <v>434</v>
      </c>
      <c r="AL33" s="2">
        <v>437</v>
      </c>
      <c r="AM33" s="2"/>
      <c r="AN33" s="2"/>
      <c r="AO33" s="2"/>
      <c r="AP33" s="2"/>
      <c r="AQ33">
        <f t="shared" si="0"/>
        <v>0</v>
      </c>
      <c r="AR33">
        <f>IF(ISERROR(VLOOKUP(IF(O33=4,P33,IF(Q33=4,R33,0)),[4]D_任务!$A$2:$B$132,2,FALSE)),IF(O33=4,P33,IF(Q33=4,R33,0)),VLOOKUP(IF(O33=4,P33,IF(Q33=4,R33,0)),[4]D_任务!$A$2:$B$132,2,FALSE))</f>
        <v>0</v>
      </c>
      <c r="AS33" t="str">
        <f t="shared" si="1"/>
        <v>蒋生遇袭</v>
      </c>
      <c r="AT33">
        <f>VLOOKUP(A33,CHOOSE({1,2},[5]怪物信息表!$C$5:$C$77,[5]怪物信息表!$B$5:$B$77),2,FALSE)</f>
        <v>23</v>
      </c>
    </row>
    <row r="34" spans="1:46" x14ac:dyDescent="0.15">
      <c r="A34" s="2">
        <v>3005</v>
      </c>
      <c r="B34" s="2">
        <v>1</v>
      </c>
      <c r="C34" s="2">
        <v>3</v>
      </c>
      <c r="D34" s="8" t="s">
        <v>603</v>
      </c>
      <c r="E34" s="11">
        <f>IFERROR(VLOOKUP(C34,[3]副本规划!$Y$20:$Z$27,2,0),E33)</f>
        <v>6</v>
      </c>
      <c r="F34" s="2">
        <f>IFERROR(ROUNDUP(VLOOKUP(T34,CHOOSE({1,2},[5]D_怪物表!$I$1:$I$1120,[5]D_怪物表!$AH$1:$AH$1120),2,FALSE),0),0)</f>
        <v>3114</v>
      </c>
      <c r="G34" s="2">
        <v>1</v>
      </c>
      <c r="H34" s="2">
        <v>1</v>
      </c>
      <c r="I34" s="2">
        <v>0</v>
      </c>
      <c r="J34" s="2">
        <v>0</v>
      </c>
      <c r="K34" s="2">
        <v>0</v>
      </c>
      <c r="L34" s="2"/>
      <c r="M34" s="2">
        <f t="shared" si="2"/>
        <v>1</v>
      </c>
      <c r="N34" s="2">
        <v>1</v>
      </c>
      <c r="O34" s="2">
        <v>3</v>
      </c>
      <c r="P34" s="2">
        <f t="shared" si="10"/>
        <v>3004</v>
      </c>
      <c r="Q34" s="2">
        <v>0</v>
      </c>
      <c r="R34" s="2">
        <v>0</v>
      </c>
      <c r="S34" s="11">
        <f t="shared" si="3"/>
        <v>503005</v>
      </c>
      <c r="T34" s="11">
        <f t="shared" si="4"/>
        <v>135104</v>
      </c>
      <c r="U34" s="2">
        <v>3</v>
      </c>
      <c r="V34" s="14">
        <f t="shared" si="5"/>
        <v>135101</v>
      </c>
      <c r="W34" s="14">
        <f t="shared" si="6"/>
        <v>135102</v>
      </c>
      <c r="X34" s="14">
        <f t="shared" si="6"/>
        <v>135103</v>
      </c>
      <c r="Y34" s="2"/>
      <c r="Z34" s="2"/>
      <c r="AA34" s="2"/>
      <c r="AB34" s="2"/>
      <c r="AC34" s="2"/>
      <c r="AD34" s="2"/>
      <c r="AE34" s="2"/>
      <c r="AF34" s="2">
        <v>6</v>
      </c>
      <c r="AG34" s="2">
        <v>154</v>
      </c>
      <c r="AH34" s="2">
        <v>155</v>
      </c>
      <c r="AI34" s="2">
        <v>156</v>
      </c>
      <c r="AJ34" s="2">
        <v>433</v>
      </c>
      <c r="AK34" s="2">
        <v>434</v>
      </c>
      <c r="AL34" s="2">
        <v>437</v>
      </c>
      <c r="AM34" s="2"/>
      <c r="AN34" s="2"/>
      <c r="AO34" s="2"/>
      <c r="AP34" s="2"/>
      <c r="AQ34">
        <f t="shared" si="0"/>
        <v>0</v>
      </c>
      <c r="AR34">
        <f>IF(ISERROR(VLOOKUP(IF(O34=4,P34,IF(Q34=4,R34,0)),[4]D_任务!$A$2:$B$132,2,FALSE)),IF(O34=4,P34,IF(Q34=4,R34,0)),VLOOKUP(IF(O34=4,P34,IF(Q34=4,R34,0)),[4]D_任务!$A$2:$B$132,2,FALSE))</f>
        <v>0</v>
      </c>
      <c r="AS34" t="str">
        <f t="shared" si="1"/>
        <v>遭遇诬陷</v>
      </c>
      <c r="AT34">
        <f>VLOOKUP(A34,CHOOSE({1,2},[5]怪物信息表!$C$5:$C$77,[5]怪物信息表!$B$5:$B$77),2,FALSE)</f>
        <v>24</v>
      </c>
    </row>
    <row r="35" spans="1:46" x14ac:dyDescent="0.15">
      <c r="A35" s="2">
        <v>3006</v>
      </c>
      <c r="B35" s="2">
        <v>1</v>
      </c>
      <c r="C35" s="2">
        <v>3</v>
      </c>
      <c r="D35" s="8" t="s">
        <v>604</v>
      </c>
      <c r="E35" s="11">
        <f>IFERROR(VLOOKUP(C35,[3]副本规划!$Y$20:$Z$27,2,0),E34)</f>
        <v>6</v>
      </c>
      <c r="F35" s="2">
        <f>IFERROR(ROUNDUP(VLOOKUP(T35,CHOOSE({1,2},[5]D_怪物表!$I$1:$I$1120,[5]D_怪物表!$AH$1:$AH$1120),2,FALSE),0),0)</f>
        <v>3429</v>
      </c>
      <c r="G35" s="2">
        <v>1</v>
      </c>
      <c r="H35" s="2">
        <v>1</v>
      </c>
      <c r="I35" s="2">
        <v>0</v>
      </c>
      <c r="J35" s="2">
        <v>0</v>
      </c>
      <c r="K35" s="2">
        <v>0</v>
      </c>
      <c r="L35" s="2"/>
      <c r="M35" s="2">
        <f t="shared" si="2"/>
        <v>1</v>
      </c>
      <c r="N35" s="2">
        <v>1</v>
      </c>
      <c r="O35" s="2">
        <v>3</v>
      </c>
      <c r="P35" s="2">
        <f t="shared" si="10"/>
        <v>3005</v>
      </c>
      <c r="Q35" s="2">
        <v>0</v>
      </c>
      <c r="R35" s="2">
        <v>0</v>
      </c>
      <c r="S35" s="11">
        <f t="shared" si="3"/>
        <v>503006</v>
      </c>
      <c r="T35" s="11">
        <f t="shared" si="4"/>
        <v>136104</v>
      </c>
      <c r="U35" s="2">
        <v>3</v>
      </c>
      <c r="V35" s="14">
        <f t="shared" si="5"/>
        <v>136101</v>
      </c>
      <c r="W35" s="14">
        <f t="shared" si="6"/>
        <v>136102</v>
      </c>
      <c r="X35" s="14">
        <f t="shared" si="6"/>
        <v>136103</v>
      </c>
      <c r="Y35" s="2"/>
      <c r="Z35" s="2"/>
      <c r="AA35" s="2"/>
      <c r="AB35" s="2"/>
      <c r="AC35" s="2"/>
      <c r="AD35" s="2"/>
      <c r="AE35" s="2"/>
      <c r="AF35" s="2">
        <v>4</v>
      </c>
      <c r="AG35" s="2">
        <v>145</v>
      </c>
      <c r="AH35" s="2">
        <v>146</v>
      </c>
      <c r="AI35" s="2">
        <v>147</v>
      </c>
      <c r="AJ35" s="2">
        <v>167</v>
      </c>
      <c r="AK35" s="2"/>
      <c r="AL35" s="2"/>
      <c r="AM35" s="2"/>
      <c r="AN35" s="2"/>
      <c r="AO35" s="2"/>
      <c r="AP35" s="2"/>
      <c r="AQ35">
        <f t="shared" si="0"/>
        <v>0</v>
      </c>
      <c r="AR35">
        <f>IF(ISERROR(VLOOKUP(IF(O35=4,P35,IF(Q35=4,R35,0)),[4]D_任务!$A$2:$B$132,2,FALSE)),IF(O35=4,P35,IF(Q35=4,R35,0)),VLOOKUP(IF(O35=4,P35,IF(Q35=4,R35,0)),[4]D_任务!$A$2:$B$132,2,FALSE))</f>
        <v>0</v>
      </c>
      <c r="AS35" t="str">
        <f t="shared" si="1"/>
        <v>掩护浩南</v>
      </c>
      <c r="AT35">
        <f>VLOOKUP(A35,CHOOSE({1,2},[5]怪物信息表!$C$5:$C$77,[5]怪物信息表!$B$5:$B$77),2,FALSE)</f>
        <v>25</v>
      </c>
    </row>
    <row r="36" spans="1:46" x14ac:dyDescent="0.15">
      <c r="A36" s="2">
        <v>3007</v>
      </c>
      <c r="B36" s="2">
        <v>1</v>
      </c>
      <c r="C36" s="2">
        <v>3</v>
      </c>
      <c r="D36" s="8" t="s">
        <v>605</v>
      </c>
      <c r="E36" s="11">
        <f>IFERROR(VLOOKUP(C36,[3]副本规划!$Y$20:$Z$27,2,0),E35)</f>
        <v>6</v>
      </c>
      <c r="F36" s="2">
        <f>IFERROR(ROUNDUP(VLOOKUP(T36,CHOOSE({1,2},[5]D_怪物表!$I$1:$I$1120,[5]D_怪物表!$AH$1:$AH$1120),2,FALSE),0),0)</f>
        <v>3832</v>
      </c>
      <c r="G36" s="2">
        <v>1</v>
      </c>
      <c r="H36" s="2">
        <v>1</v>
      </c>
      <c r="I36" s="2">
        <v>0</v>
      </c>
      <c r="J36" s="2">
        <v>0</v>
      </c>
      <c r="K36" s="2">
        <v>0</v>
      </c>
      <c r="L36" s="2"/>
      <c r="M36" s="2">
        <f t="shared" ref="M36:M38" si="15">SUM(O36&gt;0,Q36&gt;0)</f>
        <v>1</v>
      </c>
      <c r="N36" s="2">
        <v>1</v>
      </c>
      <c r="O36" s="2">
        <v>3</v>
      </c>
      <c r="P36" s="2">
        <f t="shared" ref="P36:P38" si="16">A35</f>
        <v>3006</v>
      </c>
      <c r="Q36" s="2">
        <v>0</v>
      </c>
      <c r="R36" s="2">
        <v>0</v>
      </c>
      <c r="S36" s="11">
        <f t="shared" ref="S36:S38" si="17">50*10000+A36</f>
        <v>503007</v>
      </c>
      <c r="T36" s="11">
        <f t="shared" si="4"/>
        <v>137104</v>
      </c>
      <c r="U36" s="2">
        <v>3</v>
      </c>
      <c r="V36" s="14">
        <f t="shared" si="5"/>
        <v>137101</v>
      </c>
      <c r="W36" s="14">
        <f t="shared" si="6"/>
        <v>137102</v>
      </c>
      <c r="X36" s="14">
        <f t="shared" si="6"/>
        <v>137103</v>
      </c>
      <c r="Y36" s="2"/>
      <c r="Z36" s="2"/>
      <c r="AA36" s="2"/>
      <c r="AB36" s="2"/>
      <c r="AC36" s="2"/>
      <c r="AD36" s="2"/>
      <c r="AE36" s="2"/>
      <c r="AF36" s="2">
        <v>6</v>
      </c>
      <c r="AG36" s="2">
        <v>154</v>
      </c>
      <c r="AH36" s="2">
        <v>155</v>
      </c>
      <c r="AI36" s="2">
        <v>156</v>
      </c>
      <c r="AJ36" s="2">
        <v>433</v>
      </c>
      <c r="AK36" s="2">
        <v>434</v>
      </c>
      <c r="AL36" s="2">
        <v>437</v>
      </c>
      <c r="AM36" s="2"/>
      <c r="AN36" s="2"/>
      <c r="AO36" s="2"/>
      <c r="AP36" s="2"/>
      <c r="AQ36">
        <f t="shared" ref="AQ36:AQ38" si="18">IF(O36=1,P36,IF(Q36=1,R36,0))</f>
        <v>0</v>
      </c>
      <c r="AR36">
        <f>IF(ISERROR(VLOOKUP(IF(O36=4,P36,IF(Q36=4,R36,0)),[4]D_任务!$A$2:$B$132,2,FALSE)),IF(O36=4,P36,IF(Q36=4,R36,0)),VLOOKUP(IF(O36=4,P36,IF(Q36=4,R36,0)),[4]D_任务!$A$2:$B$132,2,FALSE))</f>
        <v>0</v>
      </c>
      <c r="AS36" t="str">
        <f t="shared" si="1"/>
        <v>获取弹药</v>
      </c>
      <c r="AT36">
        <f>VLOOKUP(A36,CHOOSE({1,2},[5]怪物信息表!$C$5:$C$77,[5]怪物信息表!$B$5:$B$77),2,FALSE)</f>
        <v>26</v>
      </c>
    </row>
    <row r="37" spans="1:46" x14ac:dyDescent="0.15">
      <c r="A37" s="2">
        <v>3008</v>
      </c>
      <c r="B37" s="2">
        <v>1</v>
      </c>
      <c r="C37" s="2">
        <v>3</v>
      </c>
      <c r="D37" s="8" t="s">
        <v>606</v>
      </c>
      <c r="E37" s="11">
        <f>IFERROR(VLOOKUP(C37,[3]副本规划!$Y$20:$Z$27,2,0),E36)</f>
        <v>6</v>
      </c>
      <c r="F37" s="2">
        <f>IFERROR(ROUNDUP(VLOOKUP(T37,CHOOSE({1,2},[5]D_怪物表!$I$1:$I$1120,[5]D_怪物表!$AH$1:$AH$1120),2,FALSE),0),0)</f>
        <v>4240</v>
      </c>
      <c r="G37" s="2">
        <v>1</v>
      </c>
      <c r="H37" s="2">
        <v>1</v>
      </c>
      <c r="I37" s="2">
        <v>0</v>
      </c>
      <c r="J37" s="2">
        <v>0</v>
      </c>
      <c r="K37" s="2">
        <v>0</v>
      </c>
      <c r="L37" s="2"/>
      <c r="M37" s="2">
        <f t="shared" si="15"/>
        <v>1</v>
      </c>
      <c r="N37" s="2">
        <v>1</v>
      </c>
      <c r="O37" s="2">
        <v>3</v>
      </c>
      <c r="P37" s="2">
        <f t="shared" si="16"/>
        <v>3007</v>
      </c>
      <c r="Q37" s="2">
        <v>0</v>
      </c>
      <c r="R37" s="2">
        <v>0</v>
      </c>
      <c r="S37" s="11">
        <f t="shared" si="17"/>
        <v>503008</v>
      </c>
      <c r="T37" s="11">
        <f t="shared" si="4"/>
        <v>138104</v>
      </c>
      <c r="U37" s="2">
        <v>3</v>
      </c>
      <c r="V37" s="14">
        <f t="shared" si="5"/>
        <v>138101</v>
      </c>
      <c r="W37" s="14">
        <f t="shared" si="6"/>
        <v>138102</v>
      </c>
      <c r="X37" s="14">
        <f t="shared" si="6"/>
        <v>138103</v>
      </c>
      <c r="Y37" s="2"/>
      <c r="Z37" s="2"/>
      <c r="AA37" s="2"/>
      <c r="AB37" s="2"/>
      <c r="AC37" s="2"/>
      <c r="AD37" s="2"/>
      <c r="AE37" s="2"/>
      <c r="AF37" s="2">
        <v>3</v>
      </c>
      <c r="AG37" s="2">
        <v>230</v>
      </c>
      <c r="AH37" s="2">
        <v>231</v>
      </c>
      <c r="AI37" s="2">
        <v>232</v>
      </c>
      <c r="AJ37" s="2"/>
      <c r="AK37" s="2"/>
      <c r="AL37" s="2"/>
      <c r="AM37" s="2"/>
      <c r="AN37" s="2"/>
      <c r="AO37" s="2"/>
      <c r="AP37" s="2"/>
      <c r="AQ37">
        <f t="shared" si="18"/>
        <v>0</v>
      </c>
      <c r="AR37">
        <f>IF(ISERROR(VLOOKUP(IF(O37=4,P37,IF(Q37=4,R37,0)),[4]D_任务!$A$2:$B$132,2,FALSE)),IF(O37=4,P37,IF(Q37=4,R37,0)),VLOOKUP(IF(O37=4,P37,IF(Q37=4,R37,0)),[4]D_任务!$A$2:$B$132,2,FALSE))</f>
        <v>0</v>
      </c>
      <c r="AS37" t="str">
        <f t="shared" si="1"/>
        <v>小结巴之死</v>
      </c>
      <c r="AT37">
        <f>VLOOKUP(A37,CHOOSE({1,2},[5]怪物信息表!$C$5:$C$77,[5]怪物信息表!$B$5:$B$77),2,FALSE)</f>
        <v>27</v>
      </c>
    </row>
    <row r="38" spans="1:46" x14ac:dyDescent="0.15">
      <c r="A38" s="2">
        <v>3009</v>
      </c>
      <c r="B38" s="2">
        <v>1</v>
      </c>
      <c r="C38" s="2">
        <v>3</v>
      </c>
      <c r="D38" s="8" t="s">
        <v>354</v>
      </c>
      <c r="E38" s="11">
        <f>IFERROR(VLOOKUP(C38,[3]副本规划!$Y$20:$Z$27,2,0),E37)</f>
        <v>6</v>
      </c>
      <c r="F38" s="2">
        <f>IFERROR(ROUNDUP(VLOOKUP(T38,CHOOSE({1,2},[5]D_怪物表!$I$1:$I$1120,[5]D_怪物表!$AH$1:$AH$1120),2,FALSE),0),0)</f>
        <v>5313</v>
      </c>
      <c r="G38" s="2">
        <v>1</v>
      </c>
      <c r="H38" s="2">
        <v>1</v>
      </c>
      <c r="I38" s="2">
        <v>0</v>
      </c>
      <c r="J38" s="2">
        <v>0</v>
      </c>
      <c r="K38" s="2">
        <v>0</v>
      </c>
      <c r="L38" s="2"/>
      <c r="M38" s="2">
        <f t="shared" si="15"/>
        <v>1</v>
      </c>
      <c r="N38" s="2">
        <v>1</v>
      </c>
      <c r="O38" s="2">
        <v>3</v>
      </c>
      <c r="P38" s="2">
        <f t="shared" si="16"/>
        <v>3008</v>
      </c>
      <c r="Q38" s="2">
        <v>0</v>
      </c>
      <c r="R38" s="2">
        <v>0</v>
      </c>
      <c r="S38" s="11">
        <f t="shared" si="17"/>
        <v>503009</v>
      </c>
      <c r="T38" s="11">
        <f t="shared" si="4"/>
        <v>139104</v>
      </c>
      <c r="U38" s="2">
        <v>3</v>
      </c>
      <c r="V38" s="14">
        <f t="shared" si="5"/>
        <v>139101</v>
      </c>
      <c r="W38" s="14">
        <f t="shared" si="6"/>
        <v>139102</v>
      </c>
      <c r="X38" s="14">
        <f t="shared" si="6"/>
        <v>139103</v>
      </c>
      <c r="Y38" s="2"/>
      <c r="Z38" s="2"/>
      <c r="AA38" s="2"/>
      <c r="AB38" s="2"/>
      <c r="AC38" s="2"/>
      <c r="AD38" s="2"/>
      <c r="AE38" s="2"/>
      <c r="AF38" s="2">
        <v>4</v>
      </c>
      <c r="AG38" s="2">
        <v>145</v>
      </c>
      <c r="AH38" s="2">
        <v>146</v>
      </c>
      <c r="AI38" s="2">
        <v>147</v>
      </c>
      <c r="AJ38" s="2">
        <v>167</v>
      </c>
      <c r="AK38" s="2"/>
      <c r="AL38" s="2"/>
      <c r="AM38" s="2"/>
      <c r="AN38" s="2"/>
      <c r="AO38" s="2"/>
      <c r="AP38" s="2"/>
      <c r="AQ38">
        <f t="shared" si="18"/>
        <v>0</v>
      </c>
      <c r="AR38">
        <f>IF(ISERROR(VLOOKUP(IF(O38=4,P38,IF(Q38=4,R38,0)),[4]D_任务!$A$2:$B$132,2,FALSE)),IF(O38=4,P38,IF(Q38=4,R38,0)),VLOOKUP(IF(O38=4,P38,IF(Q38=4,R38,0)),[4]D_任务!$A$2:$B$132,2,FALSE))</f>
        <v>0</v>
      </c>
      <c r="AS38" t="str">
        <f t="shared" si="1"/>
        <v>复仇之路</v>
      </c>
      <c r="AT38">
        <f>VLOOKUP(A38,CHOOSE({1,2},[5]怪物信息表!$C$5:$C$77,[5]怪物信息表!$B$5:$B$77),2,FALSE)</f>
        <v>28</v>
      </c>
    </row>
    <row r="39" spans="1:46" x14ac:dyDescent="0.15">
      <c r="A39" s="2">
        <v>4001</v>
      </c>
      <c r="B39" s="2">
        <v>1</v>
      </c>
      <c r="C39" s="2">
        <v>4</v>
      </c>
      <c r="D39" s="8" t="s">
        <v>357</v>
      </c>
      <c r="E39" s="11">
        <f>IFERROR(VLOOKUP(C39,[3]副本规划!$Y$20:$Z$27,2,0),E35)</f>
        <v>8</v>
      </c>
      <c r="F39" s="2">
        <f>IFERROR(ROUNDUP(VLOOKUP(T39,CHOOSE({1,2},[5]D_怪物表!$I$1:$I$1120,[5]D_怪物表!$AH$1:$AH$1120),2,FALSE),0),0)</f>
        <v>5141</v>
      </c>
      <c r="G39" s="2">
        <v>1</v>
      </c>
      <c r="H39" s="2">
        <v>1</v>
      </c>
      <c r="I39" s="2">
        <v>0</v>
      </c>
      <c r="J39" s="2">
        <v>0</v>
      </c>
      <c r="K39" s="2">
        <v>0</v>
      </c>
      <c r="L39" s="2"/>
      <c r="M39" s="2">
        <f t="shared" si="2"/>
        <v>2</v>
      </c>
      <c r="N39" s="2">
        <v>1</v>
      </c>
      <c r="O39" s="2">
        <v>3</v>
      </c>
      <c r="P39" s="2">
        <f>A38</f>
        <v>3009</v>
      </c>
      <c r="Q39" s="2">
        <v>1</v>
      </c>
      <c r="R39" s="2">
        <f>IF(MOD(A39,10)=1,VLOOKUP(A39,CHOOSE({1,2},[5]怪物信息表!$C$5:$C$77,[5]怪物信息表!$B$5:$B$77),2,FALSE),R38)</f>
        <v>29</v>
      </c>
      <c r="S39" s="11">
        <f t="shared" si="3"/>
        <v>504001</v>
      </c>
      <c r="T39" s="11">
        <f t="shared" si="4"/>
        <v>141104</v>
      </c>
      <c r="U39" s="2">
        <v>3</v>
      </c>
      <c r="V39" s="14">
        <f t="shared" si="5"/>
        <v>141101</v>
      </c>
      <c r="W39" s="14">
        <f t="shared" si="6"/>
        <v>141102</v>
      </c>
      <c r="X39" s="14">
        <f t="shared" si="6"/>
        <v>141103</v>
      </c>
      <c r="Y39" s="2"/>
      <c r="Z39" s="2"/>
      <c r="AA39" s="2"/>
      <c r="AB39" s="2"/>
      <c r="AC39" s="2"/>
      <c r="AD39" s="2"/>
      <c r="AE39" s="2"/>
      <c r="AF39" s="2">
        <v>4</v>
      </c>
      <c r="AG39" s="2">
        <v>129</v>
      </c>
      <c r="AH39" s="2">
        <v>130</v>
      </c>
      <c r="AI39" s="2">
        <v>131</v>
      </c>
      <c r="AJ39" s="2">
        <v>178</v>
      </c>
      <c r="AK39" s="2"/>
      <c r="AL39" s="2"/>
      <c r="AM39" s="2"/>
      <c r="AN39" s="2"/>
      <c r="AO39" s="2"/>
      <c r="AP39" s="2"/>
      <c r="AQ39">
        <f t="shared" si="0"/>
        <v>29</v>
      </c>
      <c r="AR39">
        <f>IF(ISERROR(VLOOKUP(IF(O39=4,P39,IF(Q39=4,R39,0)),[4]D_任务!$A$2:$B$132,2,FALSE)),IF(O39=4,P39,IF(Q39=4,R39,0)),VLOOKUP(IF(O39=4,P39,IF(Q39=4,R39,0)),[4]D_任务!$A$2:$B$132,2,FALSE))</f>
        <v>0</v>
      </c>
      <c r="AS39" t="str">
        <f t="shared" si="1"/>
        <v>双虎覆灭</v>
      </c>
      <c r="AT39">
        <f>VLOOKUP(A39,CHOOSE({1,2},[5]怪物信息表!$C$5:$C$77,[5]怪物信息表!$B$5:$B$77),2,FALSE)</f>
        <v>29</v>
      </c>
    </row>
    <row r="40" spans="1:46" x14ac:dyDescent="0.15">
      <c r="A40" s="2">
        <v>4002</v>
      </c>
      <c r="B40" s="2">
        <v>1</v>
      </c>
      <c r="C40" s="2">
        <v>4</v>
      </c>
      <c r="D40" s="8" t="s">
        <v>355</v>
      </c>
      <c r="E40" s="11">
        <f>IFERROR(VLOOKUP(C40,[3]副本规划!$Y$20:$Z$27,2,0),E39)</f>
        <v>8</v>
      </c>
      <c r="F40" s="2">
        <f>IFERROR(ROUNDUP(VLOOKUP(T40,CHOOSE({1,2},[5]D_怪物表!$I$1:$I$1120,[5]D_怪物表!$AH$1:$AH$1120),2,FALSE),0),0)</f>
        <v>5685</v>
      </c>
      <c r="G40" s="2">
        <v>1</v>
      </c>
      <c r="H40" s="2">
        <v>1</v>
      </c>
      <c r="I40" s="2">
        <v>0</v>
      </c>
      <c r="J40" s="2">
        <v>0</v>
      </c>
      <c r="K40" s="2">
        <v>0</v>
      </c>
      <c r="L40" s="2"/>
      <c r="M40" s="2">
        <f t="shared" si="2"/>
        <v>2</v>
      </c>
      <c r="N40" s="2">
        <v>1</v>
      </c>
      <c r="O40" s="2">
        <v>3</v>
      </c>
      <c r="P40" s="2">
        <f t="shared" si="10"/>
        <v>4001</v>
      </c>
      <c r="Q40" s="2">
        <v>1</v>
      </c>
      <c r="R40" s="2">
        <f>IF(MOD(A40,10)=1,VLOOKUP(A40,CHOOSE({1,2},[5]怪物信息表!$C$5:$C$77,[5]怪物信息表!$B$5:$B$77),2,FALSE),R39)</f>
        <v>29</v>
      </c>
      <c r="S40" s="11">
        <f t="shared" si="3"/>
        <v>504002</v>
      </c>
      <c r="T40" s="11">
        <f t="shared" si="4"/>
        <v>142104</v>
      </c>
      <c r="U40" s="2">
        <v>3</v>
      </c>
      <c r="V40" s="14">
        <f t="shared" si="5"/>
        <v>142101</v>
      </c>
      <c r="W40" s="14">
        <f t="shared" si="6"/>
        <v>142102</v>
      </c>
      <c r="X40" s="14">
        <f t="shared" si="6"/>
        <v>142103</v>
      </c>
      <c r="Y40" s="2"/>
      <c r="Z40" s="2"/>
      <c r="AA40" s="2"/>
      <c r="AB40" s="2"/>
      <c r="AC40" s="2"/>
      <c r="AD40" s="2"/>
      <c r="AE40" s="2"/>
      <c r="AF40" s="2">
        <v>4</v>
      </c>
      <c r="AG40" s="2">
        <v>116</v>
      </c>
      <c r="AH40" s="2">
        <v>117</v>
      </c>
      <c r="AI40" s="2">
        <v>118</v>
      </c>
      <c r="AJ40" s="2">
        <v>160</v>
      </c>
      <c r="AK40" s="2"/>
      <c r="AL40" s="2"/>
      <c r="AM40" s="2"/>
      <c r="AN40" s="2"/>
      <c r="AO40" s="2"/>
      <c r="AP40" s="2"/>
      <c r="AQ40">
        <f t="shared" si="0"/>
        <v>29</v>
      </c>
      <c r="AR40">
        <f>IF(ISERROR(VLOOKUP(IF(O40=4,P40,IF(Q40=4,R40,0)),[4]D_任务!$A$2:$B$132,2,FALSE)),IF(O40=4,P40,IF(Q40=4,R40,0)),VLOOKUP(IF(O40=4,P40,IF(Q40=4,R40,0)),[4]D_任务!$A$2:$B$132,2,FALSE))</f>
        <v>0</v>
      </c>
      <c r="AS40" t="str">
        <f t="shared" si="1"/>
        <v>驱除袭击者</v>
      </c>
      <c r="AT40">
        <f>VLOOKUP(A40,CHOOSE({1,2},[5]怪物信息表!$C$5:$C$77,[5]怪物信息表!$B$5:$B$77),2,FALSE)</f>
        <v>30</v>
      </c>
    </row>
    <row r="41" spans="1:46" x14ac:dyDescent="0.15">
      <c r="A41" s="2">
        <v>4003</v>
      </c>
      <c r="B41" s="2">
        <v>1</v>
      </c>
      <c r="C41" s="2">
        <v>4</v>
      </c>
      <c r="D41" s="8" t="s">
        <v>358</v>
      </c>
      <c r="E41" s="11">
        <f>IFERROR(VLOOKUP(C41,[3]副本规划!$Y$20:$Z$27,2,0),E40)</f>
        <v>8</v>
      </c>
      <c r="F41" s="2">
        <f>IFERROR(ROUNDUP(VLOOKUP(T41,CHOOSE({1,2},[5]D_怪物表!$I$1:$I$1120,[5]D_怪物表!$AH$1:$AH$1120),2,FALSE),0),0)</f>
        <v>6329</v>
      </c>
      <c r="G41" s="2">
        <v>1</v>
      </c>
      <c r="H41" s="2">
        <v>1</v>
      </c>
      <c r="I41" s="2">
        <v>0</v>
      </c>
      <c r="J41" s="2">
        <v>0</v>
      </c>
      <c r="K41" s="2">
        <v>0</v>
      </c>
      <c r="L41" s="2"/>
      <c r="M41" s="2">
        <f t="shared" si="2"/>
        <v>2</v>
      </c>
      <c r="N41" s="2">
        <v>1</v>
      </c>
      <c r="O41" s="2">
        <v>3</v>
      </c>
      <c r="P41" s="2">
        <f t="shared" si="10"/>
        <v>4002</v>
      </c>
      <c r="Q41" s="2">
        <v>1</v>
      </c>
      <c r="R41" s="2">
        <f>IF(MOD(A41,10)=1,VLOOKUP(A41,CHOOSE({1,2},[5]怪物信息表!$C$5:$C$77,[5]怪物信息表!$B$5:$B$77),2,FALSE),R40)</f>
        <v>29</v>
      </c>
      <c r="S41" s="11">
        <f t="shared" si="3"/>
        <v>504003</v>
      </c>
      <c r="T41" s="11">
        <f t="shared" si="4"/>
        <v>143104</v>
      </c>
      <c r="U41" s="2">
        <v>3</v>
      </c>
      <c r="V41" s="14">
        <f t="shared" si="5"/>
        <v>143101</v>
      </c>
      <c r="W41" s="14">
        <f t="shared" si="6"/>
        <v>143102</v>
      </c>
      <c r="X41" s="14">
        <f t="shared" si="6"/>
        <v>143103</v>
      </c>
      <c r="Y41" s="2"/>
      <c r="Z41" s="2"/>
      <c r="AA41" s="2"/>
      <c r="AB41" s="2"/>
      <c r="AC41" s="2"/>
      <c r="AD41" s="2"/>
      <c r="AE41" s="2"/>
      <c r="AF41" s="2">
        <v>3</v>
      </c>
      <c r="AG41" s="2">
        <v>121</v>
      </c>
      <c r="AH41" s="2">
        <v>122</v>
      </c>
      <c r="AI41" s="2">
        <v>123</v>
      </c>
      <c r="AJ41" s="2"/>
      <c r="AK41" s="2"/>
      <c r="AL41" s="2"/>
      <c r="AM41" s="2"/>
      <c r="AN41" s="2"/>
      <c r="AO41" s="2"/>
      <c r="AP41" s="2"/>
      <c r="AQ41">
        <f t="shared" si="0"/>
        <v>29</v>
      </c>
      <c r="AR41">
        <f>IF(ISERROR(VLOOKUP(IF(O41=4,P41,IF(Q41=4,R41,0)),[4]D_任务!$A$2:$B$132,2,FALSE)),IF(O41=4,P41,IF(Q41=4,R41,0)),VLOOKUP(IF(O41=4,P41,IF(Q41=4,R41,0)),[4]D_任务!$A$2:$B$132,2,FALSE))</f>
        <v>0</v>
      </c>
      <c r="AS41" t="str">
        <f t="shared" si="1"/>
        <v>屯门之争</v>
      </c>
      <c r="AT41">
        <f>VLOOKUP(A41,CHOOSE({1,2},[5]怪物信息表!$C$5:$C$77,[5]怪物信息表!$B$5:$B$77),2,FALSE)</f>
        <v>31</v>
      </c>
    </row>
    <row r="42" spans="1:46" x14ac:dyDescent="0.15">
      <c r="A42" s="2">
        <v>4004</v>
      </c>
      <c r="B42" s="2">
        <v>1</v>
      </c>
      <c r="C42" s="2">
        <v>4</v>
      </c>
      <c r="D42" s="8" t="s">
        <v>607</v>
      </c>
      <c r="E42" s="11">
        <f>IFERROR(VLOOKUP(C42,[3]副本规划!$Y$20:$Z$27,2,0),E41)</f>
        <v>8</v>
      </c>
      <c r="F42" s="2">
        <f>IFERROR(ROUNDUP(VLOOKUP(T42,CHOOSE({1,2},[5]D_怪物表!$I$1:$I$1120,[5]D_怪物表!$AH$1:$AH$1120),2,FALSE),0),0)</f>
        <v>7006</v>
      </c>
      <c r="G42" s="2">
        <v>1</v>
      </c>
      <c r="H42" s="2">
        <v>1</v>
      </c>
      <c r="I42" s="2">
        <v>0</v>
      </c>
      <c r="J42" s="2">
        <v>0</v>
      </c>
      <c r="K42" s="2">
        <v>0</v>
      </c>
      <c r="L42" s="2"/>
      <c r="M42" s="2">
        <f t="shared" si="2"/>
        <v>2</v>
      </c>
      <c r="N42" s="2">
        <v>1</v>
      </c>
      <c r="O42" s="2">
        <v>3</v>
      </c>
      <c r="P42" s="2">
        <f t="shared" si="10"/>
        <v>4003</v>
      </c>
      <c r="Q42" s="2">
        <v>1</v>
      </c>
      <c r="R42" s="2">
        <f>IF(MOD(A42,10)=1,VLOOKUP(A42,CHOOSE({1,2},[5]怪物信息表!$C$5:$C$77,[5]怪物信息表!$B$5:$B$77),2,FALSE),R41)</f>
        <v>29</v>
      </c>
      <c r="S42" s="11">
        <f t="shared" si="3"/>
        <v>504004</v>
      </c>
      <c r="T42" s="11">
        <f t="shared" si="4"/>
        <v>144104</v>
      </c>
      <c r="U42" s="2">
        <v>3</v>
      </c>
      <c r="V42" s="14">
        <f t="shared" si="5"/>
        <v>144101</v>
      </c>
      <c r="W42" s="14">
        <f t="shared" si="6"/>
        <v>144102</v>
      </c>
      <c r="X42" s="14">
        <f t="shared" si="6"/>
        <v>144103</v>
      </c>
      <c r="Y42" s="2"/>
      <c r="Z42" s="2"/>
      <c r="AA42" s="2"/>
      <c r="AB42" s="2"/>
      <c r="AC42" s="2"/>
      <c r="AD42" s="2"/>
      <c r="AE42" s="2"/>
      <c r="AF42" s="2">
        <v>3</v>
      </c>
      <c r="AG42" s="2">
        <v>156</v>
      </c>
      <c r="AH42" s="2">
        <v>157</v>
      </c>
      <c r="AI42" s="2">
        <v>158</v>
      </c>
      <c r="AJ42" s="2">
        <v>209</v>
      </c>
      <c r="AK42" s="2"/>
      <c r="AL42" s="2"/>
      <c r="AM42" s="2"/>
      <c r="AN42" s="2"/>
      <c r="AO42" s="2"/>
      <c r="AP42" s="2"/>
      <c r="AQ42">
        <f t="shared" si="0"/>
        <v>29</v>
      </c>
      <c r="AR42">
        <f>IF(ISERROR(VLOOKUP(IF(O42=4,P42,IF(Q42=4,R42,0)),[4]D_任务!$A$2:$B$132,2,FALSE)),IF(O42=4,P42,IF(Q42=4,R42,0)),VLOOKUP(IF(O42=4,P42,IF(Q42=4,R42,0)),[4]D_任务!$A$2:$B$132,2,FALSE))</f>
        <v>0</v>
      </c>
      <c r="AS42" t="str">
        <f t="shared" si="1"/>
        <v>教会解围</v>
      </c>
      <c r="AT42">
        <f>VLOOKUP(A42,CHOOSE({1,2},[5]怪物信息表!$C$5:$C$77,[5]怪物信息表!$B$5:$B$77),2,FALSE)</f>
        <v>32</v>
      </c>
    </row>
    <row r="43" spans="1:46" x14ac:dyDescent="0.15">
      <c r="A43" s="2">
        <v>4005</v>
      </c>
      <c r="B43" s="2">
        <v>1</v>
      </c>
      <c r="C43" s="2">
        <v>4</v>
      </c>
      <c r="D43" s="8" t="s">
        <v>608</v>
      </c>
      <c r="E43" s="11">
        <f>IFERROR(VLOOKUP(C43,[3]副本规划!$Y$20:$Z$27,2,0),E42)</f>
        <v>8</v>
      </c>
      <c r="F43" s="2">
        <f>IFERROR(ROUNDUP(VLOOKUP(T43,CHOOSE({1,2},[5]D_怪物表!$I$1:$I$1120,[5]D_怪物表!$AH$1:$AH$1120),2,FALSE),0),0)</f>
        <v>7734</v>
      </c>
      <c r="G43" s="2">
        <v>1</v>
      </c>
      <c r="H43" s="2">
        <v>1</v>
      </c>
      <c r="I43" s="2">
        <v>0</v>
      </c>
      <c r="J43" s="2">
        <v>0</v>
      </c>
      <c r="K43" s="2">
        <v>0</v>
      </c>
      <c r="L43" s="2"/>
      <c r="M43" s="2">
        <f t="shared" si="2"/>
        <v>2</v>
      </c>
      <c r="N43" s="2">
        <v>1</v>
      </c>
      <c r="O43" s="2">
        <v>3</v>
      </c>
      <c r="P43" s="2">
        <f t="shared" si="10"/>
        <v>4004</v>
      </c>
      <c r="Q43" s="2">
        <v>1</v>
      </c>
      <c r="R43" s="2">
        <f>IF(MOD(A43,10)=1,VLOOKUP(A43,CHOOSE({1,2},[5]怪物信息表!$C$5:$C$77,[5]怪物信息表!$B$5:$B$77),2,FALSE),R42)</f>
        <v>29</v>
      </c>
      <c r="S43" s="11">
        <f t="shared" si="3"/>
        <v>504005</v>
      </c>
      <c r="T43" s="11">
        <f t="shared" si="4"/>
        <v>145104</v>
      </c>
      <c r="U43" s="2">
        <v>3</v>
      </c>
      <c r="V43" s="14">
        <f t="shared" si="5"/>
        <v>145101</v>
      </c>
      <c r="W43" s="14">
        <f t="shared" si="6"/>
        <v>145102</v>
      </c>
      <c r="X43" s="14">
        <f t="shared" si="6"/>
        <v>145103</v>
      </c>
      <c r="Y43" s="2"/>
      <c r="Z43" s="2"/>
      <c r="AA43" s="2"/>
      <c r="AB43" s="2"/>
      <c r="AC43" s="2"/>
      <c r="AD43" s="2"/>
      <c r="AE43" s="2"/>
      <c r="AF43" s="2">
        <v>3</v>
      </c>
      <c r="AG43" s="2">
        <v>107</v>
      </c>
      <c r="AH43" s="2">
        <v>108</v>
      </c>
      <c r="AI43" s="2">
        <v>109</v>
      </c>
      <c r="AJ43" s="2"/>
      <c r="AK43" s="2"/>
      <c r="AL43" s="2"/>
      <c r="AM43" s="2"/>
      <c r="AN43" s="2"/>
      <c r="AO43" s="2"/>
      <c r="AP43" s="2"/>
      <c r="AQ43">
        <f t="shared" si="0"/>
        <v>29</v>
      </c>
      <c r="AR43">
        <f>IF(ISERROR(VLOOKUP(IF(O43=4,P43,IF(Q43=4,R43,0)),[4]D_任务!$A$2:$B$132,2,FALSE)),IF(O43=4,P43,IF(Q43=4,R43,0)),VLOOKUP(IF(O43=4,P43,IF(Q43=4,R43,0)),[4]D_任务!$A$2:$B$132,2,FALSE))</f>
        <v>0</v>
      </c>
      <c r="AS43" t="str">
        <f t="shared" si="1"/>
        <v>地盘纷争</v>
      </c>
      <c r="AT43">
        <f>VLOOKUP(A43,CHOOSE({1,2},[5]怪物信息表!$C$5:$C$77,[5]怪物信息表!$B$5:$B$77),2,FALSE)</f>
        <v>33</v>
      </c>
    </row>
    <row r="44" spans="1:46" x14ac:dyDescent="0.15">
      <c r="A44" s="2">
        <v>4006</v>
      </c>
      <c r="B44" s="2">
        <v>1</v>
      </c>
      <c r="C44" s="2">
        <v>4</v>
      </c>
      <c r="D44" s="8" t="s">
        <v>609</v>
      </c>
      <c r="E44" s="11">
        <f>IFERROR(VLOOKUP(C44,[3]副本规划!$Y$20:$Z$27,2,0),E43)</f>
        <v>8</v>
      </c>
      <c r="F44" s="2">
        <f>IFERROR(ROUNDUP(VLOOKUP(T44,CHOOSE({1,2},[5]D_怪物表!$I$1:$I$1120,[5]D_怪物表!$AH$1:$AH$1120),2,FALSE),0),0)</f>
        <v>8526</v>
      </c>
      <c r="G44" s="2">
        <v>1</v>
      </c>
      <c r="H44" s="2">
        <v>1</v>
      </c>
      <c r="I44" s="2">
        <v>0</v>
      </c>
      <c r="J44" s="2">
        <v>0</v>
      </c>
      <c r="K44" s="2">
        <v>0</v>
      </c>
      <c r="L44" s="2"/>
      <c r="M44" s="2">
        <f t="shared" si="2"/>
        <v>2</v>
      </c>
      <c r="N44" s="2">
        <v>1</v>
      </c>
      <c r="O44" s="2">
        <v>3</v>
      </c>
      <c r="P44" s="2">
        <f t="shared" si="10"/>
        <v>4005</v>
      </c>
      <c r="Q44" s="2">
        <v>1</v>
      </c>
      <c r="R44" s="2">
        <f>IF(MOD(A44,10)=1,VLOOKUP(A44,CHOOSE({1,2},[5]怪物信息表!$C$5:$C$77,[5]怪物信息表!$B$5:$B$77),2,FALSE),R43)</f>
        <v>29</v>
      </c>
      <c r="S44" s="11">
        <f t="shared" si="3"/>
        <v>504006</v>
      </c>
      <c r="T44" s="11">
        <f t="shared" si="4"/>
        <v>146104</v>
      </c>
      <c r="U44" s="2">
        <v>3</v>
      </c>
      <c r="V44" s="14">
        <f t="shared" si="5"/>
        <v>146101</v>
      </c>
      <c r="W44" s="14">
        <f t="shared" si="6"/>
        <v>146102</v>
      </c>
      <c r="X44" s="14">
        <f t="shared" si="6"/>
        <v>146103</v>
      </c>
      <c r="Y44" s="2"/>
      <c r="Z44" s="2"/>
      <c r="AA44" s="2"/>
      <c r="AB44" s="2"/>
      <c r="AC44" s="2"/>
      <c r="AD44" s="2"/>
      <c r="AE44" s="2"/>
      <c r="AF44" s="2">
        <v>4</v>
      </c>
      <c r="AG44" s="2">
        <v>122</v>
      </c>
      <c r="AH44" s="2">
        <v>123</v>
      </c>
      <c r="AI44" s="2">
        <v>124</v>
      </c>
      <c r="AJ44" s="2">
        <v>167</v>
      </c>
      <c r="AK44" s="2"/>
      <c r="AL44" s="2"/>
      <c r="AM44" s="2"/>
      <c r="AN44" s="2"/>
      <c r="AO44" s="2"/>
      <c r="AP44" s="2"/>
      <c r="AQ44">
        <f t="shared" si="0"/>
        <v>29</v>
      </c>
      <c r="AR44">
        <f>IF(ISERROR(VLOOKUP(IF(O44=4,P44,IF(Q44=4,R44,0)),[4]D_任务!$A$2:$B$132,2,FALSE)),IF(O44=4,P44,IF(Q44=4,R44,0)),VLOOKUP(IF(O44=4,P44,IF(Q44=4,R44,0)),[4]D_任务!$A$2:$B$132,2,FALSE))</f>
        <v>0</v>
      </c>
      <c r="AS44" t="str">
        <f t="shared" si="1"/>
        <v>营救大天二</v>
      </c>
      <c r="AT44">
        <f>VLOOKUP(A44,CHOOSE({1,2},[5]怪物信息表!$C$5:$C$77,[5]怪物信息表!$B$5:$B$77),2,FALSE)</f>
        <v>34</v>
      </c>
    </row>
    <row r="45" spans="1:46" x14ac:dyDescent="0.15">
      <c r="A45" s="2">
        <v>4007</v>
      </c>
      <c r="B45" s="2">
        <v>1</v>
      </c>
      <c r="C45" s="2">
        <v>4</v>
      </c>
      <c r="D45" s="8" t="s">
        <v>610</v>
      </c>
      <c r="E45" s="11">
        <f>IFERROR(VLOOKUP(C45,[3]副本规划!$Y$20:$Z$27,2,0),E44)</f>
        <v>8</v>
      </c>
      <c r="F45" s="2">
        <f>IFERROR(ROUNDUP(VLOOKUP(T45,CHOOSE({1,2},[5]D_怪物表!$I$1:$I$1120,[5]D_怪物表!$AH$1:$AH$1120),2,FALSE),0),0)</f>
        <v>9364</v>
      </c>
      <c r="G45" s="2">
        <v>1</v>
      </c>
      <c r="H45" s="2">
        <v>1</v>
      </c>
      <c r="I45" s="2">
        <v>0</v>
      </c>
      <c r="J45" s="2">
        <v>0</v>
      </c>
      <c r="K45" s="2">
        <v>0</v>
      </c>
      <c r="L45" s="2"/>
      <c r="M45" s="2">
        <f t="shared" ref="M45:M47" si="19">SUM(O45&gt;0,Q45&gt;0)</f>
        <v>2</v>
      </c>
      <c r="N45" s="2">
        <v>1</v>
      </c>
      <c r="O45" s="2">
        <v>3</v>
      </c>
      <c r="P45" s="2">
        <f t="shared" ref="P45:P47" si="20">A44</f>
        <v>4006</v>
      </c>
      <c r="Q45" s="2">
        <v>1</v>
      </c>
      <c r="R45" s="2">
        <f>IF(MOD(A45,10)=1,VLOOKUP(A45,CHOOSE({1,2},[5]怪物信息表!$C$5:$C$77,[5]怪物信息表!$B$5:$B$77),2,FALSE),R44)</f>
        <v>29</v>
      </c>
      <c r="S45" s="11">
        <f t="shared" ref="S45:S47" si="21">50*10000+A45</f>
        <v>504007</v>
      </c>
      <c r="T45" s="11">
        <f t="shared" si="4"/>
        <v>147104</v>
      </c>
      <c r="U45" s="2">
        <v>3</v>
      </c>
      <c r="V45" s="14">
        <f t="shared" si="5"/>
        <v>147101</v>
      </c>
      <c r="W45" s="14">
        <f t="shared" si="6"/>
        <v>147102</v>
      </c>
      <c r="X45" s="14">
        <f t="shared" si="6"/>
        <v>147103</v>
      </c>
      <c r="Y45" s="2"/>
      <c r="Z45" s="2"/>
      <c r="AA45" s="2"/>
      <c r="AB45" s="2"/>
      <c r="AC45" s="2"/>
      <c r="AD45" s="2"/>
      <c r="AE45" s="2"/>
      <c r="AF45" s="2">
        <v>3</v>
      </c>
      <c r="AG45" s="2">
        <v>156</v>
      </c>
      <c r="AH45" s="2">
        <v>157</v>
      </c>
      <c r="AI45" s="2">
        <v>158</v>
      </c>
      <c r="AJ45" s="2">
        <v>209</v>
      </c>
      <c r="AK45" s="2"/>
      <c r="AL45" s="2"/>
      <c r="AM45" s="2"/>
      <c r="AN45" s="2"/>
      <c r="AO45" s="2"/>
      <c r="AP45" s="2"/>
      <c r="AQ45">
        <f t="shared" ref="AQ45:AQ47" si="22">IF(O45=1,P45,IF(Q45=1,R45,0))</f>
        <v>29</v>
      </c>
      <c r="AR45">
        <f>IF(ISERROR(VLOOKUP(IF(O45=4,P45,IF(Q45=4,R45,0)),[4]D_任务!$A$2:$B$132,2,FALSE)),IF(O45=4,P45,IF(Q45=4,R45,0)),VLOOKUP(IF(O45=4,P45,IF(Q45=4,R45,0)),[4]D_任务!$A$2:$B$132,2,FALSE))</f>
        <v>0</v>
      </c>
      <c r="AS45" t="str">
        <f t="shared" si="1"/>
        <v>调虎离山</v>
      </c>
      <c r="AT45">
        <f>VLOOKUP(A45,CHOOSE({1,2},[5]怪物信息表!$C$5:$C$77,[5]怪物信息表!$B$5:$B$77),2,FALSE)</f>
        <v>35</v>
      </c>
    </row>
    <row r="46" spans="1:46" x14ac:dyDescent="0.15">
      <c r="A46" s="2">
        <v>4008</v>
      </c>
      <c r="B46" s="2">
        <v>1</v>
      </c>
      <c r="C46" s="2">
        <v>4</v>
      </c>
      <c r="D46" s="8" t="s">
        <v>611</v>
      </c>
      <c r="E46" s="11">
        <f>IFERROR(VLOOKUP(C46,[3]副本规划!$Y$20:$Z$27,2,0),E45)</f>
        <v>8</v>
      </c>
      <c r="F46" s="2">
        <f>IFERROR(ROUNDUP(VLOOKUP(T46,CHOOSE({1,2},[5]D_怪物表!$I$1:$I$1120,[5]D_怪物表!$AH$1:$AH$1120),2,FALSE),0),0)</f>
        <v>10249</v>
      </c>
      <c r="G46" s="2">
        <v>1</v>
      </c>
      <c r="H46" s="2">
        <v>1</v>
      </c>
      <c r="I46" s="2">
        <v>0</v>
      </c>
      <c r="J46" s="2">
        <v>0</v>
      </c>
      <c r="K46" s="2">
        <v>0</v>
      </c>
      <c r="L46" s="2"/>
      <c r="M46" s="2">
        <f t="shared" si="19"/>
        <v>2</v>
      </c>
      <c r="N46" s="2">
        <v>1</v>
      </c>
      <c r="O46" s="2">
        <v>3</v>
      </c>
      <c r="P46" s="2">
        <f t="shared" si="20"/>
        <v>4007</v>
      </c>
      <c r="Q46" s="2">
        <v>1</v>
      </c>
      <c r="R46" s="2">
        <f>IF(MOD(A46,10)=1,VLOOKUP(A46,CHOOSE({1,2},[5]怪物信息表!$C$5:$C$77,[5]怪物信息表!$B$5:$B$77),2,FALSE),R45)</f>
        <v>29</v>
      </c>
      <c r="S46" s="11">
        <f t="shared" si="21"/>
        <v>504008</v>
      </c>
      <c r="T46" s="11">
        <f t="shared" si="4"/>
        <v>148104</v>
      </c>
      <c r="U46" s="2">
        <v>3</v>
      </c>
      <c r="V46" s="14">
        <f t="shared" si="5"/>
        <v>148101</v>
      </c>
      <c r="W46" s="14">
        <f t="shared" si="6"/>
        <v>148102</v>
      </c>
      <c r="X46" s="14">
        <f t="shared" si="6"/>
        <v>148103</v>
      </c>
      <c r="Y46" s="2"/>
      <c r="Z46" s="2"/>
      <c r="AA46" s="2"/>
      <c r="AB46" s="2"/>
      <c r="AC46" s="2"/>
      <c r="AD46" s="2"/>
      <c r="AE46" s="2"/>
      <c r="AF46" s="2">
        <v>3</v>
      </c>
      <c r="AG46" s="2">
        <v>107</v>
      </c>
      <c r="AH46" s="2">
        <v>108</v>
      </c>
      <c r="AI46" s="2">
        <v>109</v>
      </c>
      <c r="AJ46" s="2"/>
      <c r="AK46" s="2"/>
      <c r="AL46" s="2"/>
      <c r="AM46" s="2"/>
      <c r="AN46" s="2"/>
      <c r="AO46" s="2"/>
      <c r="AP46" s="2"/>
      <c r="AQ46">
        <f t="shared" si="22"/>
        <v>29</v>
      </c>
      <c r="AR46">
        <f>IF(ISERROR(VLOOKUP(IF(O46=4,P46,IF(Q46=4,R46,0)),[4]D_任务!$A$2:$B$132,2,FALSE)),IF(O46=4,P46,IF(Q46=4,R46,0)),VLOOKUP(IF(O46=4,P46,IF(Q46=4,R46,0)),[4]D_任务!$A$2:$B$132,2,FALSE))</f>
        <v>0</v>
      </c>
      <c r="AS46" t="str">
        <f t="shared" si="1"/>
        <v>痛失战友</v>
      </c>
      <c r="AT46">
        <f>VLOOKUP(A46,CHOOSE({1,2},[5]怪物信息表!$C$5:$C$77,[5]怪物信息表!$B$5:$B$77),2,FALSE)</f>
        <v>36</v>
      </c>
    </row>
    <row r="47" spans="1:46" x14ac:dyDescent="0.15">
      <c r="A47" s="2">
        <v>4009</v>
      </c>
      <c r="B47" s="2">
        <v>1</v>
      </c>
      <c r="C47" s="2">
        <v>4</v>
      </c>
      <c r="D47" s="8" t="s">
        <v>356</v>
      </c>
      <c r="E47" s="11">
        <f>IFERROR(VLOOKUP(C47,[3]副本规划!$Y$20:$Z$27,2,0),E46)</f>
        <v>8</v>
      </c>
      <c r="F47" s="2">
        <f>IFERROR(ROUNDUP(VLOOKUP(T47,CHOOSE({1,2},[5]D_怪物表!$I$1:$I$1120,[5]D_怪物表!$AH$1:$AH$1120),2,FALSE),0),0)</f>
        <v>12886</v>
      </c>
      <c r="G47" s="2">
        <v>1</v>
      </c>
      <c r="H47" s="2">
        <v>1</v>
      </c>
      <c r="I47" s="2">
        <v>0</v>
      </c>
      <c r="J47" s="2">
        <v>0</v>
      </c>
      <c r="K47" s="2">
        <v>0</v>
      </c>
      <c r="L47" s="2"/>
      <c r="M47" s="2">
        <f t="shared" si="19"/>
        <v>2</v>
      </c>
      <c r="N47" s="2">
        <v>1</v>
      </c>
      <c r="O47" s="2">
        <v>3</v>
      </c>
      <c r="P47" s="2">
        <f t="shared" si="20"/>
        <v>4008</v>
      </c>
      <c r="Q47" s="2">
        <v>1</v>
      </c>
      <c r="R47" s="2">
        <f>IF(MOD(A47,10)=1,VLOOKUP(A47,CHOOSE({1,2},[5]怪物信息表!$C$5:$C$77,[5]怪物信息表!$B$5:$B$77),2,FALSE),R46)</f>
        <v>29</v>
      </c>
      <c r="S47" s="11">
        <f t="shared" si="21"/>
        <v>504009</v>
      </c>
      <c r="T47" s="11">
        <f t="shared" si="4"/>
        <v>149104</v>
      </c>
      <c r="U47" s="2">
        <v>3</v>
      </c>
      <c r="V47" s="14">
        <f t="shared" si="5"/>
        <v>149101</v>
      </c>
      <c r="W47" s="14">
        <f t="shared" si="6"/>
        <v>149102</v>
      </c>
      <c r="X47" s="14">
        <f t="shared" si="6"/>
        <v>149103</v>
      </c>
      <c r="Y47" s="2"/>
      <c r="Z47" s="2"/>
      <c r="AA47" s="2"/>
      <c r="AB47" s="2"/>
      <c r="AC47" s="2"/>
      <c r="AD47" s="2"/>
      <c r="AE47" s="2"/>
      <c r="AF47" s="2">
        <v>4</v>
      </c>
      <c r="AG47" s="2">
        <v>122</v>
      </c>
      <c r="AH47" s="2">
        <v>123</v>
      </c>
      <c r="AI47" s="2">
        <v>124</v>
      </c>
      <c r="AJ47" s="2">
        <v>167</v>
      </c>
      <c r="AK47" s="2"/>
      <c r="AL47" s="2"/>
      <c r="AM47" s="2"/>
      <c r="AN47" s="2"/>
      <c r="AO47" s="2"/>
      <c r="AP47" s="2"/>
      <c r="AQ47">
        <f t="shared" si="22"/>
        <v>29</v>
      </c>
      <c r="AR47">
        <f>IF(ISERROR(VLOOKUP(IF(O47=4,P47,IF(Q47=4,R47,0)),[4]D_任务!$A$2:$B$132,2,FALSE)),IF(O47=4,P47,IF(Q47=4,R47,0)),VLOOKUP(IF(O47=4,P47,IF(Q47=4,R47,0)),[4]D_任务!$A$2:$B$132,2,FALSE))</f>
        <v>0</v>
      </c>
      <c r="AS47" t="str">
        <f t="shared" si="1"/>
        <v>追击真凶</v>
      </c>
      <c r="AT47">
        <f>VLOOKUP(A47,CHOOSE({1,2},[5]怪物信息表!$C$5:$C$77,[5]怪物信息表!$B$5:$B$77),2,FALSE)</f>
        <v>37</v>
      </c>
    </row>
    <row r="48" spans="1:46" x14ac:dyDescent="0.15">
      <c r="A48" s="2">
        <v>5001</v>
      </c>
      <c r="B48" s="2">
        <v>1</v>
      </c>
      <c r="C48" s="2">
        <v>5</v>
      </c>
      <c r="D48" s="8" t="s">
        <v>359</v>
      </c>
      <c r="E48" s="11">
        <f>IFERROR(VLOOKUP(C48,[3]副本规划!$Y$20:$Z$27,2,0),E44)</f>
        <v>8</v>
      </c>
      <c r="F48" s="2">
        <f>IFERROR(ROUNDUP(VLOOKUP(T48,CHOOSE({1,2},[5]D_怪物表!$I$1:$I$1120,[5]D_怪物表!$AH$1:$AH$1120),2,FALSE),0),0)</f>
        <v>12287</v>
      </c>
      <c r="G48" s="2">
        <v>1</v>
      </c>
      <c r="H48" s="2">
        <v>1</v>
      </c>
      <c r="I48" s="2">
        <v>0</v>
      </c>
      <c r="J48" s="2">
        <v>0</v>
      </c>
      <c r="K48" s="2">
        <v>0</v>
      </c>
      <c r="L48" s="2"/>
      <c r="M48" s="2">
        <f t="shared" si="2"/>
        <v>2</v>
      </c>
      <c r="N48" s="2">
        <v>1</v>
      </c>
      <c r="O48" s="2">
        <v>3</v>
      </c>
      <c r="P48" s="2">
        <f>A47</f>
        <v>4009</v>
      </c>
      <c r="Q48" s="2">
        <v>1</v>
      </c>
      <c r="R48" s="2">
        <f>IF(MOD(A48,10)=1,VLOOKUP(A48,CHOOSE({1,2},[5]怪物信息表!$C$5:$C$77,[5]怪物信息表!$B$5:$B$77),2,FALSE),R47)</f>
        <v>38</v>
      </c>
      <c r="S48" s="11">
        <f t="shared" si="3"/>
        <v>505001</v>
      </c>
      <c r="T48" s="11">
        <f t="shared" si="4"/>
        <v>151104</v>
      </c>
      <c r="U48" s="2">
        <v>3</v>
      </c>
      <c r="V48" s="14">
        <f t="shared" si="5"/>
        <v>151101</v>
      </c>
      <c r="W48" s="14">
        <f t="shared" si="6"/>
        <v>151102</v>
      </c>
      <c r="X48" s="14">
        <f t="shared" si="6"/>
        <v>151103</v>
      </c>
      <c r="Y48" s="2"/>
      <c r="Z48" s="2"/>
      <c r="AA48" s="2"/>
      <c r="AB48" s="2"/>
      <c r="AC48" s="2"/>
      <c r="AD48" s="2"/>
      <c r="AE48" s="2"/>
      <c r="AF48" s="2">
        <v>4</v>
      </c>
      <c r="AG48" s="2">
        <v>137</v>
      </c>
      <c r="AH48" s="2">
        <v>138</v>
      </c>
      <c r="AI48" s="2">
        <v>139</v>
      </c>
      <c r="AJ48" s="2">
        <v>153</v>
      </c>
      <c r="AK48" s="2"/>
      <c r="AL48" s="2"/>
      <c r="AM48" s="2"/>
      <c r="AN48" s="2"/>
      <c r="AO48" s="2"/>
      <c r="AP48" s="2"/>
      <c r="AQ48">
        <f t="shared" si="0"/>
        <v>38</v>
      </c>
      <c r="AR48">
        <f>IF(ISERROR(VLOOKUP(IF(O48=4,P48,IF(Q48=4,R48,0)),[4]D_任务!$A$2:$B$132,2,FALSE)),IF(O48=4,P48,IF(Q48=4,R48,0)),VLOOKUP(IF(O48=4,P48,IF(Q48=4,R48,0)),[4]D_任务!$A$2:$B$132,2,FALSE))</f>
        <v>0</v>
      </c>
      <c r="AS48" t="str">
        <f t="shared" si="1"/>
        <v>一决雌雄</v>
      </c>
      <c r="AT48">
        <f>VLOOKUP(A48,CHOOSE({1,2},[5]怪物信息表!$C$5:$C$77,[5]怪物信息表!$B$5:$B$77),2,FALSE)</f>
        <v>38</v>
      </c>
    </row>
    <row r="49" spans="1:46" x14ac:dyDescent="0.15">
      <c r="A49" s="2">
        <v>5002</v>
      </c>
      <c r="B49" s="2">
        <v>1</v>
      </c>
      <c r="C49" s="2">
        <v>5</v>
      </c>
      <c r="D49" s="8" t="s">
        <v>360</v>
      </c>
      <c r="E49" s="11">
        <f>IFERROR(VLOOKUP(C49,[3]副本规划!$Y$20:$Z$27,2,0),E48)</f>
        <v>8</v>
      </c>
      <c r="F49" s="2">
        <f>IFERROR(ROUNDUP(VLOOKUP(T49,CHOOSE({1,2},[5]D_怪物表!$I$1:$I$1120,[5]D_怪物表!$AH$1:$AH$1120),2,FALSE),0),0)</f>
        <v>13389</v>
      </c>
      <c r="G49" s="2">
        <v>1</v>
      </c>
      <c r="H49" s="2">
        <v>1</v>
      </c>
      <c r="I49" s="2">
        <v>0</v>
      </c>
      <c r="J49" s="2">
        <v>0</v>
      </c>
      <c r="K49" s="2">
        <v>0</v>
      </c>
      <c r="L49" s="2"/>
      <c r="M49" s="2">
        <f t="shared" si="2"/>
        <v>2</v>
      </c>
      <c r="N49" s="2">
        <v>1</v>
      </c>
      <c r="O49" s="2">
        <v>3</v>
      </c>
      <c r="P49" s="2">
        <f t="shared" si="10"/>
        <v>5001</v>
      </c>
      <c r="Q49" s="2">
        <v>1</v>
      </c>
      <c r="R49" s="2">
        <f>IF(MOD(A49,10)=1,VLOOKUP(A49,CHOOSE({1,2},[5]怪物信息表!$C$5:$C$77,[5]怪物信息表!$B$5:$B$77),2,FALSE),R48)</f>
        <v>38</v>
      </c>
      <c r="S49" s="11">
        <f t="shared" si="3"/>
        <v>505002</v>
      </c>
      <c r="T49" s="11">
        <f t="shared" si="4"/>
        <v>152104</v>
      </c>
      <c r="U49" s="2">
        <v>3</v>
      </c>
      <c r="V49" s="14">
        <f t="shared" si="5"/>
        <v>152101</v>
      </c>
      <c r="W49" s="14">
        <f t="shared" si="6"/>
        <v>152102</v>
      </c>
      <c r="X49" s="14">
        <f t="shared" si="6"/>
        <v>152103</v>
      </c>
      <c r="Y49" s="2"/>
      <c r="Z49" s="2"/>
      <c r="AA49" s="2"/>
      <c r="AB49" s="2"/>
      <c r="AC49" s="2"/>
      <c r="AD49" s="2"/>
      <c r="AE49" s="2"/>
      <c r="AF49" s="2">
        <v>4</v>
      </c>
      <c r="AG49" s="2">
        <v>163</v>
      </c>
      <c r="AH49" s="2">
        <v>164</v>
      </c>
      <c r="AI49" s="2">
        <v>165</v>
      </c>
      <c r="AJ49" s="2">
        <v>166</v>
      </c>
      <c r="AK49" s="2"/>
      <c r="AL49" s="2"/>
      <c r="AM49" s="2"/>
      <c r="AN49" s="2"/>
      <c r="AO49" s="2"/>
      <c r="AP49" s="2"/>
      <c r="AQ49">
        <f t="shared" si="0"/>
        <v>38</v>
      </c>
      <c r="AR49">
        <f>IF(ISERROR(VLOOKUP(IF(O49=4,P49,IF(Q49=4,R49,0)),[4]D_任务!$A$2:$B$132,2,FALSE)),IF(O49=4,P49,IF(Q49=4,R49,0)),VLOOKUP(IF(O49=4,P49,IF(Q49=4,R49,0)),[4]D_任务!$A$2:$B$132,2,FALSE))</f>
        <v>0</v>
      </c>
      <c r="AS49" t="str">
        <f t="shared" si="1"/>
        <v>双雄之争</v>
      </c>
      <c r="AT49">
        <f>VLOOKUP(A49,CHOOSE({1,2},[5]怪物信息表!$C$5:$C$77,[5]怪物信息表!$B$5:$B$77),2,FALSE)</f>
        <v>39</v>
      </c>
    </row>
    <row r="50" spans="1:46" x14ac:dyDescent="0.15">
      <c r="A50" s="2">
        <v>5003</v>
      </c>
      <c r="B50" s="2">
        <v>1</v>
      </c>
      <c r="C50" s="2">
        <v>5</v>
      </c>
      <c r="D50" s="8" t="s">
        <v>361</v>
      </c>
      <c r="E50" s="11">
        <f>IFERROR(VLOOKUP(C50,[3]副本规划!$Y$20:$Z$27,2,0),E49)</f>
        <v>8</v>
      </c>
      <c r="F50" s="2">
        <f>IFERROR(ROUNDUP(VLOOKUP(T50,CHOOSE({1,2},[5]D_怪物表!$I$1:$I$1120,[5]D_怪物表!$AH$1:$AH$1120),2,FALSE),0),0)</f>
        <v>14689</v>
      </c>
      <c r="G50" s="2">
        <v>1</v>
      </c>
      <c r="H50" s="2">
        <v>1</v>
      </c>
      <c r="I50" s="2">
        <v>0</v>
      </c>
      <c r="J50" s="2">
        <v>0</v>
      </c>
      <c r="K50" s="2">
        <v>0</v>
      </c>
      <c r="L50" s="2"/>
      <c r="M50" s="2">
        <f t="shared" si="2"/>
        <v>2</v>
      </c>
      <c r="N50" s="2">
        <v>1</v>
      </c>
      <c r="O50" s="2">
        <v>3</v>
      </c>
      <c r="P50" s="2">
        <f t="shared" si="10"/>
        <v>5002</v>
      </c>
      <c r="Q50" s="2">
        <v>1</v>
      </c>
      <c r="R50" s="2">
        <f>IF(MOD(A50,10)=1,VLOOKUP(A50,CHOOSE({1,2},[5]怪物信息表!$C$5:$C$77,[5]怪物信息表!$B$5:$B$77),2,FALSE),R49)</f>
        <v>38</v>
      </c>
      <c r="S50" s="11">
        <f t="shared" si="3"/>
        <v>505003</v>
      </c>
      <c r="T50" s="11">
        <f t="shared" si="4"/>
        <v>153104</v>
      </c>
      <c r="U50" s="2">
        <v>3</v>
      </c>
      <c r="V50" s="14">
        <f t="shared" si="5"/>
        <v>153101</v>
      </c>
      <c r="W50" s="14">
        <f t="shared" si="6"/>
        <v>153102</v>
      </c>
      <c r="X50" s="14">
        <f t="shared" si="6"/>
        <v>153103</v>
      </c>
      <c r="Y50" s="2"/>
      <c r="Z50" s="2"/>
      <c r="AA50" s="2"/>
      <c r="AB50" s="2"/>
      <c r="AC50" s="2"/>
      <c r="AD50" s="2"/>
      <c r="AE50" s="2"/>
      <c r="AF50" s="2">
        <v>4</v>
      </c>
      <c r="AG50" s="2">
        <v>108</v>
      </c>
      <c r="AH50" s="2">
        <v>109</v>
      </c>
      <c r="AI50" s="2">
        <v>110</v>
      </c>
      <c r="AJ50" s="2">
        <v>111</v>
      </c>
      <c r="AK50" s="2"/>
      <c r="AL50" s="2"/>
      <c r="AM50" s="2"/>
      <c r="AN50" s="2"/>
      <c r="AO50" s="2"/>
      <c r="AP50" s="2"/>
      <c r="AQ50">
        <f t="shared" si="0"/>
        <v>38</v>
      </c>
      <c r="AR50">
        <f>IF(ISERROR(VLOOKUP(IF(O50=4,P50,IF(Q50=4,R50,0)),[4]D_任务!$A$2:$B$132,2,FALSE)),IF(O50=4,P50,IF(Q50=4,R50,0)),VLOOKUP(IF(O50=4,P50,IF(Q50=4,R50,0)),[4]D_任务!$A$2:$B$132,2,FALSE))</f>
        <v>0</v>
      </c>
      <c r="AS50" t="str">
        <f t="shared" si="1"/>
        <v>守卫赌船</v>
      </c>
      <c r="AT50">
        <f>VLOOKUP(A50,CHOOSE({1,2},[5]怪物信息表!$C$5:$C$77,[5]怪物信息表!$B$5:$B$77),2,FALSE)</f>
        <v>40</v>
      </c>
    </row>
    <row r="51" spans="1:46" x14ac:dyDescent="0.15">
      <c r="A51" s="2">
        <v>5004</v>
      </c>
      <c r="B51" s="2">
        <v>1</v>
      </c>
      <c r="C51" s="2">
        <v>5</v>
      </c>
      <c r="D51" s="8" t="s">
        <v>612</v>
      </c>
      <c r="E51" s="11">
        <f>IFERROR(VLOOKUP(C51,[3]副本规划!$Y$20:$Z$27,2,0),E50)</f>
        <v>8</v>
      </c>
      <c r="F51" s="2">
        <f>IFERROR(ROUNDUP(VLOOKUP(T51,CHOOSE({1,2},[5]D_怪物表!$I$1:$I$1120,[5]D_怪物表!$AH$1:$AH$1120),2,FALSE),0),0)</f>
        <v>16067</v>
      </c>
      <c r="G51" s="2">
        <v>1</v>
      </c>
      <c r="H51" s="2">
        <v>1</v>
      </c>
      <c r="I51" s="2">
        <v>0</v>
      </c>
      <c r="J51" s="2">
        <v>0</v>
      </c>
      <c r="K51" s="2">
        <v>0</v>
      </c>
      <c r="L51" s="2"/>
      <c r="M51" s="2">
        <f t="shared" si="2"/>
        <v>2</v>
      </c>
      <c r="N51" s="2">
        <v>1</v>
      </c>
      <c r="O51" s="2">
        <v>3</v>
      </c>
      <c r="P51" s="2">
        <f t="shared" si="10"/>
        <v>5003</v>
      </c>
      <c r="Q51" s="2">
        <v>1</v>
      </c>
      <c r="R51" s="2">
        <f>IF(MOD(A51,10)=1,VLOOKUP(A51,CHOOSE({1,2},[5]怪物信息表!$C$5:$C$77,[5]怪物信息表!$B$5:$B$77),2,FALSE),R50)</f>
        <v>38</v>
      </c>
      <c r="S51" s="11">
        <f t="shared" si="3"/>
        <v>505004</v>
      </c>
      <c r="T51" s="11">
        <f t="shared" si="4"/>
        <v>154104</v>
      </c>
      <c r="U51" s="2">
        <v>3</v>
      </c>
      <c r="V51" s="14">
        <f t="shared" si="5"/>
        <v>154101</v>
      </c>
      <c r="W51" s="14">
        <f t="shared" si="6"/>
        <v>154102</v>
      </c>
      <c r="X51" s="14">
        <f t="shared" si="6"/>
        <v>154103</v>
      </c>
      <c r="Y51" s="2"/>
      <c r="Z51" s="2"/>
      <c r="AA51" s="2"/>
      <c r="AB51" s="2"/>
      <c r="AC51" s="2"/>
      <c r="AD51" s="2"/>
      <c r="AE51" s="2"/>
      <c r="AF51" s="2">
        <v>4</v>
      </c>
      <c r="AG51" s="2">
        <v>121</v>
      </c>
      <c r="AH51" s="2">
        <v>122</v>
      </c>
      <c r="AI51" s="2">
        <v>123</v>
      </c>
      <c r="AJ51" s="2">
        <v>124</v>
      </c>
      <c r="AK51" s="2"/>
      <c r="AL51" s="2"/>
      <c r="AM51" s="2"/>
      <c r="AN51" s="2"/>
      <c r="AO51" s="2"/>
      <c r="AP51" s="2"/>
      <c r="AQ51">
        <f t="shared" si="0"/>
        <v>38</v>
      </c>
      <c r="AR51">
        <f>IF(ISERROR(VLOOKUP(IF(O51=4,P51,IF(Q51=4,R51,0)),[4]D_任务!$A$2:$B$132,2,FALSE)),IF(O51=4,P51,IF(Q51=4,R51,0)),VLOOKUP(IF(O51=4,P51,IF(Q51=4,R51,0)),[4]D_任务!$A$2:$B$132,2,FALSE))</f>
        <v>0</v>
      </c>
      <c r="AS51" t="str">
        <f t="shared" si="1"/>
        <v>正面冲突</v>
      </c>
      <c r="AT51">
        <f>VLOOKUP(A51,CHOOSE({1,2},[5]怪物信息表!$C$5:$C$77,[5]怪物信息表!$B$5:$B$77),2,FALSE)</f>
        <v>41</v>
      </c>
    </row>
    <row r="52" spans="1:46" x14ac:dyDescent="0.15">
      <c r="A52" s="2">
        <v>5005</v>
      </c>
      <c r="B52" s="2">
        <v>1</v>
      </c>
      <c r="C52" s="2">
        <v>5</v>
      </c>
      <c r="D52" s="8" t="s">
        <v>613</v>
      </c>
      <c r="E52" s="11">
        <f>IFERROR(VLOOKUP(C52,[3]副本规划!$Y$20:$Z$27,2,0),E51)</f>
        <v>8</v>
      </c>
      <c r="F52" s="2">
        <f>IFERROR(ROUNDUP(VLOOKUP(T52,CHOOSE({1,2},[5]D_怪物表!$I$1:$I$1120,[5]D_怪物表!$AH$1:$AH$1120),2,FALSE),0),0)</f>
        <v>17558</v>
      </c>
      <c r="G52" s="2">
        <v>1</v>
      </c>
      <c r="H52" s="2">
        <v>1</v>
      </c>
      <c r="I52" s="2">
        <v>0</v>
      </c>
      <c r="J52" s="2">
        <v>0</v>
      </c>
      <c r="K52" s="2">
        <v>0</v>
      </c>
      <c r="L52" s="2"/>
      <c r="M52" s="2">
        <f t="shared" si="2"/>
        <v>2</v>
      </c>
      <c r="N52" s="2">
        <v>1</v>
      </c>
      <c r="O52" s="2">
        <v>3</v>
      </c>
      <c r="P52" s="2">
        <f t="shared" si="10"/>
        <v>5004</v>
      </c>
      <c r="Q52" s="2">
        <v>1</v>
      </c>
      <c r="R52" s="2">
        <f>IF(MOD(A52,10)=1,VLOOKUP(A52,CHOOSE({1,2},[5]怪物信息表!$C$5:$C$77,[5]怪物信息表!$B$5:$B$77),2,FALSE),R51)</f>
        <v>38</v>
      </c>
      <c r="S52" s="11">
        <f t="shared" si="3"/>
        <v>505005</v>
      </c>
      <c r="T52" s="11">
        <f t="shared" si="4"/>
        <v>155104</v>
      </c>
      <c r="U52" s="2">
        <v>3</v>
      </c>
      <c r="V52" s="14">
        <f t="shared" si="5"/>
        <v>155101</v>
      </c>
      <c r="W52" s="14">
        <f t="shared" si="6"/>
        <v>155102</v>
      </c>
      <c r="X52" s="14">
        <f t="shared" si="6"/>
        <v>155103</v>
      </c>
      <c r="Y52" s="2"/>
      <c r="Z52" s="2"/>
      <c r="AA52" s="2"/>
      <c r="AB52" s="2"/>
      <c r="AC52" s="2"/>
      <c r="AD52" s="2"/>
      <c r="AE52" s="2"/>
      <c r="AF52" s="2">
        <v>4</v>
      </c>
      <c r="AG52" s="2">
        <v>155</v>
      </c>
      <c r="AH52" s="2">
        <v>156</v>
      </c>
      <c r="AI52" s="2">
        <v>157</v>
      </c>
      <c r="AJ52" s="2">
        <v>158</v>
      </c>
      <c r="AK52" s="2"/>
      <c r="AL52" s="2"/>
      <c r="AM52" s="2"/>
      <c r="AN52" s="2"/>
      <c r="AO52" s="2"/>
      <c r="AP52" s="2"/>
      <c r="AQ52">
        <f t="shared" si="0"/>
        <v>38</v>
      </c>
      <c r="AR52">
        <f>IF(ISERROR(VLOOKUP(IF(O52=4,P52,IF(Q52=4,R52,0)),[4]D_任务!$A$2:$B$132,2,FALSE)),IF(O52=4,P52,IF(Q52=4,R52,0)),VLOOKUP(IF(O52=4,P52,IF(Q52=4,R52,0)),[4]D_任务!$A$2:$B$132,2,FALSE))</f>
        <v>0</v>
      </c>
      <c r="AS52" t="str">
        <f t="shared" si="1"/>
        <v>冲突升级</v>
      </c>
      <c r="AT52">
        <f>VLOOKUP(A52,CHOOSE({1,2},[5]怪物信息表!$C$5:$C$77,[5]怪物信息表!$B$5:$B$77),2,FALSE)</f>
        <v>42</v>
      </c>
    </row>
    <row r="53" spans="1:46" x14ac:dyDescent="0.15">
      <c r="A53" s="2">
        <v>5006</v>
      </c>
      <c r="B53" s="2">
        <v>1</v>
      </c>
      <c r="C53" s="2">
        <v>5</v>
      </c>
      <c r="D53" s="8" t="s">
        <v>614</v>
      </c>
      <c r="E53" s="11">
        <f>IFERROR(VLOOKUP(C53,[3]副本规划!$Y$20:$Z$27,2,0),E52)</f>
        <v>8</v>
      </c>
      <c r="F53" s="2">
        <f>IFERROR(ROUNDUP(VLOOKUP(T53,CHOOSE({1,2},[5]D_怪物表!$I$1:$I$1120,[5]D_怪物表!$AH$1:$AH$1120),2,FALSE),0),0)</f>
        <v>19156</v>
      </c>
      <c r="G53" s="2">
        <v>1</v>
      </c>
      <c r="H53" s="2">
        <v>1</v>
      </c>
      <c r="I53" s="2">
        <v>0</v>
      </c>
      <c r="J53" s="2">
        <v>0</v>
      </c>
      <c r="K53" s="2">
        <v>0</v>
      </c>
      <c r="L53" s="2"/>
      <c r="M53" s="2">
        <f t="shared" si="2"/>
        <v>2</v>
      </c>
      <c r="N53" s="2">
        <v>1</v>
      </c>
      <c r="O53" s="2">
        <v>3</v>
      </c>
      <c r="P53" s="2">
        <f t="shared" si="10"/>
        <v>5005</v>
      </c>
      <c r="Q53" s="2">
        <v>1</v>
      </c>
      <c r="R53" s="2">
        <f>IF(MOD(A53,10)=1,VLOOKUP(A53,CHOOSE({1,2},[5]怪物信息表!$C$5:$C$77,[5]怪物信息表!$B$5:$B$77),2,FALSE),R52)</f>
        <v>38</v>
      </c>
      <c r="S53" s="11">
        <f t="shared" si="3"/>
        <v>505006</v>
      </c>
      <c r="T53" s="11">
        <f t="shared" si="4"/>
        <v>156104</v>
      </c>
      <c r="U53" s="2">
        <v>3</v>
      </c>
      <c r="V53" s="14">
        <f t="shared" si="5"/>
        <v>156101</v>
      </c>
      <c r="W53" s="14">
        <f t="shared" si="6"/>
        <v>156102</v>
      </c>
      <c r="X53" s="14">
        <f t="shared" si="6"/>
        <v>156103</v>
      </c>
      <c r="Y53" s="2"/>
      <c r="Z53" s="2"/>
      <c r="AA53" s="2"/>
      <c r="AB53" s="2"/>
      <c r="AC53" s="2"/>
      <c r="AD53" s="2"/>
      <c r="AE53" s="2"/>
      <c r="AF53" s="2">
        <v>4</v>
      </c>
      <c r="AG53" s="2">
        <v>163</v>
      </c>
      <c r="AH53" s="2">
        <v>164</v>
      </c>
      <c r="AI53" s="2">
        <v>165</v>
      </c>
      <c r="AJ53" s="2">
        <v>166</v>
      </c>
      <c r="AK53" s="2"/>
      <c r="AL53" s="2"/>
      <c r="AM53" s="2"/>
      <c r="AN53" s="2"/>
      <c r="AO53" s="2"/>
      <c r="AP53" s="2"/>
      <c r="AQ53">
        <f t="shared" si="0"/>
        <v>38</v>
      </c>
      <c r="AR53">
        <f>IF(ISERROR(VLOOKUP(IF(O53=4,P53,IF(Q53=4,R53,0)),[4]D_任务!$A$2:$B$132,2,FALSE)),IF(O53=4,P53,IF(Q53=4,R53,0)),VLOOKUP(IF(O53=4,P53,IF(Q53=4,R53,0)),[4]D_任务!$A$2:$B$132,2,FALSE))</f>
        <v>0</v>
      </c>
      <c r="AS53" t="str">
        <f t="shared" si="1"/>
        <v>缉拿长毛</v>
      </c>
      <c r="AT53">
        <f>VLOOKUP(A53,CHOOSE({1,2},[5]怪物信息表!$C$5:$C$77,[5]怪物信息表!$B$5:$B$77),2,FALSE)</f>
        <v>43</v>
      </c>
    </row>
    <row r="54" spans="1:46" x14ac:dyDescent="0.15">
      <c r="A54" s="2">
        <v>5007</v>
      </c>
      <c r="B54" s="2">
        <v>1</v>
      </c>
      <c r="C54" s="2">
        <v>5</v>
      </c>
      <c r="D54" s="8" t="s">
        <v>615</v>
      </c>
      <c r="E54" s="11">
        <f>IFERROR(VLOOKUP(C54,[3]副本规划!$Y$20:$Z$27,2,0),E53)</f>
        <v>8</v>
      </c>
      <c r="F54" s="2">
        <f>IFERROR(ROUNDUP(VLOOKUP(T54,CHOOSE({1,2},[5]D_怪物表!$I$1:$I$1120,[5]D_怪物表!$AH$1:$AH$1120),2,FALSE),0),0)</f>
        <v>20823</v>
      </c>
      <c r="G54" s="2">
        <v>1</v>
      </c>
      <c r="H54" s="2">
        <v>1</v>
      </c>
      <c r="I54" s="2">
        <v>0</v>
      </c>
      <c r="J54" s="2">
        <v>0</v>
      </c>
      <c r="K54" s="2">
        <v>0</v>
      </c>
      <c r="L54" s="2"/>
      <c r="M54" s="2">
        <f t="shared" ref="M54:M56" si="23">SUM(O54&gt;0,Q54&gt;0)</f>
        <v>2</v>
      </c>
      <c r="N54" s="2">
        <v>1</v>
      </c>
      <c r="O54" s="2">
        <v>3</v>
      </c>
      <c r="P54" s="2">
        <f t="shared" ref="P54:P56" si="24">A53</f>
        <v>5006</v>
      </c>
      <c r="Q54" s="2">
        <v>1</v>
      </c>
      <c r="R54" s="2">
        <f>IF(MOD(A54,10)=1,VLOOKUP(A54,CHOOSE({1,2},[5]怪物信息表!$C$5:$C$77,[5]怪物信息表!$B$5:$B$77),2,FALSE),R53)</f>
        <v>38</v>
      </c>
      <c r="S54" s="11">
        <f t="shared" ref="S54:S56" si="25">50*10000+A54</f>
        <v>505007</v>
      </c>
      <c r="T54" s="11">
        <f t="shared" si="4"/>
        <v>157104</v>
      </c>
      <c r="U54" s="2">
        <v>3</v>
      </c>
      <c r="V54" s="14">
        <f t="shared" si="5"/>
        <v>157101</v>
      </c>
      <c r="W54" s="14">
        <f t="shared" si="6"/>
        <v>157102</v>
      </c>
      <c r="X54" s="14">
        <f t="shared" si="6"/>
        <v>157103</v>
      </c>
      <c r="Y54" s="2"/>
      <c r="Z54" s="2"/>
      <c r="AA54" s="2"/>
      <c r="AB54" s="2"/>
      <c r="AC54" s="2"/>
      <c r="AD54" s="2"/>
      <c r="AE54" s="2"/>
      <c r="AF54" s="2">
        <v>4</v>
      </c>
      <c r="AG54" s="2">
        <v>121</v>
      </c>
      <c r="AH54" s="2">
        <v>122</v>
      </c>
      <c r="AI54" s="2">
        <v>123</v>
      </c>
      <c r="AJ54" s="2">
        <v>124</v>
      </c>
      <c r="AK54" s="2"/>
      <c r="AL54" s="2"/>
      <c r="AM54" s="2"/>
      <c r="AN54" s="2"/>
      <c r="AO54" s="2"/>
      <c r="AP54" s="2"/>
      <c r="AQ54">
        <f t="shared" ref="AQ54:AQ56" si="26">IF(O54=1,P54,IF(Q54=1,R54,0))</f>
        <v>38</v>
      </c>
      <c r="AR54">
        <f>IF(ISERROR(VLOOKUP(IF(O54=4,P54,IF(Q54=4,R54,0)),[4]D_任务!$A$2:$B$132,2,FALSE)),IF(O54=4,P54,IF(Q54=4,R54,0)),VLOOKUP(IF(O54=4,P54,IF(Q54=4,R54,0)),[4]D_任务!$A$2:$B$132,2,FALSE))</f>
        <v>0</v>
      </c>
      <c r="AS54" t="str">
        <f t="shared" si="1"/>
        <v>备战拳赛</v>
      </c>
      <c r="AT54">
        <f>VLOOKUP(A54,CHOOSE({1,2},[5]怪物信息表!$C$5:$C$77,[5]怪物信息表!$B$5:$B$77),2,FALSE)</f>
        <v>44</v>
      </c>
    </row>
    <row r="55" spans="1:46" x14ac:dyDescent="0.15">
      <c r="A55" s="2">
        <v>5008</v>
      </c>
      <c r="B55" s="2">
        <v>1</v>
      </c>
      <c r="C55" s="2">
        <v>5</v>
      </c>
      <c r="D55" s="8" t="s">
        <v>616</v>
      </c>
      <c r="E55" s="11">
        <f>IFERROR(VLOOKUP(C55,[3]副本规划!$Y$20:$Z$27,2,0),E54)</f>
        <v>8</v>
      </c>
      <c r="F55" s="2">
        <f>IFERROR(ROUNDUP(VLOOKUP(T55,CHOOSE({1,2},[5]D_怪物表!$I$1:$I$1120,[5]D_怪物表!$AH$1:$AH$1120),2,FALSE),0),0)</f>
        <v>22629</v>
      </c>
      <c r="G55" s="2">
        <v>1</v>
      </c>
      <c r="H55" s="2">
        <v>1</v>
      </c>
      <c r="I55" s="2">
        <v>0</v>
      </c>
      <c r="J55" s="2">
        <v>0</v>
      </c>
      <c r="K55" s="2">
        <v>0</v>
      </c>
      <c r="L55" s="2"/>
      <c r="M55" s="2">
        <f t="shared" si="23"/>
        <v>2</v>
      </c>
      <c r="N55" s="2">
        <v>1</v>
      </c>
      <c r="O55" s="2">
        <v>3</v>
      </c>
      <c r="P55" s="2">
        <f t="shared" si="24"/>
        <v>5007</v>
      </c>
      <c r="Q55" s="2">
        <v>1</v>
      </c>
      <c r="R55" s="2">
        <f>IF(MOD(A55,10)=1,VLOOKUP(A55,CHOOSE({1,2},[5]怪物信息表!$C$5:$C$77,[5]怪物信息表!$B$5:$B$77),2,FALSE),R54)</f>
        <v>38</v>
      </c>
      <c r="S55" s="11">
        <f t="shared" si="25"/>
        <v>505008</v>
      </c>
      <c r="T55" s="11">
        <f t="shared" si="4"/>
        <v>158104</v>
      </c>
      <c r="U55" s="2">
        <v>3</v>
      </c>
      <c r="V55" s="14">
        <f t="shared" si="5"/>
        <v>158101</v>
      </c>
      <c r="W55" s="14">
        <f t="shared" si="6"/>
        <v>158102</v>
      </c>
      <c r="X55" s="14">
        <f t="shared" si="6"/>
        <v>158103</v>
      </c>
      <c r="Y55" s="2"/>
      <c r="Z55" s="2"/>
      <c r="AA55" s="2"/>
      <c r="AB55" s="2"/>
      <c r="AC55" s="2"/>
      <c r="AD55" s="2"/>
      <c r="AE55" s="2"/>
      <c r="AF55" s="2">
        <v>4</v>
      </c>
      <c r="AG55" s="2">
        <v>155</v>
      </c>
      <c r="AH55" s="2">
        <v>156</v>
      </c>
      <c r="AI55" s="2">
        <v>157</v>
      </c>
      <c r="AJ55" s="2">
        <v>158</v>
      </c>
      <c r="AK55" s="2"/>
      <c r="AL55" s="2"/>
      <c r="AM55" s="2"/>
      <c r="AN55" s="2"/>
      <c r="AO55" s="2"/>
      <c r="AP55" s="2"/>
      <c r="AQ55">
        <f t="shared" si="26"/>
        <v>38</v>
      </c>
      <c r="AR55">
        <f>IF(ISERROR(VLOOKUP(IF(O55=4,P55,IF(Q55=4,R55,0)),[4]D_任务!$A$2:$B$132,2,FALSE)),IF(O55=4,P55,IF(Q55=4,R55,0)),VLOOKUP(IF(O55=4,P55,IF(Q55=4,R55,0)),[4]D_任务!$A$2:$B$132,2,FALSE))</f>
        <v>0</v>
      </c>
      <c r="AS55" t="str">
        <f t="shared" si="1"/>
        <v>金牌打手</v>
      </c>
      <c r="AT55">
        <f>VLOOKUP(A55,CHOOSE({1,2},[5]怪物信息表!$C$5:$C$77,[5]怪物信息表!$B$5:$B$77),2,FALSE)</f>
        <v>45</v>
      </c>
    </row>
    <row r="56" spans="1:46" x14ac:dyDescent="0.15">
      <c r="A56" s="2">
        <v>5009</v>
      </c>
      <c r="B56" s="2">
        <v>1</v>
      </c>
      <c r="C56" s="2">
        <v>5</v>
      </c>
      <c r="D56" s="8" t="s">
        <v>362</v>
      </c>
      <c r="E56" s="11">
        <f>IFERROR(VLOOKUP(C56,[3]副本规划!$Y$20:$Z$27,2,0),E55)</f>
        <v>8</v>
      </c>
      <c r="F56" s="2">
        <f>IFERROR(ROUNDUP(VLOOKUP(T56,CHOOSE({1,2},[5]D_怪物表!$I$1:$I$1120,[5]D_怪物表!$AH$1:$AH$1120),2,FALSE),0),0)</f>
        <v>28382</v>
      </c>
      <c r="G56" s="2">
        <v>1</v>
      </c>
      <c r="H56" s="2">
        <v>1</v>
      </c>
      <c r="I56" s="2">
        <v>0</v>
      </c>
      <c r="J56" s="2">
        <v>0</v>
      </c>
      <c r="K56" s="2">
        <v>0</v>
      </c>
      <c r="L56" s="2"/>
      <c r="M56" s="2">
        <f t="shared" si="23"/>
        <v>2</v>
      </c>
      <c r="N56" s="2">
        <v>1</v>
      </c>
      <c r="O56" s="2">
        <v>3</v>
      </c>
      <c r="P56" s="2">
        <f t="shared" si="24"/>
        <v>5008</v>
      </c>
      <c r="Q56" s="2">
        <v>1</v>
      </c>
      <c r="R56" s="2">
        <f>IF(MOD(A56,10)=1,VLOOKUP(A56,CHOOSE({1,2},[5]怪物信息表!$C$5:$C$77,[5]怪物信息表!$B$5:$B$77),2,FALSE),R55)</f>
        <v>38</v>
      </c>
      <c r="S56" s="11">
        <f t="shared" si="25"/>
        <v>505009</v>
      </c>
      <c r="T56" s="11">
        <f t="shared" si="4"/>
        <v>159104</v>
      </c>
      <c r="U56" s="2">
        <v>3</v>
      </c>
      <c r="V56" s="14">
        <f t="shared" si="5"/>
        <v>159101</v>
      </c>
      <c r="W56" s="14">
        <f t="shared" si="6"/>
        <v>159102</v>
      </c>
      <c r="X56" s="14">
        <f t="shared" si="6"/>
        <v>159103</v>
      </c>
      <c r="Y56" s="2"/>
      <c r="Z56" s="2"/>
      <c r="AA56" s="2"/>
      <c r="AB56" s="2"/>
      <c r="AC56" s="2"/>
      <c r="AD56" s="2"/>
      <c r="AE56" s="2"/>
      <c r="AF56" s="2">
        <v>4</v>
      </c>
      <c r="AG56" s="2">
        <v>163</v>
      </c>
      <c r="AH56" s="2">
        <v>164</v>
      </c>
      <c r="AI56" s="2">
        <v>165</v>
      </c>
      <c r="AJ56" s="2">
        <v>166</v>
      </c>
      <c r="AK56" s="2"/>
      <c r="AL56" s="2"/>
      <c r="AM56" s="2"/>
      <c r="AN56" s="2"/>
      <c r="AO56" s="2"/>
      <c r="AP56" s="2"/>
      <c r="AQ56">
        <f t="shared" si="26"/>
        <v>38</v>
      </c>
      <c r="AR56">
        <f>IF(ISERROR(VLOOKUP(IF(O56=4,P56,IF(Q56=4,R56,0)),[4]D_任务!$A$2:$B$132,2,FALSE)),IF(O56=4,P56,IF(Q56=4,R56,0)),VLOOKUP(IF(O56=4,P56,IF(Q56=4,R56,0)),[4]D_任务!$A$2:$B$132,2,FALSE))</f>
        <v>0</v>
      </c>
      <c r="AS56" t="str">
        <f t="shared" si="1"/>
        <v>螳臂当车</v>
      </c>
      <c r="AT56">
        <f>VLOOKUP(A56,CHOOSE({1,2},[5]怪物信息表!$C$5:$C$77,[5]怪物信息表!$B$5:$B$77),2,FALSE)</f>
        <v>46</v>
      </c>
    </row>
    <row r="57" spans="1:46" x14ac:dyDescent="0.15">
      <c r="A57" s="2">
        <v>6001</v>
      </c>
      <c r="B57" s="2">
        <v>1</v>
      </c>
      <c r="C57" s="2">
        <v>6</v>
      </c>
      <c r="D57" s="8" t="s">
        <v>376</v>
      </c>
      <c r="E57" s="11">
        <f>IFERROR(VLOOKUP(C57,[3]副本规划!$Y$20:$Z$27,2,0),E53)</f>
        <v>10</v>
      </c>
      <c r="F57" s="2">
        <f>IFERROR(ROUNDUP(VLOOKUP(T57,CHOOSE({1,2},[5]D_怪物表!$I$1:$I$1120,[5]D_怪物表!$AH$1:$AH$1120),2,FALSE),0),0)</f>
        <v>26515</v>
      </c>
      <c r="G57" s="2">
        <v>1</v>
      </c>
      <c r="H57" s="2">
        <v>1</v>
      </c>
      <c r="I57" s="2">
        <v>0</v>
      </c>
      <c r="J57" s="2">
        <v>0</v>
      </c>
      <c r="K57" s="2">
        <v>0</v>
      </c>
      <c r="L57" s="2"/>
      <c r="M57" s="2">
        <f t="shared" si="2"/>
        <v>2</v>
      </c>
      <c r="N57" s="2">
        <v>1</v>
      </c>
      <c r="O57" s="2">
        <v>3</v>
      </c>
      <c r="P57" s="2">
        <f>A56</f>
        <v>5009</v>
      </c>
      <c r="Q57" s="2">
        <v>1</v>
      </c>
      <c r="R57" s="2">
        <f>IF(MOD(A57,10)=1,VLOOKUP(A57,CHOOSE({1,2},[5]怪物信息表!$C$5:$C$77,[5]怪物信息表!$B$5:$B$77),2,FALSE),R56)</f>
        <v>47</v>
      </c>
      <c r="S57" s="11">
        <f t="shared" si="3"/>
        <v>506001</v>
      </c>
      <c r="T57" s="11">
        <f t="shared" si="4"/>
        <v>161104</v>
      </c>
      <c r="U57" s="2">
        <v>3</v>
      </c>
      <c r="V57" s="14">
        <f t="shared" si="5"/>
        <v>161101</v>
      </c>
      <c r="W57" s="14">
        <f t="shared" si="6"/>
        <v>161102</v>
      </c>
      <c r="X57" s="14">
        <f t="shared" si="6"/>
        <v>161103</v>
      </c>
      <c r="Y57" s="2"/>
      <c r="Z57" s="2"/>
      <c r="AA57" s="2"/>
      <c r="AB57" s="2"/>
      <c r="AC57" s="2"/>
      <c r="AD57" s="2"/>
      <c r="AE57" s="2"/>
      <c r="AF57" s="2">
        <v>4</v>
      </c>
      <c r="AG57" s="2">
        <v>193</v>
      </c>
      <c r="AH57" s="2">
        <v>194</v>
      </c>
      <c r="AI57" s="2">
        <v>195</v>
      </c>
      <c r="AJ57" s="2">
        <v>196</v>
      </c>
      <c r="AK57" s="2"/>
      <c r="AL57" s="2"/>
      <c r="AM57" s="2"/>
      <c r="AN57" s="2"/>
      <c r="AO57" s="2"/>
      <c r="AP57" s="2"/>
      <c r="AQ57">
        <f t="shared" si="0"/>
        <v>47</v>
      </c>
      <c r="AR57">
        <f>IF(ISERROR(VLOOKUP(IF(O57=4,P57,IF(Q57=4,R57,0)),[4]D_任务!$A$2:$B$132,2,FALSE)),IF(O57=4,P57,IF(Q57=4,R57,0)),VLOOKUP(IF(O57=4,P57,IF(Q57=4,R57,0)),[4]D_任务!$A$2:$B$132,2,FALSE))</f>
        <v>0</v>
      </c>
      <c r="AS57" t="str">
        <f t="shared" si="1"/>
        <v>龙争虎斗</v>
      </c>
      <c r="AT57">
        <f>VLOOKUP(A57,CHOOSE({1,2},[5]怪物信息表!$C$5:$C$77,[5]怪物信息表!$B$5:$B$77),2,FALSE)</f>
        <v>47</v>
      </c>
    </row>
    <row r="58" spans="1:46" x14ac:dyDescent="0.15">
      <c r="A58" s="2">
        <v>6002</v>
      </c>
      <c r="B58" s="2">
        <v>1</v>
      </c>
      <c r="C58" s="2">
        <v>6</v>
      </c>
      <c r="D58" s="8" t="s">
        <v>363</v>
      </c>
      <c r="E58" s="11">
        <f>IFERROR(VLOOKUP(C58,[3]副本规划!$Y$20:$Z$27,2,0),E57)</f>
        <v>10</v>
      </c>
      <c r="F58" s="2">
        <f>IFERROR(ROUNDUP(VLOOKUP(T58,CHOOSE({1,2},[5]D_怪物表!$I$1:$I$1120,[5]D_怪物表!$AH$1:$AH$1120),2,FALSE),0),0)</f>
        <v>28668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/>
      <c r="M58" s="2">
        <f t="shared" si="2"/>
        <v>2</v>
      </c>
      <c r="N58" s="2">
        <v>1</v>
      </c>
      <c r="O58" s="2">
        <v>3</v>
      </c>
      <c r="P58" s="2">
        <f t="shared" si="10"/>
        <v>6001</v>
      </c>
      <c r="Q58" s="2">
        <v>1</v>
      </c>
      <c r="R58" s="2">
        <f>IF(MOD(A58,10)=1,VLOOKUP(A58,CHOOSE({1,2},[5]怪物信息表!$C$5:$C$77,[5]怪物信息表!$B$5:$B$77),2,FALSE),R57)</f>
        <v>47</v>
      </c>
      <c r="S58" s="11">
        <f t="shared" si="3"/>
        <v>506002</v>
      </c>
      <c r="T58" s="11">
        <f t="shared" si="4"/>
        <v>162104</v>
      </c>
      <c r="U58" s="2">
        <v>3</v>
      </c>
      <c r="V58" s="14">
        <f t="shared" si="5"/>
        <v>162101</v>
      </c>
      <c r="W58" s="14">
        <f t="shared" si="6"/>
        <v>162102</v>
      </c>
      <c r="X58" s="14">
        <f t="shared" si="6"/>
        <v>162103</v>
      </c>
      <c r="Y58" s="2"/>
      <c r="Z58" s="2"/>
      <c r="AA58" s="2"/>
      <c r="AB58" s="2"/>
      <c r="AC58" s="2"/>
      <c r="AD58" s="2"/>
      <c r="AE58" s="2"/>
      <c r="AF58" s="2">
        <v>4</v>
      </c>
      <c r="AG58" s="2">
        <v>194</v>
      </c>
      <c r="AH58" s="2">
        <v>195</v>
      </c>
      <c r="AI58" s="2">
        <v>196</v>
      </c>
      <c r="AJ58" s="2">
        <v>197</v>
      </c>
      <c r="AK58" s="2"/>
      <c r="AL58" s="2"/>
      <c r="AM58" s="2"/>
      <c r="AN58" s="2"/>
      <c r="AO58" s="2"/>
      <c r="AP58" s="2"/>
      <c r="AQ58">
        <f t="shared" si="0"/>
        <v>47</v>
      </c>
      <c r="AR58">
        <f>IF(ISERROR(VLOOKUP(IF(O58=4,P58,IF(Q58=4,R58,0)),[4]D_任务!$A$2:$B$132,2,FALSE)),IF(O58=4,P58,IF(Q58=4,R58,0)),VLOOKUP(IF(O58=4,P58,IF(Q58=4,R58,0)),[4]D_任务!$A$2:$B$132,2,FALSE))</f>
        <v>0</v>
      </c>
      <c r="AS58" t="str">
        <f t="shared" si="1"/>
        <v>婚礼遭袭</v>
      </c>
      <c r="AT58">
        <f>VLOOKUP(A58,CHOOSE({1,2},[5]怪物信息表!$C$5:$C$77,[5]怪物信息表!$B$5:$B$77),2,FALSE)</f>
        <v>48</v>
      </c>
    </row>
    <row r="59" spans="1:46" x14ac:dyDescent="0.15">
      <c r="A59" s="2">
        <v>6003</v>
      </c>
      <c r="B59" s="2">
        <v>1</v>
      </c>
      <c r="C59" s="2">
        <v>6</v>
      </c>
      <c r="D59" s="8" t="s">
        <v>364</v>
      </c>
      <c r="E59" s="11">
        <f>IFERROR(VLOOKUP(C59,[3]副本规划!$Y$20:$Z$27,2,0),E58)</f>
        <v>10</v>
      </c>
      <c r="F59" s="2">
        <f>IFERROR(ROUNDUP(VLOOKUP(T59,CHOOSE({1,2},[5]D_怪物表!$I$1:$I$1120,[5]D_怪物表!$AH$1:$AH$1120),2,FALSE),0),0)</f>
        <v>30964</v>
      </c>
      <c r="G59" s="2">
        <v>1</v>
      </c>
      <c r="H59" s="2">
        <v>1</v>
      </c>
      <c r="I59" s="2">
        <v>0</v>
      </c>
      <c r="J59" s="2">
        <v>0</v>
      </c>
      <c r="K59" s="2">
        <v>0</v>
      </c>
      <c r="L59" s="2"/>
      <c r="M59" s="2">
        <f t="shared" si="2"/>
        <v>2</v>
      </c>
      <c r="N59" s="2">
        <v>1</v>
      </c>
      <c r="O59" s="2">
        <v>3</v>
      </c>
      <c r="P59" s="2">
        <f t="shared" si="10"/>
        <v>6002</v>
      </c>
      <c r="Q59" s="2">
        <v>1</v>
      </c>
      <c r="R59" s="2">
        <f>IF(MOD(A59,10)=1,VLOOKUP(A59,CHOOSE({1,2},[5]怪物信息表!$C$5:$C$77,[5]怪物信息表!$B$5:$B$77),2,FALSE),R58)</f>
        <v>47</v>
      </c>
      <c r="S59" s="11">
        <f t="shared" si="3"/>
        <v>506003</v>
      </c>
      <c r="T59" s="11">
        <f t="shared" si="4"/>
        <v>163104</v>
      </c>
      <c r="U59" s="2">
        <v>3</v>
      </c>
      <c r="V59" s="14">
        <f t="shared" si="5"/>
        <v>163101</v>
      </c>
      <c r="W59" s="14">
        <f t="shared" si="6"/>
        <v>163102</v>
      </c>
      <c r="X59" s="14">
        <f t="shared" si="6"/>
        <v>163103</v>
      </c>
      <c r="Y59" s="2"/>
      <c r="Z59" s="2"/>
      <c r="AA59" s="2"/>
      <c r="AB59" s="2"/>
      <c r="AC59" s="2"/>
      <c r="AD59" s="2"/>
      <c r="AE59" s="2"/>
      <c r="AF59" s="2">
        <v>4</v>
      </c>
      <c r="AG59" s="2">
        <v>215</v>
      </c>
      <c r="AH59" s="2">
        <v>216</v>
      </c>
      <c r="AI59" s="2">
        <v>217</v>
      </c>
      <c r="AJ59" s="2">
        <v>218</v>
      </c>
      <c r="AK59" s="2"/>
      <c r="AL59" s="2"/>
      <c r="AM59" s="2"/>
      <c r="AN59" s="2"/>
      <c r="AO59" s="2"/>
      <c r="AP59" s="2"/>
      <c r="AQ59">
        <f t="shared" si="0"/>
        <v>47</v>
      </c>
      <c r="AR59">
        <f>IF(ISERROR(VLOOKUP(IF(O59=4,P59,IF(Q59=4,R59,0)),[4]D_任务!$A$2:$B$132,2,FALSE)),IF(O59=4,P59,IF(Q59=4,R59,0)),VLOOKUP(IF(O59=4,P59,IF(Q59=4,R59,0)),[4]D_任务!$A$2:$B$132,2,FALSE))</f>
        <v>0</v>
      </c>
      <c r="AS59" t="str">
        <f t="shared" si="1"/>
        <v>纠缠不休</v>
      </c>
      <c r="AT59">
        <f>VLOOKUP(A59,CHOOSE({1,2},[5]怪物信息表!$C$5:$C$77,[5]怪物信息表!$B$5:$B$77),2,FALSE)</f>
        <v>49</v>
      </c>
    </row>
    <row r="60" spans="1:46" x14ac:dyDescent="0.15">
      <c r="A60" s="2">
        <v>6004</v>
      </c>
      <c r="B60" s="2">
        <v>1</v>
      </c>
      <c r="C60" s="2">
        <v>6</v>
      </c>
      <c r="D60" s="8" t="s">
        <v>365</v>
      </c>
      <c r="E60" s="11">
        <f>IFERROR(VLOOKUP(C60,[3]副本规划!$Y$20:$Z$27,2,0),E59)</f>
        <v>10</v>
      </c>
      <c r="F60" s="2">
        <f>IFERROR(ROUNDUP(VLOOKUP(T60,CHOOSE({1,2},[5]D_怪物表!$I$1:$I$1120,[5]D_怪物表!$AH$1:$AH$1120),2,FALSE),0),0)</f>
        <v>33507</v>
      </c>
      <c r="G60" s="2">
        <v>1</v>
      </c>
      <c r="H60" s="2">
        <v>1</v>
      </c>
      <c r="I60" s="2">
        <v>0</v>
      </c>
      <c r="J60" s="2">
        <v>0</v>
      </c>
      <c r="K60" s="2">
        <v>0</v>
      </c>
      <c r="L60" s="2"/>
      <c r="M60" s="2">
        <f t="shared" si="2"/>
        <v>2</v>
      </c>
      <c r="N60" s="2">
        <v>1</v>
      </c>
      <c r="O60" s="2">
        <v>3</v>
      </c>
      <c r="P60" s="2">
        <f t="shared" si="10"/>
        <v>6003</v>
      </c>
      <c r="Q60" s="2">
        <v>1</v>
      </c>
      <c r="R60" s="2">
        <f>IF(MOD(A60,10)=1,VLOOKUP(A60,CHOOSE({1,2},[5]怪物信息表!$C$5:$C$77,[5]怪物信息表!$B$5:$B$77),2,FALSE),R59)</f>
        <v>47</v>
      </c>
      <c r="S60" s="11">
        <f t="shared" si="3"/>
        <v>506004</v>
      </c>
      <c r="T60" s="11">
        <f t="shared" si="4"/>
        <v>164104</v>
      </c>
      <c r="U60" s="2">
        <v>3</v>
      </c>
      <c r="V60" s="14">
        <f t="shared" si="5"/>
        <v>164101</v>
      </c>
      <c r="W60" s="14">
        <f t="shared" si="6"/>
        <v>164102</v>
      </c>
      <c r="X60" s="14">
        <f t="shared" si="6"/>
        <v>164103</v>
      </c>
      <c r="Y60" s="2"/>
      <c r="Z60" s="2"/>
      <c r="AA60" s="2"/>
      <c r="AB60" s="2"/>
      <c r="AC60" s="2"/>
      <c r="AD60" s="2"/>
      <c r="AE60" s="2"/>
      <c r="AF60" s="2">
        <v>4</v>
      </c>
      <c r="AG60" s="2">
        <v>135</v>
      </c>
      <c r="AH60" s="2">
        <v>136</v>
      </c>
      <c r="AI60" s="2">
        <v>137</v>
      </c>
      <c r="AJ60" s="2">
        <v>138</v>
      </c>
      <c r="AK60" s="2"/>
      <c r="AL60" s="2"/>
      <c r="AM60" s="2"/>
      <c r="AN60" s="2"/>
      <c r="AO60" s="2"/>
      <c r="AP60" s="2"/>
      <c r="AQ60">
        <f t="shared" si="0"/>
        <v>47</v>
      </c>
      <c r="AR60">
        <f>IF(ISERROR(VLOOKUP(IF(O60=4,P60,IF(Q60=4,R60,0)),[4]D_任务!$A$2:$B$132,2,FALSE)),IF(O60=4,P60,IF(Q60=4,R60,0)),VLOOKUP(IF(O60=4,P60,IF(Q60=4,R60,0)),[4]D_任务!$A$2:$B$132,2,FALSE))</f>
        <v>0</v>
      </c>
      <c r="AS60" t="str">
        <f t="shared" si="1"/>
        <v>试炼之战</v>
      </c>
      <c r="AT60">
        <f>VLOOKUP(A60,CHOOSE({1,2},[5]怪物信息表!$C$5:$C$77,[5]怪物信息表!$B$5:$B$77),2,FALSE)</f>
        <v>50</v>
      </c>
    </row>
    <row r="61" spans="1:46" x14ac:dyDescent="0.15">
      <c r="A61" s="2">
        <v>6005</v>
      </c>
      <c r="B61" s="2">
        <v>1</v>
      </c>
      <c r="C61" s="2">
        <v>6</v>
      </c>
      <c r="D61" s="8" t="s">
        <v>366</v>
      </c>
      <c r="E61" s="11">
        <f>IFERROR(VLOOKUP(C61,[3]副本规划!$Y$20:$Z$27,2,0),E60)</f>
        <v>10</v>
      </c>
      <c r="F61" s="2">
        <f>IFERROR(ROUNDUP(VLOOKUP(T61,CHOOSE({1,2},[5]D_怪物表!$I$1:$I$1120,[5]D_怪物表!$AH$1:$AH$1120),2,FALSE),0),0)</f>
        <v>35922</v>
      </c>
      <c r="G61" s="2">
        <v>1</v>
      </c>
      <c r="H61" s="2">
        <v>1</v>
      </c>
      <c r="I61" s="2">
        <v>0</v>
      </c>
      <c r="J61" s="2">
        <v>0</v>
      </c>
      <c r="K61" s="2">
        <v>0</v>
      </c>
      <c r="L61" s="2"/>
      <c r="M61" s="2">
        <f t="shared" si="2"/>
        <v>2</v>
      </c>
      <c r="N61" s="2">
        <v>1</v>
      </c>
      <c r="O61" s="2">
        <v>3</v>
      </c>
      <c r="P61" s="2">
        <f t="shared" si="10"/>
        <v>6004</v>
      </c>
      <c r="Q61" s="2">
        <v>1</v>
      </c>
      <c r="R61" s="2">
        <f>IF(MOD(A61,10)=1,VLOOKUP(A61,CHOOSE({1,2},[5]怪物信息表!$C$5:$C$77,[5]怪物信息表!$B$5:$B$77),2,FALSE),R60)</f>
        <v>47</v>
      </c>
      <c r="S61" s="11">
        <f t="shared" si="3"/>
        <v>506005</v>
      </c>
      <c r="T61" s="11">
        <f t="shared" si="4"/>
        <v>165104</v>
      </c>
      <c r="U61" s="2">
        <v>3</v>
      </c>
      <c r="V61" s="14">
        <f t="shared" si="5"/>
        <v>165101</v>
      </c>
      <c r="W61" s="14">
        <f t="shared" si="6"/>
        <v>165102</v>
      </c>
      <c r="X61" s="14">
        <f t="shared" si="6"/>
        <v>165103</v>
      </c>
      <c r="Y61" s="2"/>
      <c r="Z61" s="2"/>
      <c r="AA61" s="2"/>
      <c r="AB61" s="2"/>
      <c r="AC61" s="2"/>
      <c r="AD61" s="2"/>
      <c r="AE61" s="2"/>
      <c r="AF61" s="2">
        <v>4</v>
      </c>
      <c r="AG61" s="2">
        <v>169</v>
      </c>
      <c r="AH61" s="2">
        <v>170</v>
      </c>
      <c r="AI61" s="2">
        <v>171</v>
      </c>
      <c r="AJ61" s="2">
        <v>172</v>
      </c>
      <c r="AK61" s="2"/>
      <c r="AL61" s="2"/>
      <c r="AM61" s="2"/>
      <c r="AN61" s="2"/>
      <c r="AO61" s="2"/>
      <c r="AP61" s="2"/>
      <c r="AQ61">
        <f t="shared" si="0"/>
        <v>47</v>
      </c>
      <c r="AR61">
        <f>IF(ISERROR(VLOOKUP(IF(O61=4,P61,IF(Q61=4,R61,0)),[4]D_任务!$A$2:$B$132,2,FALSE)),IF(O61=4,P61,IF(Q61=4,R61,0)),VLOOKUP(IF(O61=4,P61,IF(Q61=4,R61,0)),[4]D_任务!$A$2:$B$132,2,FALSE))</f>
        <v>0</v>
      </c>
      <c r="AS61" t="str">
        <f t="shared" si="1"/>
        <v>反守为攻</v>
      </c>
      <c r="AT61">
        <f>VLOOKUP(A61,CHOOSE({1,2},[5]怪物信息表!$C$5:$C$77,[5]怪物信息表!$B$5:$B$77),2,FALSE)</f>
        <v>51</v>
      </c>
    </row>
    <row r="62" spans="1:46" x14ac:dyDescent="0.15">
      <c r="A62" s="2">
        <v>6006</v>
      </c>
      <c r="B62" s="2">
        <v>1</v>
      </c>
      <c r="C62" s="2">
        <v>6</v>
      </c>
      <c r="D62" s="8" t="s">
        <v>367</v>
      </c>
      <c r="E62" s="11">
        <f>IFERROR(VLOOKUP(C62,[3]副本规划!$Y$20:$Z$27,2,0),E61)</f>
        <v>10</v>
      </c>
      <c r="F62" s="2">
        <f>IFERROR(ROUNDUP(VLOOKUP(T62,CHOOSE({1,2},[5]D_怪物表!$I$1:$I$1120,[5]D_怪物表!$AH$1:$AH$1120),2,FALSE),0),0)</f>
        <v>39207</v>
      </c>
      <c r="G62" s="2">
        <v>1</v>
      </c>
      <c r="H62" s="2">
        <v>1</v>
      </c>
      <c r="I62" s="2">
        <v>0</v>
      </c>
      <c r="J62" s="2">
        <v>0</v>
      </c>
      <c r="K62" s="2">
        <v>0</v>
      </c>
      <c r="L62" s="2"/>
      <c r="M62" s="2">
        <f t="shared" si="2"/>
        <v>2</v>
      </c>
      <c r="N62" s="2">
        <v>1</v>
      </c>
      <c r="O62" s="2">
        <v>3</v>
      </c>
      <c r="P62" s="2">
        <f t="shared" si="10"/>
        <v>6005</v>
      </c>
      <c r="Q62" s="2">
        <v>1</v>
      </c>
      <c r="R62" s="2">
        <f>IF(MOD(A62,10)=1,VLOOKUP(A62,CHOOSE({1,2},[5]怪物信息表!$C$5:$C$77,[5]怪物信息表!$B$5:$B$77),2,FALSE),R61)</f>
        <v>47</v>
      </c>
      <c r="S62" s="11">
        <f t="shared" si="3"/>
        <v>506006</v>
      </c>
      <c r="T62" s="11">
        <f t="shared" si="4"/>
        <v>166104</v>
      </c>
      <c r="U62" s="2">
        <v>3</v>
      </c>
      <c r="V62" s="14">
        <f t="shared" si="5"/>
        <v>166101</v>
      </c>
      <c r="W62" s="14">
        <f t="shared" si="6"/>
        <v>166102</v>
      </c>
      <c r="X62" s="14">
        <f t="shared" si="6"/>
        <v>166103</v>
      </c>
      <c r="Y62" s="2"/>
      <c r="Z62" s="2"/>
      <c r="AA62" s="2"/>
      <c r="AB62" s="2"/>
      <c r="AC62" s="2"/>
      <c r="AD62" s="2"/>
      <c r="AE62" s="2"/>
      <c r="AF62" s="2">
        <v>4</v>
      </c>
      <c r="AG62" s="2">
        <v>108</v>
      </c>
      <c r="AH62" s="2">
        <v>109</v>
      </c>
      <c r="AI62" s="2">
        <v>110</v>
      </c>
      <c r="AJ62" s="2">
        <v>111</v>
      </c>
      <c r="AK62" s="2"/>
      <c r="AL62" s="2"/>
      <c r="AM62" s="2"/>
      <c r="AN62" s="2"/>
      <c r="AO62" s="2"/>
      <c r="AP62" s="2"/>
      <c r="AQ62">
        <f t="shared" si="0"/>
        <v>47</v>
      </c>
      <c r="AR62">
        <f>IF(ISERROR(VLOOKUP(IF(O62=4,P62,IF(Q62=4,R62,0)),[4]D_任务!$A$2:$B$132,2,FALSE)),IF(O62=4,P62,IF(Q62=4,R62,0)),VLOOKUP(IF(O62=4,P62,IF(Q62=4,R62,0)),[4]D_任务!$A$2:$B$132,2,FALSE))</f>
        <v>0</v>
      </c>
      <c r="AS62" t="str">
        <f t="shared" si="1"/>
        <v>突破重围</v>
      </c>
      <c r="AT62">
        <f>VLOOKUP(A62,CHOOSE({1,2},[5]怪物信息表!$C$5:$C$77,[5]怪物信息表!$B$5:$B$77),2,FALSE)</f>
        <v>52</v>
      </c>
    </row>
    <row r="63" spans="1:46" x14ac:dyDescent="0.15">
      <c r="A63" s="2">
        <v>6007</v>
      </c>
      <c r="B63" s="2">
        <v>1</v>
      </c>
      <c r="C63" s="2">
        <v>6</v>
      </c>
      <c r="D63" s="8" t="s">
        <v>466</v>
      </c>
      <c r="E63" s="11">
        <f>IFERROR(VLOOKUP(C63,[3]副本规划!$Y$20:$Z$27,2,0),E62)</f>
        <v>10</v>
      </c>
      <c r="F63" s="2">
        <f>IFERROR(ROUNDUP(VLOOKUP(T63,CHOOSE({1,2},[5]D_怪物表!$I$1:$I$1120,[5]D_怪物表!$AH$1:$AH$1120),2,FALSE),0),0)</f>
        <v>42238</v>
      </c>
      <c r="G63" s="2">
        <v>1</v>
      </c>
      <c r="H63" s="2">
        <v>1</v>
      </c>
      <c r="I63" s="2">
        <v>0</v>
      </c>
      <c r="J63" s="2">
        <v>0</v>
      </c>
      <c r="K63" s="2">
        <v>0</v>
      </c>
      <c r="L63" s="2"/>
      <c r="M63" s="2">
        <f t="shared" ref="M63:M65" si="27">SUM(O63&gt;0,Q63&gt;0)</f>
        <v>2</v>
      </c>
      <c r="N63" s="2">
        <v>1</v>
      </c>
      <c r="O63" s="2">
        <v>3</v>
      </c>
      <c r="P63" s="2">
        <f t="shared" si="10"/>
        <v>6006</v>
      </c>
      <c r="Q63" s="2">
        <v>1</v>
      </c>
      <c r="R63" s="2">
        <f>IF(MOD(A63,10)=1,VLOOKUP(A63,CHOOSE({1,2},[5]怪物信息表!$C$5:$C$77,[5]怪物信息表!$B$5:$B$77),2,FALSE),R62)</f>
        <v>47</v>
      </c>
      <c r="S63" s="11">
        <f t="shared" ref="S63:S65" si="28">50*10000+A63</f>
        <v>506007</v>
      </c>
      <c r="T63" s="11">
        <f t="shared" si="4"/>
        <v>167104</v>
      </c>
      <c r="U63" s="2">
        <v>3</v>
      </c>
      <c r="V63" s="14">
        <f t="shared" si="5"/>
        <v>167101</v>
      </c>
      <c r="W63" s="14">
        <f t="shared" si="6"/>
        <v>167102</v>
      </c>
      <c r="X63" s="14">
        <f t="shared" si="6"/>
        <v>167103</v>
      </c>
      <c r="Y63" s="2"/>
      <c r="Z63" s="2"/>
      <c r="AA63" s="2"/>
      <c r="AB63" s="2"/>
      <c r="AC63" s="2"/>
      <c r="AD63" s="2"/>
      <c r="AE63" s="2"/>
      <c r="AF63" s="2">
        <v>4</v>
      </c>
      <c r="AG63" s="2">
        <v>215</v>
      </c>
      <c r="AH63" s="2">
        <v>216</v>
      </c>
      <c r="AI63" s="2">
        <v>217</v>
      </c>
      <c r="AJ63" s="2">
        <v>218</v>
      </c>
      <c r="AK63" s="2"/>
      <c r="AL63" s="2"/>
      <c r="AM63" s="2"/>
      <c r="AN63" s="2"/>
      <c r="AO63" s="2"/>
      <c r="AP63" s="2"/>
      <c r="AQ63">
        <f t="shared" ref="AQ63:AQ65" si="29">IF(O63=1,P63,IF(Q63=1,R63,0))</f>
        <v>47</v>
      </c>
      <c r="AR63">
        <f>IF(ISERROR(VLOOKUP(IF(O63=4,P63,IF(Q63=4,R63,0)),[4]D_任务!$A$2:$B$132,2,FALSE)),IF(O63=4,P63,IF(Q63=4,R63,0)),VLOOKUP(IF(O63=4,P63,IF(Q63=4,R63,0)),[4]D_任务!$A$2:$B$132,2,FALSE))</f>
        <v>0</v>
      </c>
      <c r="AS63" t="str">
        <f t="shared" si="1"/>
        <v>力克强敌</v>
      </c>
      <c r="AT63">
        <f>VLOOKUP(A63,CHOOSE({1,2},[5]怪物信息表!$C$5:$C$77,[5]怪物信息表!$B$5:$B$77),2,FALSE)</f>
        <v>53</v>
      </c>
    </row>
    <row r="64" spans="1:46" x14ac:dyDescent="0.15">
      <c r="A64" s="2">
        <v>6008</v>
      </c>
      <c r="B64" s="2">
        <v>1</v>
      </c>
      <c r="C64" s="2">
        <v>6</v>
      </c>
      <c r="D64" s="8" t="s">
        <v>467</v>
      </c>
      <c r="E64" s="11">
        <f>IFERROR(VLOOKUP(C64,[3]副本规划!$Y$20:$Z$27,2,0),E63)</f>
        <v>10</v>
      </c>
      <c r="F64" s="2">
        <f>IFERROR(ROUNDUP(VLOOKUP(T64,CHOOSE({1,2},[5]D_怪物表!$I$1:$I$1120,[5]D_怪物表!$AH$1:$AH$1120),2,FALSE),0),0)</f>
        <v>45449</v>
      </c>
      <c r="G64" s="2">
        <v>1</v>
      </c>
      <c r="H64" s="2">
        <v>1</v>
      </c>
      <c r="I64" s="2">
        <v>0</v>
      </c>
      <c r="J64" s="2">
        <v>0</v>
      </c>
      <c r="K64" s="2">
        <v>0</v>
      </c>
      <c r="L64" s="2"/>
      <c r="M64" s="2">
        <f t="shared" si="27"/>
        <v>2</v>
      </c>
      <c r="N64" s="2">
        <v>1</v>
      </c>
      <c r="O64" s="2">
        <v>3</v>
      </c>
      <c r="P64" s="2">
        <f t="shared" si="10"/>
        <v>6007</v>
      </c>
      <c r="Q64" s="2">
        <v>1</v>
      </c>
      <c r="R64" s="2">
        <f>IF(MOD(A64,10)=1,VLOOKUP(A64,CHOOSE({1,2},[5]怪物信息表!$C$5:$C$77,[5]怪物信息表!$B$5:$B$77),2,FALSE),R63)</f>
        <v>47</v>
      </c>
      <c r="S64" s="11">
        <f t="shared" si="28"/>
        <v>506008</v>
      </c>
      <c r="T64" s="11">
        <f t="shared" si="4"/>
        <v>168104</v>
      </c>
      <c r="U64" s="2">
        <v>3</v>
      </c>
      <c r="V64" s="14">
        <f t="shared" si="5"/>
        <v>168101</v>
      </c>
      <c r="W64" s="14">
        <f t="shared" si="6"/>
        <v>168102</v>
      </c>
      <c r="X64" s="14">
        <f t="shared" si="6"/>
        <v>168103</v>
      </c>
      <c r="Y64" s="2"/>
      <c r="Z64" s="2"/>
      <c r="AA64" s="2"/>
      <c r="AB64" s="2"/>
      <c r="AC64" s="2"/>
      <c r="AD64" s="2"/>
      <c r="AE64" s="2"/>
      <c r="AF64" s="2">
        <v>4</v>
      </c>
      <c r="AG64" s="2">
        <v>215</v>
      </c>
      <c r="AH64" s="2">
        <v>216</v>
      </c>
      <c r="AI64" s="2">
        <v>217</v>
      </c>
      <c r="AJ64" s="2">
        <v>218</v>
      </c>
      <c r="AK64" s="2"/>
      <c r="AL64" s="2"/>
      <c r="AM64" s="2"/>
      <c r="AN64" s="2"/>
      <c r="AO64" s="2"/>
      <c r="AP64" s="2"/>
      <c r="AQ64">
        <f t="shared" si="29"/>
        <v>47</v>
      </c>
      <c r="AR64">
        <f>IF(ISERROR(VLOOKUP(IF(O64=4,P64,IF(Q64=4,R64,0)),[4]D_任务!$A$2:$B$132,2,FALSE)),IF(O64=4,P64,IF(Q64=4,R64,0)),VLOOKUP(IF(O64=4,P64,IF(Q64=4,R64,0)),[4]D_任务!$A$2:$B$132,2,FALSE))</f>
        <v>0</v>
      </c>
      <c r="AS64" t="str">
        <f t="shared" si="1"/>
        <v>正面交锋</v>
      </c>
      <c r="AT64">
        <f>VLOOKUP(A64,CHOOSE({1,2},[5]怪物信息表!$C$5:$C$77,[5]怪物信息表!$B$5:$B$77),2,FALSE)</f>
        <v>54</v>
      </c>
    </row>
    <row r="65" spans="1:46" x14ac:dyDescent="0.15">
      <c r="A65" s="2">
        <v>6009</v>
      </c>
      <c r="B65" s="2">
        <v>1</v>
      </c>
      <c r="C65" s="2">
        <v>6</v>
      </c>
      <c r="D65" s="8" t="s">
        <v>465</v>
      </c>
      <c r="E65" s="11">
        <f>IFERROR(VLOOKUP(C65,[3]副本规划!$Y$20:$Z$27,2,0),E64)</f>
        <v>10</v>
      </c>
      <c r="F65" s="2">
        <f>IFERROR(ROUNDUP(VLOOKUP(T65,CHOOSE({1,2},[5]D_怪物表!$I$1:$I$1120,[5]D_怪物表!$AH$1:$AH$1120),2,FALSE),0),0)</f>
        <v>56798</v>
      </c>
      <c r="G65" s="2">
        <v>1</v>
      </c>
      <c r="H65" s="2">
        <v>1</v>
      </c>
      <c r="I65" s="2">
        <v>0</v>
      </c>
      <c r="J65" s="2">
        <v>0</v>
      </c>
      <c r="K65" s="2">
        <v>0</v>
      </c>
      <c r="L65" s="2"/>
      <c r="M65" s="2">
        <f t="shared" si="27"/>
        <v>2</v>
      </c>
      <c r="N65" s="2">
        <v>1</v>
      </c>
      <c r="O65" s="2">
        <v>3</v>
      </c>
      <c r="P65" s="2">
        <f t="shared" si="10"/>
        <v>6008</v>
      </c>
      <c r="Q65" s="2">
        <v>1</v>
      </c>
      <c r="R65" s="2">
        <f>IF(MOD(A65,10)=1,VLOOKUP(A65,CHOOSE({1,2},[5]怪物信息表!$C$5:$C$77,[5]怪物信息表!$B$5:$B$77),2,FALSE),R64)</f>
        <v>47</v>
      </c>
      <c r="S65" s="11">
        <f t="shared" si="28"/>
        <v>506009</v>
      </c>
      <c r="T65" s="11">
        <f t="shared" si="4"/>
        <v>169104</v>
      </c>
      <c r="U65" s="2">
        <v>3</v>
      </c>
      <c r="V65" s="14">
        <f t="shared" si="5"/>
        <v>169101</v>
      </c>
      <c r="W65" s="14">
        <f t="shared" si="6"/>
        <v>169102</v>
      </c>
      <c r="X65" s="14">
        <f t="shared" si="6"/>
        <v>169103</v>
      </c>
      <c r="Y65" s="2"/>
      <c r="Z65" s="2"/>
      <c r="AA65" s="2"/>
      <c r="AB65" s="2"/>
      <c r="AC65" s="2"/>
      <c r="AD65" s="2"/>
      <c r="AE65" s="2"/>
      <c r="AF65" s="2">
        <v>4</v>
      </c>
      <c r="AG65" s="2">
        <v>215</v>
      </c>
      <c r="AH65" s="2">
        <v>216</v>
      </c>
      <c r="AI65" s="2">
        <v>217</v>
      </c>
      <c r="AJ65" s="2">
        <v>218</v>
      </c>
      <c r="AK65" s="2"/>
      <c r="AL65" s="2"/>
      <c r="AM65" s="2"/>
      <c r="AN65" s="2"/>
      <c r="AO65" s="2"/>
      <c r="AP65" s="2"/>
      <c r="AQ65">
        <f t="shared" si="29"/>
        <v>47</v>
      </c>
      <c r="AR65">
        <f>IF(ISERROR(VLOOKUP(IF(O65=4,P65,IF(Q65=4,R65,0)),[4]D_任务!$A$2:$B$132,2,FALSE)),IF(O65=4,P65,IF(Q65=4,R65,0)),VLOOKUP(IF(O65=4,P65,IF(Q65=4,R65,0)),[4]D_任务!$A$2:$B$132,2,FALSE))</f>
        <v>0</v>
      </c>
      <c r="AS65" t="str">
        <f t="shared" si="1"/>
        <v>愈战愈勇</v>
      </c>
      <c r="AT65">
        <f>VLOOKUP(A65,CHOOSE({1,2},[5]怪物信息表!$C$5:$C$77,[5]怪物信息表!$B$5:$B$77),2,FALSE)</f>
        <v>55</v>
      </c>
    </row>
    <row r="66" spans="1:46" x14ac:dyDescent="0.15">
      <c r="A66" s="2">
        <v>7001</v>
      </c>
      <c r="B66" s="2">
        <v>1</v>
      </c>
      <c r="C66" s="2">
        <v>7</v>
      </c>
      <c r="D66" s="8" t="s">
        <v>369</v>
      </c>
      <c r="E66" s="11">
        <f>IFERROR(VLOOKUP(C66,[3]副本规划!$Y$20:$Z$27,2,0),E65)</f>
        <v>10</v>
      </c>
      <c r="F66" s="2">
        <f>IFERROR(ROUNDUP(VLOOKUP(T66,CHOOSE({1,2},[5]D_怪物表!$I$1:$I$1120,[5]D_怪物表!$AH$1:$AH$1120),2,FALSE),0),0)</f>
        <v>52510</v>
      </c>
      <c r="G66" s="2">
        <v>1</v>
      </c>
      <c r="H66" s="2">
        <v>1</v>
      </c>
      <c r="I66" s="2">
        <v>0</v>
      </c>
      <c r="J66" s="2">
        <v>0</v>
      </c>
      <c r="K66" s="2">
        <v>0</v>
      </c>
      <c r="L66" s="2"/>
      <c r="M66" s="2">
        <f t="shared" si="2"/>
        <v>2</v>
      </c>
      <c r="N66" s="2">
        <v>1</v>
      </c>
      <c r="O66" s="2">
        <v>3</v>
      </c>
      <c r="P66" s="2">
        <f t="shared" si="10"/>
        <v>6009</v>
      </c>
      <c r="Q66" s="2">
        <v>1</v>
      </c>
      <c r="R66" s="2">
        <f>IF(MOD(A66,10)=1,VLOOKUP(A66,CHOOSE({1,2},[5]怪物信息表!$C$5:$C$77,[5]怪物信息表!$B$5:$B$77),2,FALSE),R65)</f>
        <v>56</v>
      </c>
      <c r="S66" s="11">
        <f t="shared" si="3"/>
        <v>507001</v>
      </c>
      <c r="T66" s="11">
        <f t="shared" si="4"/>
        <v>171104</v>
      </c>
      <c r="U66" s="2">
        <v>3</v>
      </c>
      <c r="V66" s="14">
        <f t="shared" si="5"/>
        <v>171101</v>
      </c>
      <c r="W66" s="14">
        <f t="shared" si="6"/>
        <v>171102</v>
      </c>
      <c r="X66" s="14">
        <f t="shared" si="6"/>
        <v>171103</v>
      </c>
      <c r="Y66" s="2"/>
      <c r="Z66" s="2"/>
      <c r="AA66" s="2"/>
      <c r="AB66" s="2"/>
      <c r="AC66" s="2"/>
      <c r="AD66" s="2"/>
      <c r="AE66" s="2"/>
      <c r="AF66" s="2">
        <v>4</v>
      </c>
      <c r="AG66" s="2">
        <v>424</v>
      </c>
      <c r="AH66" s="2">
        <v>425</v>
      </c>
      <c r="AI66" s="2">
        <v>426</v>
      </c>
      <c r="AJ66" s="2">
        <v>427</v>
      </c>
      <c r="AK66" s="2"/>
      <c r="AL66" s="2"/>
      <c r="AM66" s="2"/>
      <c r="AN66" s="2"/>
      <c r="AO66" s="2"/>
      <c r="AP66" s="2"/>
      <c r="AQ66">
        <f t="shared" si="0"/>
        <v>56</v>
      </c>
      <c r="AR66">
        <f>IF(ISERROR(VLOOKUP(IF(O66=4,P66,IF(Q66=4,R66,0)),[4]D_任务!$A$2:$B$132,2,FALSE)),IF(O66=4,P66,IF(Q66=4,R66,0)),VLOOKUP(IF(O66=4,P66,IF(Q66=4,R66,0)),[4]D_任务!$A$2:$B$132,2,FALSE))</f>
        <v>0</v>
      </c>
      <c r="AS66" t="str">
        <f t="shared" si="1"/>
        <v>决战太乙</v>
      </c>
      <c r="AT66">
        <f>VLOOKUP(A66,CHOOSE({1,2},[5]怪物信息表!$C$5:$C$77,[5]怪物信息表!$B$5:$B$77),2,FALSE)</f>
        <v>56</v>
      </c>
    </row>
    <row r="67" spans="1:46" x14ac:dyDescent="0.15">
      <c r="A67" s="2">
        <v>7002</v>
      </c>
      <c r="B67" s="2">
        <v>1</v>
      </c>
      <c r="C67" s="2">
        <v>7</v>
      </c>
      <c r="D67" s="8" t="s">
        <v>368</v>
      </c>
      <c r="E67" s="11">
        <f>IFERROR(VLOOKUP(C67,[3]副本规划!$Y$20:$Z$27,2,0),E66)</f>
        <v>10</v>
      </c>
      <c r="F67" s="2">
        <f>IFERROR(ROUNDUP(VLOOKUP(T67,CHOOSE({1,2},[5]D_怪物表!$I$1:$I$1120,[5]D_怪物表!$AH$1:$AH$1120),2,FALSE),0),0)</f>
        <v>56336</v>
      </c>
      <c r="G67" s="2">
        <v>1</v>
      </c>
      <c r="H67" s="2">
        <v>1</v>
      </c>
      <c r="I67" s="2">
        <v>0</v>
      </c>
      <c r="J67" s="2">
        <v>0</v>
      </c>
      <c r="K67" s="2">
        <v>0</v>
      </c>
      <c r="L67" s="2"/>
      <c r="M67" s="2">
        <f t="shared" si="2"/>
        <v>2</v>
      </c>
      <c r="N67" s="2">
        <v>1</v>
      </c>
      <c r="O67" s="2">
        <v>3</v>
      </c>
      <c r="P67" s="2">
        <f t="shared" si="10"/>
        <v>7001</v>
      </c>
      <c r="Q67" s="2">
        <v>1</v>
      </c>
      <c r="R67" s="2">
        <f>IF(MOD(A67,10)=1,VLOOKUP(A67,CHOOSE({1,2},[5]怪物信息表!$C$5:$C$77,[5]怪物信息表!$B$5:$B$77),2,FALSE),R66)</f>
        <v>56</v>
      </c>
      <c r="S67" s="11">
        <f t="shared" si="3"/>
        <v>507002</v>
      </c>
      <c r="T67" s="11">
        <f t="shared" si="4"/>
        <v>172104</v>
      </c>
      <c r="U67" s="2">
        <v>3</v>
      </c>
      <c r="V67" s="14">
        <f t="shared" si="5"/>
        <v>172101</v>
      </c>
      <c r="W67" s="14">
        <f t="shared" si="6"/>
        <v>172102</v>
      </c>
      <c r="X67" s="14">
        <f t="shared" si="6"/>
        <v>172103</v>
      </c>
      <c r="Y67" s="2"/>
      <c r="Z67" s="2"/>
      <c r="AA67" s="2"/>
      <c r="AB67" s="2"/>
      <c r="AC67" s="2"/>
      <c r="AD67" s="2"/>
      <c r="AE67" s="2"/>
      <c r="AF67" s="2">
        <v>4</v>
      </c>
      <c r="AG67" s="2">
        <v>406</v>
      </c>
      <c r="AH67" s="2">
        <v>407</v>
      </c>
      <c r="AI67" s="2">
        <v>408</v>
      </c>
      <c r="AJ67" s="2">
        <v>409</v>
      </c>
      <c r="AK67" s="2"/>
      <c r="AL67" s="2"/>
      <c r="AM67" s="2"/>
      <c r="AN67" s="2"/>
      <c r="AO67" s="2"/>
      <c r="AP67" s="2"/>
      <c r="AQ67">
        <f t="shared" si="0"/>
        <v>56</v>
      </c>
      <c r="AR67">
        <f>IF(ISERROR(VLOOKUP(IF(O67=4,P67,IF(Q67=4,R67,0)),[4]D_任务!$A$2:$B$132,2,FALSE)),IF(O67=4,P67,IF(Q67=4,R67,0)),VLOOKUP(IF(O67=4,P67,IF(Q67=4,R67,0)),[4]D_任务!$A$2:$B$132,2,FALSE))</f>
        <v>0</v>
      </c>
      <c r="AS67" t="str">
        <f t="shared" ref="AS67:AS130" si="30">IF(ISERROR(VLOOKUP(IF(O67=3,P67,IF(Q67=3,R67,0)),$A$3:$D$220,4,FALSE)),IF(O67=3,P67,IF(Q67=3,R67,0)),VLOOKUP(IF(O67=3,P67,IF(Q67=3,R67,0)),$A$3:$D$220,4,FALSE))</f>
        <v>突袭白虎堂</v>
      </c>
      <c r="AT67">
        <f>VLOOKUP(A67,CHOOSE({1,2},[5]怪物信息表!$C$5:$C$77,[5]怪物信息表!$B$5:$B$77),2,FALSE)</f>
        <v>57</v>
      </c>
    </row>
    <row r="68" spans="1:46" x14ac:dyDescent="0.15">
      <c r="A68" s="2">
        <v>7003</v>
      </c>
      <c r="B68" s="2">
        <v>1</v>
      </c>
      <c r="C68" s="2">
        <v>7</v>
      </c>
      <c r="D68" s="8" t="s">
        <v>370</v>
      </c>
      <c r="E68" s="11">
        <f>IFERROR(VLOOKUP(C68,[3]副本规划!$Y$20:$Z$27,2,0),E67)</f>
        <v>10</v>
      </c>
      <c r="F68" s="2">
        <f>IFERROR(ROUNDUP(VLOOKUP(T68,CHOOSE({1,2},[5]D_怪物表!$I$1:$I$1120,[5]D_怪物表!$AH$1:$AH$1120),2,FALSE),0),0)</f>
        <v>60314</v>
      </c>
      <c r="G68" s="2">
        <v>1</v>
      </c>
      <c r="H68" s="2">
        <v>1</v>
      </c>
      <c r="I68" s="2">
        <v>0</v>
      </c>
      <c r="J68" s="2">
        <v>0</v>
      </c>
      <c r="K68" s="2">
        <v>0</v>
      </c>
      <c r="L68" s="2"/>
      <c r="M68" s="2">
        <f t="shared" si="2"/>
        <v>2</v>
      </c>
      <c r="N68" s="2">
        <v>1</v>
      </c>
      <c r="O68" s="2">
        <v>3</v>
      </c>
      <c r="P68" s="2">
        <f t="shared" si="10"/>
        <v>7002</v>
      </c>
      <c r="Q68" s="2">
        <v>1</v>
      </c>
      <c r="R68" s="2">
        <f>IF(MOD(A68,10)=1,VLOOKUP(A68,CHOOSE({1,2},[5]怪物信息表!$C$5:$C$77,[5]怪物信息表!$B$5:$B$77),2,FALSE),R67)</f>
        <v>56</v>
      </c>
      <c r="S68" s="11">
        <f t="shared" si="3"/>
        <v>507003</v>
      </c>
      <c r="T68" s="11">
        <f t="shared" si="4"/>
        <v>173104</v>
      </c>
      <c r="U68" s="2">
        <v>3</v>
      </c>
      <c r="V68" s="14">
        <f t="shared" si="5"/>
        <v>173101</v>
      </c>
      <c r="W68" s="14">
        <f t="shared" si="6"/>
        <v>173102</v>
      </c>
      <c r="X68" s="14">
        <f t="shared" si="6"/>
        <v>173103</v>
      </c>
      <c r="Y68" s="2"/>
      <c r="Z68" s="2"/>
      <c r="AA68" s="2"/>
      <c r="AB68" s="2"/>
      <c r="AC68" s="2"/>
      <c r="AD68" s="2"/>
      <c r="AE68" s="2"/>
      <c r="AF68" s="2">
        <v>4</v>
      </c>
      <c r="AG68" s="2">
        <v>362</v>
      </c>
      <c r="AH68" s="2">
        <v>363</v>
      </c>
      <c r="AI68" s="2">
        <v>364</v>
      </c>
      <c r="AJ68" s="2">
        <v>365</v>
      </c>
      <c r="AK68" s="2"/>
      <c r="AL68" s="2"/>
      <c r="AM68" s="2"/>
      <c r="AN68" s="2"/>
      <c r="AO68" s="2"/>
      <c r="AP68" s="2"/>
      <c r="AQ68">
        <f t="shared" si="0"/>
        <v>56</v>
      </c>
      <c r="AR68">
        <f>IF(ISERROR(VLOOKUP(IF(O68=4,P68,IF(Q68=4,R68,0)),[4]D_任务!$A$2:$B$132,2,FALSE)),IF(O68=4,P68,IF(Q68=4,R68,0)),VLOOKUP(IF(O68=4,P68,IF(Q68=4,R68,0)),[4]D_任务!$A$2:$B$132,2,FALSE))</f>
        <v>0</v>
      </c>
      <c r="AS68" t="str">
        <f t="shared" si="30"/>
        <v>勇闯玄武堂</v>
      </c>
      <c r="AT68">
        <f>VLOOKUP(A68,CHOOSE({1,2},[5]怪物信息表!$C$5:$C$77,[5]怪物信息表!$B$5:$B$77),2,FALSE)</f>
        <v>58</v>
      </c>
    </row>
    <row r="69" spans="1:46" x14ac:dyDescent="0.15">
      <c r="A69" s="2">
        <v>7004</v>
      </c>
      <c r="B69" s="2">
        <v>1</v>
      </c>
      <c r="C69" s="2">
        <v>7</v>
      </c>
      <c r="D69" s="8" t="s">
        <v>371</v>
      </c>
      <c r="E69" s="11">
        <f>IFERROR(VLOOKUP(C69,[3]副本规划!$Y$20:$Z$27,2,0),E68)</f>
        <v>10</v>
      </c>
      <c r="F69" s="2">
        <f>IFERROR(ROUNDUP(VLOOKUP(T69,CHOOSE({1,2},[5]D_怪物表!$I$1:$I$1120,[5]D_怪物表!$AH$1:$AH$1120),2,FALSE),0),0)</f>
        <v>64565</v>
      </c>
      <c r="G69" s="2">
        <v>1</v>
      </c>
      <c r="H69" s="2">
        <v>1</v>
      </c>
      <c r="I69" s="2">
        <v>0</v>
      </c>
      <c r="J69" s="2">
        <v>0</v>
      </c>
      <c r="K69" s="2">
        <v>0</v>
      </c>
      <c r="L69" s="2"/>
      <c r="M69" s="2">
        <f t="shared" si="2"/>
        <v>2</v>
      </c>
      <c r="N69" s="2">
        <v>1</v>
      </c>
      <c r="O69" s="2">
        <v>3</v>
      </c>
      <c r="P69" s="2">
        <f t="shared" si="10"/>
        <v>7003</v>
      </c>
      <c r="Q69" s="2">
        <v>1</v>
      </c>
      <c r="R69" s="2">
        <f>IF(MOD(A69,10)=1,VLOOKUP(A69,CHOOSE({1,2},[5]怪物信息表!$C$5:$C$77,[5]怪物信息表!$B$5:$B$77),2,FALSE),R68)</f>
        <v>56</v>
      </c>
      <c r="S69" s="11">
        <f t="shared" si="3"/>
        <v>507004</v>
      </c>
      <c r="T69" s="11">
        <f t="shared" si="4"/>
        <v>174104</v>
      </c>
      <c r="U69" s="2">
        <v>3</v>
      </c>
      <c r="V69" s="14">
        <f t="shared" si="5"/>
        <v>174101</v>
      </c>
      <c r="W69" s="14">
        <f t="shared" si="6"/>
        <v>174102</v>
      </c>
      <c r="X69" s="14">
        <f t="shared" si="6"/>
        <v>174103</v>
      </c>
      <c r="Y69" s="2"/>
      <c r="Z69" s="2"/>
      <c r="AA69" s="2"/>
      <c r="AB69" s="2"/>
      <c r="AC69" s="2"/>
      <c r="AD69" s="2"/>
      <c r="AE69" s="2"/>
      <c r="AF69" s="2">
        <v>4</v>
      </c>
      <c r="AG69" s="2">
        <v>362</v>
      </c>
      <c r="AH69" s="2">
        <v>363</v>
      </c>
      <c r="AI69" s="2">
        <v>364</v>
      </c>
      <c r="AJ69" s="2">
        <v>365</v>
      </c>
      <c r="AK69" s="2"/>
      <c r="AL69" s="2"/>
      <c r="AM69" s="2"/>
      <c r="AN69" s="2"/>
      <c r="AO69" s="2"/>
      <c r="AP69" s="2"/>
      <c r="AQ69">
        <f t="shared" si="0"/>
        <v>56</v>
      </c>
      <c r="AR69">
        <f>IF(ISERROR(VLOOKUP(IF(O69=4,P69,IF(Q69=4,R69,0)),[4]D_任务!$A$2:$B$132,2,FALSE)),IF(O69=4,P69,IF(Q69=4,R69,0)),VLOOKUP(IF(O69=4,P69,IF(Q69=4,R69,0)),[4]D_任务!$A$2:$B$132,2,FALSE))</f>
        <v>0</v>
      </c>
      <c r="AS69" t="str">
        <f t="shared" si="30"/>
        <v>激战朱雀堂</v>
      </c>
      <c r="AT69">
        <f>VLOOKUP(A69,CHOOSE({1,2},[5]怪物信息表!$C$5:$C$77,[5]怪物信息表!$B$5:$B$77),2,FALSE)</f>
        <v>59</v>
      </c>
    </row>
    <row r="70" spans="1:46" x14ac:dyDescent="0.15">
      <c r="A70" s="2">
        <v>7005</v>
      </c>
      <c r="B70" s="2">
        <v>1</v>
      </c>
      <c r="C70" s="2">
        <v>7</v>
      </c>
      <c r="D70" s="8" t="s">
        <v>372</v>
      </c>
      <c r="E70" s="11">
        <f>IFERROR(VLOOKUP(C70,[3]副本规划!$Y$20:$Z$27,2,0),E69)</f>
        <v>10</v>
      </c>
      <c r="F70" s="2">
        <f>IFERROR(ROUNDUP(VLOOKUP(T70,CHOOSE({1,2},[5]D_怪物表!$I$1:$I$1120,[5]D_怪物表!$AH$1:$AH$1120),2,FALSE),0),0)</f>
        <v>69322</v>
      </c>
      <c r="G70" s="2">
        <v>1</v>
      </c>
      <c r="H70" s="2">
        <v>1</v>
      </c>
      <c r="I70" s="2">
        <v>0</v>
      </c>
      <c r="J70" s="2">
        <v>0</v>
      </c>
      <c r="K70" s="2">
        <v>0</v>
      </c>
      <c r="L70" s="2"/>
      <c r="M70" s="2">
        <f t="shared" si="2"/>
        <v>2</v>
      </c>
      <c r="N70" s="2">
        <v>1</v>
      </c>
      <c r="O70" s="2">
        <v>3</v>
      </c>
      <c r="P70" s="2">
        <f t="shared" si="10"/>
        <v>7004</v>
      </c>
      <c r="Q70" s="2">
        <v>1</v>
      </c>
      <c r="R70" s="2">
        <f>IF(MOD(A70,10)=1,VLOOKUP(A70,CHOOSE({1,2},[5]怪物信息表!$C$5:$C$77,[5]怪物信息表!$B$5:$B$77),2,FALSE),R69)</f>
        <v>56</v>
      </c>
      <c r="S70" s="11">
        <f t="shared" si="3"/>
        <v>507005</v>
      </c>
      <c r="T70" s="11">
        <f t="shared" si="4"/>
        <v>175104</v>
      </c>
      <c r="U70" s="2">
        <v>3</v>
      </c>
      <c r="V70" s="14">
        <f t="shared" si="5"/>
        <v>175101</v>
      </c>
      <c r="W70" s="14">
        <f t="shared" si="6"/>
        <v>175102</v>
      </c>
      <c r="X70" s="14">
        <f t="shared" si="6"/>
        <v>175103</v>
      </c>
      <c r="Y70" s="2"/>
      <c r="Z70" s="2"/>
      <c r="AA70" s="2"/>
      <c r="AB70" s="2"/>
      <c r="AC70" s="2"/>
      <c r="AD70" s="2"/>
      <c r="AE70" s="2"/>
      <c r="AF70" s="2">
        <v>4</v>
      </c>
      <c r="AG70" s="2">
        <v>270</v>
      </c>
      <c r="AH70" s="2">
        <v>271</v>
      </c>
      <c r="AI70" s="2">
        <v>272</v>
      </c>
      <c r="AJ70" s="2">
        <v>273</v>
      </c>
      <c r="AK70" s="2"/>
      <c r="AL70" s="2"/>
      <c r="AM70" s="2"/>
      <c r="AN70" s="2"/>
      <c r="AO70" s="2"/>
      <c r="AP70" s="2"/>
      <c r="AQ70">
        <f t="shared" si="0"/>
        <v>56</v>
      </c>
      <c r="AR70">
        <f>IF(ISERROR(VLOOKUP(IF(O70=4,P70,IF(Q70=4,R70,0)),[4]D_任务!$A$2:$B$132,2,FALSE)),IF(O70=4,P70,IF(Q70=4,R70,0)),VLOOKUP(IF(O70=4,P70,IF(Q70=4,R70,0)),[4]D_任务!$A$2:$B$132,2,FALSE))</f>
        <v>0</v>
      </c>
      <c r="AS70" t="str">
        <f t="shared" si="30"/>
        <v>恶战青龙堂</v>
      </c>
      <c r="AT70">
        <f>VLOOKUP(A70,CHOOSE({1,2},[5]怪物信息表!$C$5:$C$77,[5]怪物信息表!$B$5:$B$77),2,FALSE)</f>
        <v>60</v>
      </c>
    </row>
    <row r="71" spans="1:46" x14ac:dyDescent="0.15">
      <c r="A71" s="2">
        <v>7006</v>
      </c>
      <c r="B71" s="2">
        <v>1</v>
      </c>
      <c r="C71" s="2">
        <v>7</v>
      </c>
      <c r="D71" s="8" t="s">
        <v>457</v>
      </c>
      <c r="E71" s="11">
        <f>IFERROR(VLOOKUP(C71,[3]副本规划!$Y$20:$Z$27,2,0),E70)</f>
        <v>10</v>
      </c>
      <c r="F71" s="2">
        <f>IFERROR(ROUNDUP(VLOOKUP(T71,CHOOSE({1,2},[5]D_怪物表!$I$1:$I$1120,[5]D_怪物表!$AH$1:$AH$1120),2,FALSE),0),0)</f>
        <v>74368</v>
      </c>
      <c r="G71" s="2">
        <v>1</v>
      </c>
      <c r="H71" s="2">
        <v>1</v>
      </c>
      <c r="I71" s="2">
        <v>0</v>
      </c>
      <c r="J71" s="2">
        <v>0</v>
      </c>
      <c r="K71" s="2">
        <v>0</v>
      </c>
      <c r="L71" s="2"/>
      <c r="M71" s="2">
        <f t="shared" si="2"/>
        <v>2</v>
      </c>
      <c r="N71" s="2">
        <v>1</v>
      </c>
      <c r="O71" s="2">
        <v>3</v>
      </c>
      <c r="P71" s="2">
        <f t="shared" si="10"/>
        <v>7005</v>
      </c>
      <c r="Q71" s="2">
        <v>1</v>
      </c>
      <c r="R71" s="2">
        <f>IF(MOD(A71,10)=1,VLOOKUP(A71,CHOOSE({1,2},[5]怪物信息表!$C$5:$C$77,[5]怪物信息表!$B$5:$B$77),2,FALSE),R70)</f>
        <v>56</v>
      </c>
      <c r="S71" s="11">
        <f t="shared" si="3"/>
        <v>507006</v>
      </c>
      <c r="T71" s="11">
        <f t="shared" si="4"/>
        <v>176104</v>
      </c>
      <c r="U71" s="2">
        <v>3</v>
      </c>
      <c r="V71" s="14">
        <f t="shared" si="5"/>
        <v>176101</v>
      </c>
      <c r="W71" s="14">
        <f t="shared" si="6"/>
        <v>176102</v>
      </c>
      <c r="X71" s="14">
        <f t="shared" si="6"/>
        <v>176103</v>
      </c>
      <c r="Y71" s="2"/>
      <c r="Z71" s="2"/>
      <c r="AA71" s="2"/>
      <c r="AB71" s="2"/>
      <c r="AC71" s="2"/>
      <c r="AD71" s="2"/>
      <c r="AE71" s="2"/>
      <c r="AF71" s="2">
        <v>4</v>
      </c>
      <c r="AG71" s="2">
        <v>242</v>
      </c>
      <c r="AH71" s="2">
        <v>243</v>
      </c>
      <c r="AI71" s="2">
        <v>244</v>
      </c>
      <c r="AJ71" s="2">
        <v>245</v>
      </c>
      <c r="AK71" s="2"/>
      <c r="AL71" s="2"/>
      <c r="AM71" s="2"/>
      <c r="AN71" s="2"/>
      <c r="AO71" s="2"/>
      <c r="AP71" s="2"/>
      <c r="AQ71">
        <f t="shared" si="0"/>
        <v>56</v>
      </c>
      <c r="AR71">
        <f>IF(ISERROR(VLOOKUP(IF(O71=4,P71,IF(Q71=4,R71,0)),[4]D_任务!$A$2:$B$132,2,FALSE)),IF(O71=4,P71,IF(Q71=4,R71,0)),VLOOKUP(IF(O71=4,P71,IF(Q71=4,R71,0)),[4]D_任务!$A$2:$B$132,2,FALSE))</f>
        <v>0</v>
      </c>
      <c r="AS71" t="str">
        <f t="shared" si="30"/>
        <v>挑战佐维</v>
      </c>
      <c r="AT71">
        <f>VLOOKUP(A71,CHOOSE({1,2},[5]怪物信息表!$C$5:$C$77,[5]怪物信息表!$B$5:$B$77),2,FALSE)</f>
        <v>61</v>
      </c>
    </row>
    <row r="72" spans="1:46" x14ac:dyDescent="0.15">
      <c r="A72" s="2">
        <v>7007</v>
      </c>
      <c r="B72" s="2">
        <v>1</v>
      </c>
      <c r="C72" s="2">
        <v>7</v>
      </c>
      <c r="D72" s="8" t="s">
        <v>456</v>
      </c>
      <c r="E72" s="11">
        <f>IFERROR(VLOOKUP(C72,[3]副本规划!$Y$20:$Z$27,2,0),E71)</f>
        <v>10</v>
      </c>
      <c r="F72" s="2">
        <f>IFERROR(ROUNDUP(VLOOKUP(T72,CHOOSE({1,2},[5]D_怪物表!$I$1:$I$1120,[5]D_怪物表!$AH$1:$AH$1120),2,FALSE),0),0)</f>
        <v>79609</v>
      </c>
      <c r="G72" s="2">
        <v>1</v>
      </c>
      <c r="H72" s="2">
        <v>1</v>
      </c>
      <c r="I72" s="2">
        <v>0</v>
      </c>
      <c r="J72" s="2">
        <v>0</v>
      </c>
      <c r="K72" s="2">
        <v>0</v>
      </c>
      <c r="L72" s="2"/>
      <c r="M72" s="2">
        <f t="shared" ref="M72:M74" si="31">SUM(O72&gt;0,Q72&gt;0)</f>
        <v>2</v>
      </c>
      <c r="N72" s="2">
        <v>1</v>
      </c>
      <c r="O72" s="2">
        <v>3</v>
      </c>
      <c r="P72" s="2">
        <f t="shared" si="10"/>
        <v>7006</v>
      </c>
      <c r="Q72" s="2">
        <v>1</v>
      </c>
      <c r="R72" s="2">
        <f>IF(MOD(A72,10)=1,VLOOKUP(A72,CHOOSE({1,2},[5]怪物信息表!$C$5:$C$77,[5]怪物信息表!$B$5:$B$77),2,FALSE),R71)</f>
        <v>56</v>
      </c>
      <c r="S72" s="11">
        <f t="shared" ref="S72:S74" si="32">50*10000+A72</f>
        <v>507007</v>
      </c>
      <c r="T72" s="11">
        <f t="shared" si="4"/>
        <v>177104</v>
      </c>
      <c r="U72" s="2">
        <v>3</v>
      </c>
      <c r="V72" s="14">
        <f t="shared" si="5"/>
        <v>177101</v>
      </c>
      <c r="W72" s="14">
        <f t="shared" si="6"/>
        <v>177102</v>
      </c>
      <c r="X72" s="14">
        <f t="shared" si="6"/>
        <v>177103</v>
      </c>
      <c r="Y72" s="2"/>
      <c r="Z72" s="2"/>
      <c r="AA72" s="2"/>
      <c r="AB72" s="2"/>
      <c r="AC72" s="2"/>
      <c r="AD72" s="2"/>
      <c r="AE72" s="2"/>
      <c r="AF72" s="2">
        <v>4</v>
      </c>
      <c r="AG72" s="2">
        <v>424</v>
      </c>
      <c r="AH72" s="2">
        <v>425</v>
      </c>
      <c r="AI72" s="2">
        <v>426</v>
      </c>
      <c r="AJ72" s="2">
        <v>427</v>
      </c>
      <c r="AK72" s="2"/>
      <c r="AL72" s="2"/>
      <c r="AM72" s="2"/>
      <c r="AN72" s="2"/>
      <c r="AO72" s="2"/>
      <c r="AP72" s="2"/>
      <c r="AQ72">
        <f t="shared" ref="AQ72:AQ74" si="33">IF(O72=1,P72,IF(Q72=1,R72,0))</f>
        <v>56</v>
      </c>
      <c r="AR72">
        <f>IF(ISERROR(VLOOKUP(IF(O72=4,P72,IF(Q72=4,R72,0)),[4]D_任务!$A$2:$B$132,2,FALSE)),IF(O72=4,P72,IF(Q72=4,R72,0)),VLOOKUP(IF(O72=4,P72,IF(Q72=4,R72,0)),[4]D_任务!$A$2:$B$132,2,FALSE))</f>
        <v>0</v>
      </c>
      <c r="AS72" t="str">
        <f t="shared" si="30"/>
        <v>恶虎下山</v>
      </c>
      <c r="AT72">
        <f>VLOOKUP(A72,CHOOSE({1,2},[5]怪物信息表!$C$5:$C$77,[5]怪物信息表!$B$5:$B$77),2,FALSE)</f>
        <v>62</v>
      </c>
    </row>
    <row r="73" spans="1:46" x14ac:dyDescent="0.15">
      <c r="A73" s="2">
        <v>7008</v>
      </c>
      <c r="B73" s="2">
        <v>1</v>
      </c>
      <c r="C73" s="2">
        <v>7</v>
      </c>
      <c r="D73" s="8" t="s">
        <v>458</v>
      </c>
      <c r="E73" s="11">
        <f>IFERROR(VLOOKUP(C73,[3]副本规划!$Y$20:$Z$27,2,0),E72)</f>
        <v>10</v>
      </c>
      <c r="F73" s="2">
        <f>IFERROR(ROUNDUP(VLOOKUP(T73,CHOOSE({1,2},[5]D_怪物表!$I$1:$I$1120,[5]D_怪物表!$AH$1:$AH$1120),2,FALSE),0),0)</f>
        <v>85209</v>
      </c>
      <c r="G73" s="2">
        <v>1</v>
      </c>
      <c r="H73" s="2">
        <v>1</v>
      </c>
      <c r="I73" s="2">
        <v>0</v>
      </c>
      <c r="J73" s="2">
        <v>0</v>
      </c>
      <c r="K73" s="2">
        <v>0</v>
      </c>
      <c r="L73" s="2"/>
      <c r="M73" s="2">
        <f t="shared" si="31"/>
        <v>2</v>
      </c>
      <c r="N73" s="2">
        <v>1</v>
      </c>
      <c r="O73" s="2">
        <v>3</v>
      </c>
      <c r="P73" s="2">
        <f t="shared" si="10"/>
        <v>7007</v>
      </c>
      <c r="Q73" s="2">
        <v>1</v>
      </c>
      <c r="R73" s="2">
        <f>IF(MOD(A73,10)=1,VLOOKUP(A73,CHOOSE({1,2},[5]怪物信息表!$C$5:$C$77,[5]怪物信息表!$B$5:$B$77),2,FALSE),R72)</f>
        <v>56</v>
      </c>
      <c r="S73" s="11">
        <f t="shared" si="32"/>
        <v>507008</v>
      </c>
      <c r="T73" s="11">
        <f t="shared" si="4"/>
        <v>178104</v>
      </c>
      <c r="U73" s="2">
        <v>3</v>
      </c>
      <c r="V73" s="14">
        <f t="shared" si="5"/>
        <v>178101</v>
      </c>
      <c r="W73" s="14">
        <f t="shared" si="6"/>
        <v>178102</v>
      </c>
      <c r="X73" s="14">
        <f t="shared" si="6"/>
        <v>178103</v>
      </c>
      <c r="Y73" s="2"/>
      <c r="Z73" s="2"/>
      <c r="AA73" s="2"/>
      <c r="AB73" s="2"/>
      <c r="AC73" s="2"/>
      <c r="AD73" s="2"/>
      <c r="AE73" s="2"/>
      <c r="AF73" s="2">
        <v>4</v>
      </c>
      <c r="AG73" s="2">
        <v>406</v>
      </c>
      <c r="AH73" s="2">
        <v>407</v>
      </c>
      <c r="AI73" s="2">
        <v>408</v>
      </c>
      <c r="AJ73" s="2">
        <v>409</v>
      </c>
      <c r="AK73" s="2"/>
      <c r="AL73" s="2"/>
      <c r="AM73" s="2"/>
      <c r="AN73" s="2"/>
      <c r="AO73" s="2"/>
      <c r="AP73" s="2"/>
      <c r="AQ73">
        <f t="shared" si="33"/>
        <v>56</v>
      </c>
      <c r="AR73">
        <f>IF(ISERROR(VLOOKUP(IF(O73=4,P73,IF(Q73=4,R73,0)),[4]D_任务!$A$2:$B$132,2,FALSE)),IF(O73=4,P73,IF(Q73=4,R73,0)),VLOOKUP(IF(O73=4,P73,IF(Q73=4,R73,0)),[4]D_任务!$A$2:$B$132,2,FALSE))</f>
        <v>0</v>
      </c>
      <c r="AS73" t="str">
        <f t="shared" si="30"/>
        <v>狂龙出海</v>
      </c>
      <c r="AT73">
        <f>VLOOKUP(A73,CHOOSE({1,2},[5]怪物信息表!$C$5:$C$77,[5]怪物信息表!$B$5:$B$77),2,FALSE)</f>
        <v>63</v>
      </c>
    </row>
    <row r="74" spans="1:46" x14ac:dyDescent="0.15">
      <c r="A74" s="2">
        <v>7009</v>
      </c>
      <c r="B74" s="2">
        <v>1</v>
      </c>
      <c r="C74" s="2">
        <v>7</v>
      </c>
      <c r="D74" s="8" t="s">
        <v>373</v>
      </c>
      <c r="E74" s="11">
        <f>IFERROR(VLOOKUP(C74,[3]副本规划!$Y$20:$Z$27,2,0),E73)</f>
        <v>10</v>
      </c>
      <c r="F74" s="2">
        <f>IFERROR(ROUNDUP(VLOOKUP(T74,CHOOSE({1,2},[5]D_怪物表!$I$1:$I$1120,[5]D_怪物表!$AH$1:$AH$1120),2,FALSE),0),0)</f>
        <v>106174</v>
      </c>
      <c r="G74" s="2">
        <v>1</v>
      </c>
      <c r="H74" s="2">
        <v>1</v>
      </c>
      <c r="I74" s="2">
        <v>0</v>
      </c>
      <c r="J74" s="2">
        <v>0</v>
      </c>
      <c r="K74" s="2">
        <v>0</v>
      </c>
      <c r="L74" s="2"/>
      <c r="M74" s="2">
        <f t="shared" si="31"/>
        <v>2</v>
      </c>
      <c r="N74" s="2">
        <v>1</v>
      </c>
      <c r="O74" s="2">
        <v>3</v>
      </c>
      <c r="P74" s="2">
        <f t="shared" si="10"/>
        <v>7008</v>
      </c>
      <c r="Q74" s="2">
        <v>1</v>
      </c>
      <c r="R74" s="2">
        <f>IF(MOD(A74,10)=1,VLOOKUP(A74,CHOOSE({1,2},[5]怪物信息表!$C$5:$C$77,[5]怪物信息表!$B$5:$B$77),2,FALSE),R73)</f>
        <v>56</v>
      </c>
      <c r="S74" s="11">
        <f t="shared" si="32"/>
        <v>507009</v>
      </c>
      <c r="T74" s="11">
        <f t="shared" si="4"/>
        <v>179104</v>
      </c>
      <c r="U74" s="2">
        <v>3</v>
      </c>
      <c r="V74" s="14">
        <f t="shared" si="5"/>
        <v>179101</v>
      </c>
      <c r="W74" s="14">
        <f t="shared" si="6"/>
        <v>179102</v>
      </c>
      <c r="X74" s="14">
        <f t="shared" si="6"/>
        <v>179103</v>
      </c>
      <c r="Y74" s="2"/>
      <c r="Z74" s="2"/>
      <c r="AA74" s="2"/>
      <c r="AB74" s="2"/>
      <c r="AC74" s="2"/>
      <c r="AD74" s="2"/>
      <c r="AE74" s="2"/>
      <c r="AF74" s="2">
        <v>4</v>
      </c>
      <c r="AG74" s="2">
        <v>362</v>
      </c>
      <c r="AH74" s="2">
        <v>363</v>
      </c>
      <c r="AI74" s="2">
        <v>364</v>
      </c>
      <c r="AJ74" s="2">
        <v>365</v>
      </c>
      <c r="AK74" s="2"/>
      <c r="AL74" s="2"/>
      <c r="AM74" s="2"/>
      <c r="AN74" s="2"/>
      <c r="AO74" s="2"/>
      <c r="AP74" s="2"/>
      <c r="AQ74">
        <f t="shared" si="33"/>
        <v>56</v>
      </c>
      <c r="AR74">
        <f>IF(ISERROR(VLOOKUP(IF(O74=4,P74,IF(Q74=4,R74,0)),[4]D_任务!$A$2:$B$132,2,FALSE)),IF(O74=4,P74,IF(Q74=4,R74,0)),VLOOKUP(IF(O74=4,P74,IF(Q74=4,R74,0)),[4]D_任务!$A$2:$B$132,2,FALSE))</f>
        <v>0</v>
      </c>
      <c r="AS74" t="str">
        <f t="shared" si="30"/>
        <v>兵临城下</v>
      </c>
      <c r="AT74">
        <f>VLOOKUP(A74,CHOOSE({1,2},[5]怪物信息表!$C$5:$C$77,[5]怪物信息表!$B$5:$B$77),2,FALSE)</f>
        <v>64</v>
      </c>
    </row>
    <row r="75" spans="1:46" x14ac:dyDescent="0.15">
      <c r="A75" s="2">
        <v>8001</v>
      </c>
      <c r="B75" s="2">
        <v>1</v>
      </c>
      <c r="C75" s="2">
        <v>8</v>
      </c>
      <c r="D75" s="8" t="s">
        <v>374</v>
      </c>
      <c r="E75" s="11">
        <f>IFERROR(VLOOKUP(C75,[3]副本规划!$Y$20:$Z$27,2,0),E74)</f>
        <v>10</v>
      </c>
      <c r="F75" s="2">
        <f>IFERROR(ROUNDUP(VLOOKUP(T75,CHOOSE({1,2},[5]D_怪物表!$I$1:$I$1120,[5]D_怪物表!$AH$1:$AH$1120),2,FALSE),0),0)</f>
        <v>97187</v>
      </c>
      <c r="G75" s="2">
        <v>1</v>
      </c>
      <c r="H75" s="2">
        <v>1</v>
      </c>
      <c r="I75" s="2">
        <v>0</v>
      </c>
      <c r="J75" s="2">
        <v>0</v>
      </c>
      <c r="K75" s="2">
        <v>0</v>
      </c>
      <c r="L75" s="2"/>
      <c r="M75" s="2">
        <f t="shared" si="2"/>
        <v>2</v>
      </c>
      <c r="N75" s="2">
        <v>1</v>
      </c>
      <c r="O75" s="2">
        <v>3</v>
      </c>
      <c r="P75" s="2">
        <f t="shared" si="10"/>
        <v>7009</v>
      </c>
      <c r="Q75" s="2">
        <v>1</v>
      </c>
      <c r="R75" s="2">
        <f>IF(MOD(A75,10)=1,VLOOKUP(A75,CHOOSE({1,2},[5]怪物信息表!$C$5:$C$77,[5]怪物信息表!$B$5:$B$77),2,FALSE),R74)</f>
        <v>65</v>
      </c>
      <c r="S75" s="11">
        <f t="shared" si="3"/>
        <v>508001</v>
      </c>
      <c r="T75" s="11">
        <f t="shared" si="4"/>
        <v>181104</v>
      </c>
      <c r="U75" s="2">
        <v>3</v>
      </c>
      <c r="V75" s="14">
        <f t="shared" si="5"/>
        <v>181101</v>
      </c>
      <c r="W75" s="14">
        <f t="shared" si="6"/>
        <v>181102</v>
      </c>
      <c r="X75" s="14">
        <f t="shared" si="6"/>
        <v>181103</v>
      </c>
      <c r="Y75" s="2"/>
      <c r="Z75" s="2"/>
      <c r="AA75" s="2"/>
      <c r="AB75" s="2"/>
      <c r="AC75" s="2"/>
      <c r="AD75" s="2"/>
      <c r="AE75" s="2"/>
      <c r="AF75" s="2">
        <v>4</v>
      </c>
      <c r="AG75" s="2">
        <v>916</v>
      </c>
      <c r="AH75" s="2">
        <v>917</v>
      </c>
      <c r="AI75" s="2">
        <v>918</v>
      </c>
      <c r="AJ75" s="2">
        <v>919</v>
      </c>
      <c r="AK75" s="2"/>
      <c r="AL75" s="2"/>
      <c r="AM75" s="2"/>
      <c r="AN75" s="2"/>
      <c r="AO75" s="2"/>
      <c r="AP75" s="2"/>
      <c r="AQ75">
        <f t="shared" si="0"/>
        <v>65</v>
      </c>
      <c r="AR75">
        <f>IF(ISERROR(VLOOKUP(IF(O75=4,P75,IF(Q75=4,R75,0)),[4]D_任务!$A$2:$B$132,2,FALSE)),IF(O75=4,P75,IF(Q75=4,R75,0)),VLOOKUP(IF(O75=4,P75,IF(Q75=4,R75,0)),[4]D_任务!$A$2:$B$132,2,FALSE))</f>
        <v>0</v>
      </c>
      <c r="AS75" t="str">
        <f t="shared" si="30"/>
        <v>决战东京</v>
      </c>
      <c r="AT75">
        <f>VLOOKUP(A75,CHOOSE({1,2},[5]怪物信息表!$C$5:$C$77,[5]怪物信息表!$B$5:$B$77),2,FALSE)</f>
        <v>65</v>
      </c>
    </row>
    <row r="76" spans="1:46" x14ac:dyDescent="0.15">
      <c r="A76" s="2">
        <v>8002</v>
      </c>
      <c r="B76" s="2">
        <v>1</v>
      </c>
      <c r="C76" s="2">
        <v>8</v>
      </c>
      <c r="D76" s="8" t="s">
        <v>375</v>
      </c>
      <c r="E76" s="11">
        <f>IFERROR(VLOOKUP(C76,[3]副本规划!$Y$20:$Z$27,2,0),E75)</f>
        <v>10</v>
      </c>
      <c r="F76" s="2">
        <f>IFERROR(ROUNDUP(VLOOKUP(T76,CHOOSE({1,2},[5]D_怪物表!$I$1:$I$1120,[5]D_怪物表!$AH$1:$AH$1120),2,FALSE),0),0)</f>
        <v>103585</v>
      </c>
      <c r="G76" s="2">
        <v>1</v>
      </c>
      <c r="H76" s="2">
        <v>1</v>
      </c>
      <c r="I76" s="2">
        <v>0</v>
      </c>
      <c r="J76" s="2">
        <v>0</v>
      </c>
      <c r="K76" s="2">
        <v>0</v>
      </c>
      <c r="L76" s="2"/>
      <c r="M76" s="2">
        <f t="shared" si="2"/>
        <v>2</v>
      </c>
      <c r="N76" s="2">
        <v>1</v>
      </c>
      <c r="O76" s="2">
        <v>3</v>
      </c>
      <c r="P76" s="2">
        <f t="shared" si="10"/>
        <v>8001</v>
      </c>
      <c r="Q76" s="2">
        <v>1</v>
      </c>
      <c r="R76" s="2">
        <f>IF(MOD(A76,10)=1,VLOOKUP(A76,CHOOSE({1,2},[5]怪物信息表!$C$5:$C$77,[5]怪物信息表!$B$5:$B$77),2,FALSE),R75)</f>
        <v>65</v>
      </c>
      <c r="S76" s="11">
        <f t="shared" si="3"/>
        <v>508002</v>
      </c>
      <c r="T76" s="11">
        <f t="shared" ref="T76:T83" si="34">100104+MOD(A76,100)*1000+INT(A76/1000)*10000</f>
        <v>182104</v>
      </c>
      <c r="U76" s="2">
        <v>3</v>
      </c>
      <c r="V76" s="14">
        <f t="shared" ref="V76:V83" si="35">100101+MOD(A76,100)*1000+INT(A76/1000)*10000</f>
        <v>182101</v>
      </c>
      <c r="W76" s="14">
        <f t="shared" ref="W76:X83" si="36">V76+1</f>
        <v>182102</v>
      </c>
      <c r="X76" s="14">
        <f t="shared" si="36"/>
        <v>182103</v>
      </c>
      <c r="Y76" s="2"/>
      <c r="Z76" s="2"/>
      <c r="AA76" s="2"/>
      <c r="AB76" s="2"/>
      <c r="AC76" s="2"/>
      <c r="AD76" s="2"/>
      <c r="AE76" s="2"/>
      <c r="AF76" s="2">
        <v>4</v>
      </c>
      <c r="AG76" s="2">
        <v>509</v>
      </c>
      <c r="AH76" s="2">
        <v>510</v>
      </c>
      <c r="AI76" s="2">
        <v>511</v>
      </c>
      <c r="AJ76" s="2">
        <v>512</v>
      </c>
      <c r="AK76" s="2"/>
      <c r="AL76" s="2"/>
      <c r="AM76" s="2"/>
      <c r="AN76" s="2"/>
      <c r="AO76" s="2"/>
      <c r="AP76" s="2"/>
      <c r="AQ76">
        <f t="shared" si="0"/>
        <v>65</v>
      </c>
      <c r="AR76">
        <f>IF(ISERROR(VLOOKUP(IF(O76=4,P76,IF(Q76=4,R76,0)),[4]D_任务!$A$2:$B$132,2,FALSE)),IF(O76=4,P76,IF(Q76=4,R76,0)),VLOOKUP(IF(O76=4,P76,IF(Q76=4,R76,0)),[4]D_任务!$A$2:$B$132,2,FALSE))</f>
        <v>0</v>
      </c>
      <c r="AS76" t="str">
        <f t="shared" si="30"/>
        <v>再战靓坤</v>
      </c>
      <c r="AT76">
        <f>VLOOKUP(A76,CHOOSE({1,2},[5]怪物信息表!$C$5:$C$77,[5]怪物信息表!$B$5:$B$77),2,FALSE)</f>
        <v>66</v>
      </c>
    </row>
    <row r="77" spans="1:46" x14ac:dyDescent="0.15">
      <c r="A77" s="2">
        <v>8003</v>
      </c>
      <c r="B77" s="2">
        <v>1</v>
      </c>
      <c r="C77" s="2">
        <v>8</v>
      </c>
      <c r="D77" s="8" t="s">
        <v>459</v>
      </c>
      <c r="E77" s="11">
        <f>IFERROR(VLOOKUP(C77,[3]副本规划!$Y$20:$Z$27,2,0),E76)</f>
        <v>10</v>
      </c>
      <c r="F77" s="2">
        <f>IFERROR(ROUNDUP(VLOOKUP(T77,CHOOSE({1,2},[5]D_怪物表!$I$1:$I$1120,[5]D_怪物表!$AH$1:$AH$1120),2,FALSE),0),0)</f>
        <v>110027</v>
      </c>
      <c r="G77" s="2">
        <v>1</v>
      </c>
      <c r="H77" s="2">
        <v>1</v>
      </c>
      <c r="I77" s="2">
        <v>0</v>
      </c>
      <c r="J77" s="2">
        <v>0</v>
      </c>
      <c r="K77" s="2">
        <v>0</v>
      </c>
      <c r="L77" s="2"/>
      <c r="M77" s="2">
        <f t="shared" si="2"/>
        <v>2</v>
      </c>
      <c r="N77" s="2">
        <v>1</v>
      </c>
      <c r="O77" s="2">
        <v>3</v>
      </c>
      <c r="P77" s="2">
        <f t="shared" si="10"/>
        <v>8002</v>
      </c>
      <c r="Q77" s="2">
        <v>1</v>
      </c>
      <c r="R77" s="2">
        <f>IF(MOD(A77,10)=1,VLOOKUP(A77,CHOOSE({1,2},[5]怪物信息表!$C$5:$C$77,[5]怪物信息表!$B$5:$B$77),2,FALSE),R76)</f>
        <v>65</v>
      </c>
      <c r="S77" s="11">
        <f t="shared" si="3"/>
        <v>508003</v>
      </c>
      <c r="T77" s="11">
        <f t="shared" si="34"/>
        <v>183104</v>
      </c>
      <c r="U77" s="2">
        <v>3</v>
      </c>
      <c r="V77" s="14">
        <f t="shared" si="35"/>
        <v>183101</v>
      </c>
      <c r="W77" s="14">
        <f t="shared" si="36"/>
        <v>183102</v>
      </c>
      <c r="X77" s="14">
        <f t="shared" si="36"/>
        <v>183103</v>
      </c>
      <c r="Y77" s="2"/>
      <c r="Z77" s="2"/>
      <c r="AA77" s="2"/>
      <c r="AB77" s="2"/>
      <c r="AC77" s="2"/>
      <c r="AD77" s="2"/>
      <c r="AE77" s="2"/>
      <c r="AF77" s="2">
        <v>4</v>
      </c>
      <c r="AG77" s="2">
        <v>362</v>
      </c>
      <c r="AH77" s="2">
        <v>363</v>
      </c>
      <c r="AI77" s="2">
        <v>364</v>
      </c>
      <c r="AJ77" s="2">
        <v>365</v>
      </c>
      <c r="AK77" s="2"/>
      <c r="AL77" s="2"/>
      <c r="AM77" s="2"/>
      <c r="AN77" s="2"/>
      <c r="AO77" s="2"/>
      <c r="AP77" s="2"/>
      <c r="AQ77">
        <f t="shared" si="0"/>
        <v>65</v>
      </c>
      <c r="AR77">
        <f>IF(ISERROR(VLOOKUP(IF(O77=4,P77,IF(Q77=4,R77,0)),[4]D_任务!$A$2:$B$132,2,FALSE)),IF(O77=4,P77,IF(Q77=4,R77,0)),VLOOKUP(IF(O77=4,P77,IF(Q77=4,R77,0)),[4]D_任务!$A$2:$B$132,2,FALSE))</f>
        <v>0</v>
      </c>
      <c r="AS77" t="str">
        <f t="shared" si="30"/>
        <v>噩梦再临</v>
      </c>
      <c r="AT77">
        <f>VLOOKUP(A77,CHOOSE({1,2},[5]怪物信息表!$C$5:$C$77,[5]怪物信息表!$B$5:$B$77),2,FALSE)</f>
        <v>67</v>
      </c>
    </row>
    <row r="78" spans="1:46" x14ac:dyDescent="0.15">
      <c r="A78" s="2">
        <v>8004</v>
      </c>
      <c r="B78" s="2">
        <v>1</v>
      </c>
      <c r="C78" s="2">
        <v>8</v>
      </c>
      <c r="D78" s="8" t="s">
        <v>460</v>
      </c>
      <c r="E78" s="11">
        <f>IFERROR(VLOOKUP(C78,[3]副本规划!$Y$20:$Z$27,2,0),E77)</f>
        <v>10</v>
      </c>
      <c r="F78" s="2">
        <f>IFERROR(ROUNDUP(VLOOKUP(T78,CHOOSE({1,2},[5]D_怪物表!$I$1:$I$1120,[5]D_怪物表!$AH$1:$AH$1120),2,FALSE),0),0)</f>
        <v>116662</v>
      </c>
      <c r="G78" s="2">
        <v>1</v>
      </c>
      <c r="H78" s="2">
        <v>1</v>
      </c>
      <c r="I78" s="2">
        <v>0</v>
      </c>
      <c r="J78" s="2">
        <v>0</v>
      </c>
      <c r="K78" s="2">
        <v>0</v>
      </c>
      <c r="L78" s="2"/>
      <c r="M78" s="2">
        <f t="shared" si="2"/>
        <v>2</v>
      </c>
      <c r="N78" s="2">
        <v>1</v>
      </c>
      <c r="O78" s="2">
        <v>3</v>
      </c>
      <c r="P78" s="2">
        <f t="shared" si="10"/>
        <v>8003</v>
      </c>
      <c r="Q78" s="2">
        <v>1</v>
      </c>
      <c r="R78" s="2">
        <f>IF(MOD(A78,10)=1,VLOOKUP(A78,CHOOSE({1,2},[5]怪物信息表!$C$5:$C$77,[5]怪物信息表!$B$5:$B$77),2,FALSE),R77)</f>
        <v>65</v>
      </c>
      <c r="S78" s="11">
        <f t="shared" si="3"/>
        <v>508004</v>
      </c>
      <c r="T78" s="11">
        <f t="shared" si="34"/>
        <v>184104</v>
      </c>
      <c r="U78" s="2">
        <v>3</v>
      </c>
      <c r="V78" s="14">
        <f t="shared" si="35"/>
        <v>184101</v>
      </c>
      <c r="W78" s="14">
        <f t="shared" si="36"/>
        <v>184102</v>
      </c>
      <c r="X78" s="14">
        <f t="shared" si="36"/>
        <v>184103</v>
      </c>
      <c r="Y78" s="2"/>
      <c r="Z78" s="2"/>
      <c r="AA78" s="2"/>
      <c r="AB78" s="2"/>
      <c r="AC78" s="2"/>
      <c r="AD78" s="2"/>
      <c r="AE78" s="2"/>
      <c r="AF78" s="2">
        <v>4</v>
      </c>
      <c r="AG78" s="2">
        <v>194</v>
      </c>
      <c r="AH78" s="2">
        <v>195</v>
      </c>
      <c r="AI78" s="2">
        <v>196</v>
      </c>
      <c r="AJ78" s="2">
        <v>197</v>
      </c>
      <c r="AK78" s="2"/>
      <c r="AL78" s="2"/>
      <c r="AM78" s="2"/>
      <c r="AN78" s="2"/>
      <c r="AO78" s="2"/>
      <c r="AP78" s="2"/>
      <c r="AQ78">
        <f t="shared" si="0"/>
        <v>65</v>
      </c>
      <c r="AR78">
        <f>IF(ISERROR(VLOOKUP(IF(O78=4,P78,IF(Q78=4,R78,0)),[4]D_任务!$A$2:$B$132,2,FALSE)),IF(O78=4,P78,IF(Q78=4,R78,0)),VLOOKUP(IF(O78=4,P78,IF(Q78=4,R78,0)),[4]D_任务!$A$2:$B$132,2,FALSE))</f>
        <v>0</v>
      </c>
      <c r="AS78" t="str">
        <f t="shared" si="30"/>
        <v>死性不改</v>
      </c>
      <c r="AT78">
        <f>VLOOKUP(A78,CHOOSE({1,2},[5]怪物信息表!$C$5:$C$77,[5]怪物信息表!$B$5:$B$77),2,FALSE)</f>
        <v>68</v>
      </c>
    </row>
    <row r="79" spans="1:46" x14ac:dyDescent="0.15">
      <c r="A79" s="2">
        <v>8005</v>
      </c>
      <c r="B79" s="2">
        <v>1</v>
      </c>
      <c r="C79" s="2">
        <v>8</v>
      </c>
      <c r="D79" s="8" t="s">
        <v>461</v>
      </c>
      <c r="E79" s="11">
        <f>IFERROR(VLOOKUP(C79,[3]副本规划!$Y$20:$Z$27,2,0),E78)</f>
        <v>10</v>
      </c>
      <c r="F79" s="2">
        <f>IFERROR(ROUNDUP(VLOOKUP(T79,CHOOSE({1,2},[5]D_怪物表!$I$1:$I$1120,[5]D_怪物表!$AH$1:$AH$1120),2,FALSE),0),0)</f>
        <v>123614</v>
      </c>
      <c r="G79" s="2">
        <v>1</v>
      </c>
      <c r="H79" s="2">
        <v>1</v>
      </c>
      <c r="I79" s="2">
        <v>0</v>
      </c>
      <c r="J79" s="2">
        <v>0</v>
      </c>
      <c r="K79" s="2">
        <v>0</v>
      </c>
      <c r="L79" s="2"/>
      <c r="M79" s="2">
        <f t="shared" si="2"/>
        <v>2</v>
      </c>
      <c r="N79" s="2">
        <v>1</v>
      </c>
      <c r="O79" s="2">
        <v>3</v>
      </c>
      <c r="P79" s="2">
        <f t="shared" si="10"/>
        <v>8004</v>
      </c>
      <c r="Q79" s="2">
        <v>1</v>
      </c>
      <c r="R79" s="2">
        <f>IF(MOD(A79,10)=1,VLOOKUP(A79,CHOOSE({1,2},[5]怪物信息表!$C$5:$C$77,[5]怪物信息表!$B$5:$B$77),2,FALSE),R78)</f>
        <v>65</v>
      </c>
      <c r="S79" s="11">
        <f t="shared" si="3"/>
        <v>508005</v>
      </c>
      <c r="T79" s="11">
        <f t="shared" si="34"/>
        <v>185104</v>
      </c>
      <c r="U79" s="2">
        <v>3</v>
      </c>
      <c r="V79" s="14">
        <f t="shared" si="35"/>
        <v>185101</v>
      </c>
      <c r="W79" s="14">
        <f t="shared" si="36"/>
        <v>185102</v>
      </c>
      <c r="X79" s="14">
        <f t="shared" si="36"/>
        <v>185103</v>
      </c>
      <c r="Y79" s="2"/>
      <c r="Z79" s="2"/>
      <c r="AA79" s="2"/>
      <c r="AB79" s="2"/>
      <c r="AC79" s="2"/>
      <c r="AD79" s="2"/>
      <c r="AE79" s="2"/>
      <c r="AF79" s="2">
        <v>4</v>
      </c>
      <c r="AG79" s="2">
        <v>270</v>
      </c>
      <c r="AH79" s="2">
        <v>271</v>
      </c>
      <c r="AI79" s="2">
        <v>272</v>
      </c>
      <c r="AJ79" s="2">
        <v>273</v>
      </c>
      <c r="AK79" s="2"/>
      <c r="AL79" s="2"/>
      <c r="AM79" s="2"/>
      <c r="AN79" s="2"/>
      <c r="AO79" s="2"/>
      <c r="AP79" s="2"/>
      <c r="AQ79">
        <f t="shared" si="0"/>
        <v>65</v>
      </c>
      <c r="AR79">
        <f>IF(ISERROR(VLOOKUP(IF(O79=4,P79,IF(Q79=4,R79,0)),[4]D_任务!$A$2:$B$132,2,FALSE)),IF(O79=4,P79,IF(Q79=4,R79,0)),VLOOKUP(IF(O79=4,P79,IF(Q79=4,R79,0)),[4]D_任务!$A$2:$B$132,2,FALSE))</f>
        <v>0</v>
      </c>
      <c r="AS79" t="str">
        <f t="shared" si="30"/>
        <v>阴魂不散</v>
      </c>
      <c r="AT79">
        <f>VLOOKUP(A79,CHOOSE({1,2},[5]怪物信息表!$C$5:$C$77,[5]怪物信息表!$B$5:$B$77),2,FALSE)</f>
        <v>69</v>
      </c>
    </row>
    <row r="80" spans="1:46" x14ac:dyDescent="0.15">
      <c r="A80" s="2">
        <v>8006</v>
      </c>
      <c r="B80" s="2">
        <v>1</v>
      </c>
      <c r="C80" s="2">
        <v>8</v>
      </c>
      <c r="D80" s="8" t="s">
        <v>462</v>
      </c>
      <c r="E80" s="11">
        <f>IFERROR(VLOOKUP(C80,[3]副本规划!$Y$20:$Z$27,2,0),E79)</f>
        <v>10</v>
      </c>
      <c r="F80" s="2">
        <f>IFERROR(ROUNDUP(VLOOKUP(T80,CHOOSE({1,2},[5]D_怪物表!$I$1:$I$1120,[5]D_怪物表!$AH$1:$AH$1120),2,FALSE),0),0)</f>
        <v>131407</v>
      </c>
      <c r="G80" s="2">
        <v>1</v>
      </c>
      <c r="H80" s="2">
        <v>1</v>
      </c>
      <c r="I80" s="2">
        <v>0</v>
      </c>
      <c r="J80" s="2">
        <v>0</v>
      </c>
      <c r="K80" s="2">
        <v>0</v>
      </c>
      <c r="L80" s="2"/>
      <c r="M80" s="2">
        <f t="shared" si="2"/>
        <v>2</v>
      </c>
      <c r="N80" s="2">
        <v>1</v>
      </c>
      <c r="O80" s="2">
        <v>3</v>
      </c>
      <c r="P80" s="2">
        <f t="shared" si="10"/>
        <v>8005</v>
      </c>
      <c r="Q80" s="2">
        <v>1</v>
      </c>
      <c r="R80" s="2">
        <f>IF(MOD(A80,10)=1,VLOOKUP(A80,CHOOSE({1,2},[5]怪物信息表!$C$5:$C$77,[5]怪物信息表!$B$5:$B$77),2,FALSE),R79)</f>
        <v>65</v>
      </c>
      <c r="S80" s="11">
        <f t="shared" si="3"/>
        <v>508006</v>
      </c>
      <c r="T80" s="11">
        <f t="shared" si="34"/>
        <v>186104</v>
      </c>
      <c r="U80" s="2">
        <v>3</v>
      </c>
      <c r="V80" s="14">
        <f t="shared" si="35"/>
        <v>186101</v>
      </c>
      <c r="W80" s="14">
        <f t="shared" si="36"/>
        <v>186102</v>
      </c>
      <c r="X80" s="14">
        <f t="shared" si="36"/>
        <v>186103</v>
      </c>
      <c r="Y80" s="2"/>
      <c r="Z80" s="2"/>
      <c r="AA80" s="2"/>
      <c r="AB80" s="2"/>
      <c r="AC80" s="2"/>
      <c r="AD80" s="2"/>
      <c r="AE80" s="2"/>
      <c r="AF80" s="2">
        <v>4</v>
      </c>
      <c r="AG80" s="2">
        <v>242</v>
      </c>
      <c r="AH80" s="2">
        <v>243</v>
      </c>
      <c r="AI80" s="2">
        <v>244</v>
      </c>
      <c r="AJ80" s="2">
        <v>245</v>
      </c>
      <c r="AK80" s="2"/>
      <c r="AL80" s="2"/>
      <c r="AM80" s="2"/>
      <c r="AN80" s="2"/>
      <c r="AO80" s="2"/>
      <c r="AP80" s="2"/>
      <c r="AQ80">
        <f>IF(O80=1,P80,IF(Q80=1,R80,0))</f>
        <v>65</v>
      </c>
      <c r="AR80">
        <f>IF(ISERROR(VLOOKUP(IF(O80=4,P80,IF(Q80=4,R80,0)),[4]D_任务!$A$2:$B$132,2,FALSE)),IF(O80=4,P80,IF(Q80=4,R80,0)),VLOOKUP(IF(O80=4,P80,IF(Q80=4,R80,0)),[4]D_任务!$A$2:$B$132,2,FALSE))</f>
        <v>0</v>
      </c>
      <c r="AS80" t="str">
        <f t="shared" si="30"/>
        <v>意外强敌</v>
      </c>
      <c r="AT80">
        <f>VLOOKUP(A80,CHOOSE({1,2},[5]怪物信息表!$C$5:$C$77,[5]怪物信息表!$B$5:$B$77),2,FALSE)</f>
        <v>70</v>
      </c>
    </row>
    <row r="81" spans="1:46" x14ac:dyDescent="0.15">
      <c r="A81" s="2">
        <v>8007</v>
      </c>
      <c r="B81" s="2">
        <v>1</v>
      </c>
      <c r="C81" s="2">
        <v>8</v>
      </c>
      <c r="D81" s="8" t="s">
        <v>463</v>
      </c>
      <c r="E81" s="11">
        <f>IFERROR(VLOOKUP(C81,[3]副本规划!$Y$20:$Z$27,2,0),E80)</f>
        <v>10</v>
      </c>
      <c r="F81" s="2">
        <f>IFERROR(ROUNDUP(VLOOKUP(T81,CHOOSE({1,2},[5]D_怪物表!$I$1:$I$1120,[5]D_怪物表!$AH$1:$AH$1120),2,FALSE),0),0)</f>
        <v>139365</v>
      </c>
      <c r="G81" s="2">
        <v>1</v>
      </c>
      <c r="H81" s="2">
        <v>1</v>
      </c>
      <c r="I81" s="2">
        <v>0</v>
      </c>
      <c r="J81" s="2">
        <v>0</v>
      </c>
      <c r="K81" s="2">
        <v>0</v>
      </c>
      <c r="L81" s="2"/>
      <c r="M81" s="2">
        <f t="shared" ref="M81:M83" si="37">SUM(O81&gt;0,Q81&gt;0)</f>
        <v>2</v>
      </c>
      <c r="N81" s="2">
        <v>1</v>
      </c>
      <c r="O81" s="2">
        <v>3</v>
      </c>
      <c r="P81" s="2">
        <f t="shared" si="10"/>
        <v>8006</v>
      </c>
      <c r="Q81" s="2">
        <v>1</v>
      </c>
      <c r="R81" s="2">
        <f>IF(MOD(A81,10)=1,VLOOKUP(A81,CHOOSE({1,2},[5]怪物信息表!$C$5:$C$77,[5]怪物信息表!$B$5:$B$77),2,FALSE),R80)</f>
        <v>65</v>
      </c>
      <c r="S81" s="11">
        <f t="shared" ref="S81:S83" si="38">50*10000+A81</f>
        <v>508007</v>
      </c>
      <c r="T81" s="11">
        <f t="shared" si="34"/>
        <v>187104</v>
      </c>
      <c r="U81" s="2">
        <v>3</v>
      </c>
      <c r="V81" s="14">
        <f t="shared" si="35"/>
        <v>187101</v>
      </c>
      <c r="W81" s="14">
        <f t="shared" si="36"/>
        <v>187102</v>
      </c>
      <c r="X81" s="14">
        <f t="shared" si="36"/>
        <v>187103</v>
      </c>
      <c r="Y81" s="2"/>
      <c r="Z81" s="2"/>
      <c r="AA81" s="2"/>
      <c r="AB81" s="2"/>
      <c r="AC81" s="2"/>
      <c r="AD81" s="2"/>
      <c r="AE81" s="2"/>
      <c r="AF81" s="2">
        <v>4</v>
      </c>
      <c r="AG81" s="2">
        <v>916</v>
      </c>
      <c r="AH81" s="2">
        <v>917</v>
      </c>
      <c r="AI81" s="2">
        <v>918</v>
      </c>
      <c r="AJ81" s="2">
        <v>919</v>
      </c>
      <c r="AK81" s="2"/>
      <c r="AL81" s="2"/>
      <c r="AM81" s="2"/>
      <c r="AN81" s="2"/>
      <c r="AO81" s="2"/>
      <c r="AP81" s="2"/>
      <c r="AQ81">
        <f t="shared" ref="AQ81:AQ82" si="39">IF(O81=1,P81,IF(Q81=1,R81,0))</f>
        <v>65</v>
      </c>
      <c r="AR81">
        <f>IF(ISERROR(VLOOKUP(IF(O81=4,P81,IF(Q81=4,R81,0)),[4]D_任务!$A$2:$B$132,2,FALSE)),IF(O81=4,P81,IF(Q81=4,R81,0)),VLOOKUP(IF(O81=4,P81,IF(Q81=4,R81,0)),[4]D_任务!$A$2:$B$132,2,FALSE))</f>
        <v>0</v>
      </c>
      <c r="AS81" t="str">
        <f t="shared" si="30"/>
        <v>复仇之战</v>
      </c>
      <c r="AT81">
        <f>VLOOKUP(A81,CHOOSE({1,2},[5]怪物信息表!$C$5:$C$77,[5]怪物信息表!$B$5:$B$77),2,FALSE)</f>
        <v>71</v>
      </c>
    </row>
    <row r="82" spans="1:46" x14ac:dyDescent="0.15">
      <c r="A82" s="2">
        <v>8008</v>
      </c>
      <c r="B82" s="2">
        <v>1</v>
      </c>
      <c r="C82" s="2">
        <v>8</v>
      </c>
      <c r="D82" s="8" t="s">
        <v>377</v>
      </c>
      <c r="E82" s="11">
        <f>IFERROR(VLOOKUP(C82,[3]副本规划!$Y$20:$Z$27,2,0),E81)</f>
        <v>10</v>
      </c>
      <c r="F82" s="2">
        <f>IFERROR(ROUNDUP(VLOOKUP(T82,CHOOSE({1,2},[5]D_怪物表!$I$1:$I$1120,[5]D_怪物表!$AH$1:$AH$1120),2,FALSE),0),0)</f>
        <v>147775</v>
      </c>
      <c r="G82" s="2">
        <v>1</v>
      </c>
      <c r="H82" s="2">
        <v>1</v>
      </c>
      <c r="I82" s="2">
        <v>0</v>
      </c>
      <c r="J82" s="2">
        <v>0</v>
      </c>
      <c r="K82" s="2">
        <v>0</v>
      </c>
      <c r="L82" s="2"/>
      <c r="M82" s="2">
        <f t="shared" si="37"/>
        <v>2</v>
      </c>
      <c r="N82" s="2">
        <v>1</v>
      </c>
      <c r="O82" s="2">
        <v>3</v>
      </c>
      <c r="P82" s="2">
        <f t="shared" si="10"/>
        <v>8007</v>
      </c>
      <c r="Q82" s="2">
        <v>1</v>
      </c>
      <c r="R82" s="2">
        <f>IF(MOD(A82,10)=1,VLOOKUP(A82,CHOOSE({1,2},[5]怪物信息表!$C$5:$C$77,[5]怪物信息表!$B$5:$B$77),2,FALSE),R81)</f>
        <v>65</v>
      </c>
      <c r="S82" s="11">
        <f t="shared" si="38"/>
        <v>508008</v>
      </c>
      <c r="T82" s="11">
        <f t="shared" si="34"/>
        <v>188104</v>
      </c>
      <c r="U82" s="2">
        <v>3</v>
      </c>
      <c r="V82" s="14">
        <f t="shared" si="35"/>
        <v>188101</v>
      </c>
      <c r="W82" s="14">
        <f t="shared" si="36"/>
        <v>188102</v>
      </c>
      <c r="X82" s="14">
        <f t="shared" si="36"/>
        <v>188103</v>
      </c>
      <c r="Y82" s="2"/>
      <c r="Z82" s="2"/>
      <c r="AA82" s="2"/>
      <c r="AB82" s="2"/>
      <c r="AC82" s="2"/>
      <c r="AD82" s="2"/>
      <c r="AE82" s="2"/>
      <c r="AF82" s="2">
        <v>4</v>
      </c>
      <c r="AG82" s="2">
        <v>509</v>
      </c>
      <c r="AH82" s="2">
        <v>510</v>
      </c>
      <c r="AI82" s="2">
        <v>511</v>
      </c>
      <c r="AJ82" s="2">
        <v>512</v>
      </c>
      <c r="AK82" s="2"/>
      <c r="AL82" s="2"/>
      <c r="AM82" s="2"/>
      <c r="AN82" s="2"/>
      <c r="AO82" s="2"/>
      <c r="AP82" s="2"/>
      <c r="AQ82">
        <f t="shared" si="39"/>
        <v>65</v>
      </c>
      <c r="AR82">
        <f>IF(ISERROR(VLOOKUP(IF(O82=4,P82,IF(Q82=4,R82,0)),[4]D_任务!$A$2:$B$132,2,FALSE)),IF(O82=4,P82,IF(Q82=4,R82,0)),VLOOKUP(IF(O82=4,P82,IF(Q82=4,R82,0)),[4]D_任务!$A$2:$B$132,2,FALSE))</f>
        <v>0</v>
      </c>
      <c r="AS82" t="str">
        <f t="shared" si="30"/>
        <v>劲敌出现</v>
      </c>
      <c r="AT82">
        <f>VLOOKUP(A82,CHOOSE({1,2},[5]怪物信息表!$C$5:$C$77,[5]怪物信息表!$B$5:$B$77),2,FALSE)</f>
        <v>72</v>
      </c>
    </row>
    <row r="83" spans="1:46" x14ac:dyDescent="0.15">
      <c r="A83" s="2">
        <v>8009</v>
      </c>
      <c r="B83" s="2">
        <v>1</v>
      </c>
      <c r="C83" s="2">
        <v>8</v>
      </c>
      <c r="D83" s="8" t="s">
        <v>378</v>
      </c>
      <c r="E83" s="11">
        <f>IFERROR(VLOOKUP(C83,[3]副本规划!$Y$20:$Z$27,2,0),E82)</f>
        <v>10</v>
      </c>
      <c r="F83" s="2">
        <f>IFERROR(ROUNDUP(VLOOKUP(T83,CHOOSE({1,2},[5]D_怪物表!$I$1:$I$1120,[5]D_怪物表!$AH$1:$AH$1120),2,FALSE),0),0)</f>
        <v>183162</v>
      </c>
      <c r="G83" s="2">
        <v>1</v>
      </c>
      <c r="H83" s="2">
        <v>1</v>
      </c>
      <c r="I83" s="2">
        <v>0</v>
      </c>
      <c r="J83" s="2">
        <v>0</v>
      </c>
      <c r="K83" s="2">
        <v>0</v>
      </c>
      <c r="L83" s="2"/>
      <c r="M83" s="2">
        <f t="shared" si="37"/>
        <v>2</v>
      </c>
      <c r="N83" s="2">
        <v>1</v>
      </c>
      <c r="O83" s="2">
        <v>3</v>
      </c>
      <c r="P83" s="2">
        <f t="shared" si="10"/>
        <v>8008</v>
      </c>
      <c r="Q83" s="2">
        <v>1</v>
      </c>
      <c r="R83" s="2">
        <f>IF(MOD(A83,10)=1,VLOOKUP(A83,CHOOSE({1,2},[5]怪物信息表!$C$5:$C$77,[5]怪物信息表!$B$5:$B$77),2,FALSE),R82)</f>
        <v>65</v>
      </c>
      <c r="S83" s="11">
        <f t="shared" si="38"/>
        <v>508009</v>
      </c>
      <c r="T83" s="11">
        <f t="shared" si="34"/>
        <v>189104</v>
      </c>
      <c r="U83" s="2">
        <v>3</v>
      </c>
      <c r="V83" s="14">
        <f t="shared" si="35"/>
        <v>189101</v>
      </c>
      <c r="W83" s="14">
        <f t="shared" si="36"/>
        <v>189102</v>
      </c>
      <c r="X83" s="14">
        <f t="shared" si="36"/>
        <v>189103</v>
      </c>
      <c r="Y83" s="2"/>
      <c r="Z83" s="2"/>
      <c r="AA83" s="2"/>
      <c r="AB83" s="2"/>
      <c r="AC83" s="2"/>
      <c r="AD83" s="2"/>
      <c r="AE83" s="2"/>
      <c r="AF83" s="2">
        <v>4</v>
      </c>
      <c r="AG83" s="2">
        <v>362</v>
      </c>
      <c r="AH83" s="2">
        <v>363</v>
      </c>
      <c r="AI83" s="2">
        <v>364</v>
      </c>
      <c r="AJ83" s="2">
        <v>365</v>
      </c>
      <c r="AK83" s="2"/>
      <c r="AL83" s="2"/>
      <c r="AM83" s="2"/>
      <c r="AN83" s="2"/>
      <c r="AO83" s="2"/>
      <c r="AP83" s="2"/>
      <c r="AQ83">
        <f>IF(O83=1,P83,IF(Q83=1,R83,0))</f>
        <v>65</v>
      </c>
      <c r="AR83">
        <f>IF(ISERROR(VLOOKUP(IF(O83=4,P83,IF(Q83=4,R83,0)),[4]D_任务!$A$2:$B$132,2,FALSE)),IF(O83=4,P83,IF(Q83=4,R83,0)),VLOOKUP(IF(O83=4,P83,IF(Q83=4,R83,0)),[4]D_任务!$A$2:$B$132,2,FALSE))</f>
        <v>0</v>
      </c>
      <c r="AS83" t="str">
        <f t="shared" si="30"/>
        <v>约战山鸡</v>
      </c>
      <c r="AT83">
        <f>VLOOKUP(A83,CHOOSE({1,2},[5]怪物信息表!$C$5:$C$77,[5]怪物信息表!$B$5:$B$77),2,FALSE)</f>
        <v>73</v>
      </c>
    </row>
    <row r="84" spans="1:46" x14ac:dyDescent="0.15">
      <c r="A84" s="2">
        <v>1201</v>
      </c>
      <c r="B84" s="2">
        <v>2</v>
      </c>
      <c r="C84" s="2">
        <v>1</v>
      </c>
      <c r="D84" s="9" t="s">
        <v>549</v>
      </c>
      <c r="E84" s="11">
        <f>IFERROR(VLOOKUP(C84,[3]副本规划!$W$20:$X$27,2,0),E83)</f>
        <v>10</v>
      </c>
      <c r="F84" s="2">
        <f>IFERROR(ROUNDUP(VLOOKUP(T84,CHOOSE({1,2},[5]D_怪物表!$I$1:$I$1120,[5]D_怪物表!$AH$1:$AH$1120),2,FALSE),0),0)</f>
        <v>821</v>
      </c>
      <c r="G84" s="2">
        <v>1</v>
      </c>
      <c r="H84" s="2">
        <v>1</v>
      </c>
      <c r="I84" s="2">
        <v>6</v>
      </c>
      <c r="J84" s="2">
        <v>0</v>
      </c>
      <c r="K84" s="2">
        <v>0</v>
      </c>
      <c r="L84" s="2"/>
      <c r="M84" s="2">
        <f t="shared" si="2"/>
        <v>2</v>
      </c>
      <c r="N84" s="2">
        <v>1</v>
      </c>
      <c r="O84" s="2">
        <v>4</v>
      </c>
      <c r="P84" s="2">
        <v>1019</v>
      </c>
      <c r="Q84" s="2">
        <v>3</v>
      </c>
      <c r="R84" s="2">
        <f>A84-200</f>
        <v>1001</v>
      </c>
      <c r="S84" s="11">
        <f t="shared" si="3"/>
        <v>501201</v>
      </c>
      <c r="T84" s="11">
        <f>200004+MOD(A84,100)*1000+INT(A84/1000)*10000</f>
        <v>211004</v>
      </c>
      <c r="U84" s="2">
        <v>2</v>
      </c>
      <c r="V84" s="14">
        <f>200001+MOD(A84,100)*1000+INT(A84/1000)*10000</f>
        <v>211001</v>
      </c>
      <c r="W84" s="14">
        <f>V84+1</f>
        <v>211002</v>
      </c>
      <c r="X84" s="14"/>
      <c r="Y84" s="2"/>
      <c r="Z84" s="2"/>
      <c r="AA84" s="2"/>
      <c r="AB84" s="2"/>
      <c r="AC84" s="2"/>
      <c r="AD84" s="2"/>
      <c r="AE84" s="2"/>
      <c r="AF84" s="2">
        <v>3</v>
      </c>
      <c r="AG84" s="2">
        <v>634</v>
      </c>
      <c r="AH84" s="2">
        <v>640</v>
      </c>
      <c r="AI84" s="2">
        <v>645</v>
      </c>
      <c r="AJ84" s="2"/>
      <c r="AK84" s="2"/>
      <c r="AL84" s="2"/>
      <c r="AM84" s="2"/>
      <c r="AN84" s="2"/>
      <c r="AO84" s="2"/>
      <c r="AP84" s="2"/>
      <c r="AQ84">
        <f t="shared" si="0"/>
        <v>0</v>
      </c>
      <c r="AR84" t="str">
        <f>IF(ISERROR(VLOOKUP(IF(O84=4,P84,IF(Q84=4,R84,0)),[4]D_任务!$A$2:$B$132,2,FALSE)),IF(O84=4,P84,IF(Q84=4,R84,0)),VLOOKUP(IF(O84=4,P84,IF(Q84=4,R84,0)),[4]D_任务!$A$2:$B$132,2,FALSE))</f>
        <v>以武服人</v>
      </c>
      <c r="AS84" t="str">
        <f t="shared" si="30"/>
        <v>浴室砍巴闭</v>
      </c>
      <c r="AT84">
        <f>VLOOKUP(A84,CHOOSE({1,2},[5]怪物信息表!$K$5:$K$76,[5]怪物信息表!$J$5:$J$76),2,FALSE)</f>
        <v>13</v>
      </c>
    </row>
    <row r="85" spans="1:46" x14ac:dyDescent="0.15">
      <c r="A85" s="2">
        <v>1202</v>
      </c>
      <c r="B85" s="2">
        <v>2</v>
      </c>
      <c r="C85" s="2">
        <v>1</v>
      </c>
      <c r="D85" s="9" t="s">
        <v>550</v>
      </c>
      <c r="E85" s="11">
        <f>IFERROR(VLOOKUP(C85,[3]副本规划!$W$20:$X$27,2,0),E84)</f>
        <v>10</v>
      </c>
      <c r="F85" s="2">
        <f>IFERROR(ROUNDUP(VLOOKUP(T85,CHOOSE({1,2},[5]D_怪物表!$I$1:$I$1120,[5]D_怪物表!$AH$1:$AH$1120),2,FALSE),0),0)</f>
        <v>968</v>
      </c>
      <c r="G85" s="2">
        <v>1</v>
      </c>
      <c r="H85" s="2">
        <v>1</v>
      </c>
      <c r="I85" s="2">
        <v>6</v>
      </c>
      <c r="J85" s="2">
        <v>0</v>
      </c>
      <c r="K85" s="2">
        <v>0</v>
      </c>
      <c r="L85" s="2"/>
      <c r="M85" s="2">
        <f t="shared" si="2"/>
        <v>2</v>
      </c>
      <c r="N85" s="2">
        <v>1</v>
      </c>
      <c r="O85" s="2">
        <v>3</v>
      </c>
      <c r="P85" s="2">
        <f>A84</f>
        <v>1201</v>
      </c>
      <c r="Q85" s="2">
        <v>3</v>
      </c>
      <c r="R85" s="2">
        <f t="shared" ref="R85:R152" si="40">A85-200</f>
        <v>1002</v>
      </c>
      <c r="S85" s="11">
        <f t="shared" si="3"/>
        <v>501202</v>
      </c>
      <c r="T85" s="11">
        <f t="shared" ref="T85:T148" si="41">200004+MOD(A85,100)*1000+INT(A85/1000)*10000</f>
        <v>212004</v>
      </c>
      <c r="U85" s="2">
        <v>2</v>
      </c>
      <c r="V85" s="14">
        <f t="shared" ref="V85:V148" si="42">200001+MOD(A85,100)*1000+INT(A85/1000)*10000</f>
        <v>212001</v>
      </c>
      <c r="W85" s="14">
        <f t="shared" ref="W85:X148" si="43">V85+1</f>
        <v>212002</v>
      </c>
      <c r="X85" s="14"/>
      <c r="Y85" s="2"/>
      <c r="Z85" s="2"/>
      <c r="AA85" s="2"/>
      <c r="AB85" s="2"/>
      <c r="AC85" s="2"/>
      <c r="AD85" s="2"/>
      <c r="AE85" s="2"/>
      <c r="AF85" s="2">
        <v>3</v>
      </c>
      <c r="AG85" s="2">
        <v>272</v>
      </c>
      <c r="AH85" s="2">
        <v>278</v>
      </c>
      <c r="AI85" s="2">
        <v>284</v>
      </c>
      <c r="AJ85" s="2"/>
      <c r="AK85" s="2"/>
      <c r="AL85" s="2"/>
      <c r="AM85" s="2"/>
      <c r="AN85" s="2"/>
      <c r="AO85" s="2"/>
      <c r="AP85" s="2"/>
      <c r="AQ85">
        <f t="shared" si="0"/>
        <v>0</v>
      </c>
      <c r="AR85">
        <f>IF(ISERROR(VLOOKUP(IF(O85=4,P85,IF(Q85=4,R85,0)),[4]D_任务!$A$2:$B$132,2,FALSE)),IF(O85=4,P85,IF(Q85=4,R85,0)),VLOOKUP(IF(O85=4,P85,IF(Q85=4,R85,0)),[4]D_任务!$A$2:$B$132,2,FALSE))</f>
        <v>0</v>
      </c>
      <c r="AS85" t="str">
        <f t="shared" si="30"/>
        <v>精英巴闭</v>
      </c>
      <c r="AT85">
        <f>VLOOKUP(A85,CHOOSE({1,2},[5]怪物信息表!$K$5:$K$76,[5]怪物信息表!$J$5:$J$76),2,FALSE)</f>
        <v>14</v>
      </c>
    </row>
    <row r="86" spans="1:46" x14ac:dyDescent="0.15">
      <c r="A86" s="2">
        <v>1203</v>
      </c>
      <c r="B86" s="2">
        <v>2</v>
      </c>
      <c r="C86" s="2">
        <v>1</v>
      </c>
      <c r="D86" s="9" t="s">
        <v>551</v>
      </c>
      <c r="E86" s="11">
        <f>IFERROR(VLOOKUP(C86,[3]副本规划!$W$20:$X$27,2,0),E85)</f>
        <v>10</v>
      </c>
      <c r="F86" s="2">
        <f>IFERROR(ROUNDUP(VLOOKUP(T86,CHOOSE({1,2},[5]D_怪物表!$I$1:$I$1120,[5]D_怪物表!$AH$1:$AH$1120),2,FALSE),0),0)</f>
        <v>1149</v>
      </c>
      <c r="G86" s="2">
        <v>1</v>
      </c>
      <c r="H86" s="2">
        <v>1</v>
      </c>
      <c r="I86" s="2">
        <v>6</v>
      </c>
      <c r="J86" s="2">
        <v>0</v>
      </c>
      <c r="K86" s="2">
        <v>0</v>
      </c>
      <c r="L86" s="2"/>
      <c r="M86" s="2">
        <f t="shared" si="2"/>
        <v>2</v>
      </c>
      <c r="N86" s="2">
        <v>1</v>
      </c>
      <c r="O86" s="2">
        <v>3</v>
      </c>
      <c r="P86" s="2">
        <f t="shared" ref="P86:P98" si="44">A85</f>
        <v>1202</v>
      </c>
      <c r="Q86" s="2">
        <v>3</v>
      </c>
      <c r="R86" s="2">
        <f t="shared" si="40"/>
        <v>1003</v>
      </c>
      <c r="S86" s="11">
        <f t="shared" si="3"/>
        <v>501203</v>
      </c>
      <c r="T86" s="11">
        <f t="shared" si="41"/>
        <v>213004</v>
      </c>
      <c r="U86" s="2">
        <v>2</v>
      </c>
      <c r="V86" s="14">
        <f t="shared" si="42"/>
        <v>213001</v>
      </c>
      <c r="W86" s="14">
        <f t="shared" si="43"/>
        <v>213002</v>
      </c>
      <c r="X86" s="14"/>
      <c r="Y86" s="2"/>
      <c r="Z86" s="2"/>
      <c r="AA86" s="2"/>
      <c r="AB86" s="2"/>
      <c r="AC86" s="2"/>
      <c r="AD86" s="2"/>
      <c r="AE86" s="2"/>
      <c r="AF86" s="2">
        <v>3</v>
      </c>
      <c r="AG86" s="2">
        <v>103</v>
      </c>
      <c r="AH86" s="2">
        <v>109</v>
      </c>
      <c r="AI86" s="2">
        <v>115</v>
      </c>
      <c r="AJ86" s="2"/>
      <c r="AK86" s="2"/>
      <c r="AL86" s="2"/>
      <c r="AM86" s="2"/>
      <c r="AN86" s="2"/>
      <c r="AO86" s="2"/>
      <c r="AP86" s="2"/>
      <c r="AQ86">
        <f t="shared" si="0"/>
        <v>0</v>
      </c>
      <c r="AR86">
        <f>IF(ISERROR(VLOOKUP(IF(O86=4,P86,IF(Q86=4,R86,0)),[4]D_任务!$A$2:$B$132,2,FALSE)),IF(O86=4,P86,IF(Q86=4,R86,0)),VLOOKUP(IF(O86=4,P86,IF(Q86=4,R86,0)),[4]D_任务!$A$2:$B$132,2,FALSE))</f>
        <v>0</v>
      </c>
      <c r="AS86" t="str">
        <f t="shared" si="30"/>
        <v>精英大傻保镖</v>
      </c>
      <c r="AT86">
        <f>VLOOKUP(A86,CHOOSE({1,2},[5]怪物信息表!$K$5:$K$76,[5]怪物信息表!$J$5:$J$76),2,FALSE)</f>
        <v>15</v>
      </c>
    </row>
    <row r="87" spans="1:46" x14ac:dyDescent="0.15">
      <c r="A87" s="2">
        <v>1204</v>
      </c>
      <c r="B87" s="2">
        <v>2</v>
      </c>
      <c r="C87" s="2">
        <v>1</v>
      </c>
      <c r="D87" s="9" t="s">
        <v>647</v>
      </c>
      <c r="E87" s="11">
        <f>IFERROR(VLOOKUP(C87,[3]副本规划!$W$20:$X$27,2,0),E86)</f>
        <v>10</v>
      </c>
      <c r="F87" s="2">
        <f>IFERROR(ROUNDUP(VLOOKUP(T87,CHOOSE({1,2},[5]D_怪物表!$I$1:$I$1120,[5]D_怪物表!$AH$1:$AH$1120),2,FALSE),0),0)</f>
        <v>1324</v>
      </c>
      <c r="G87" s="2">
        <v>1</v>
      </c>
      <c r="H87" s="2">
        <v>1</v>
      </c>
      <c r="I87" s="2">
        <v>6</v>
      </c>
      <c r="J87" s="2">
        <v>0</v>
      </c>
      <c r="K87" s="2">
        <v>0</v>
      </c>
      <c r="L87" s="2"/>
      <c r="M87" s="2">
        <f t="shared" si="2"/>
        <v>2</v>
      </c>
      <c r="N87" s="2">
        <v>1</v>
      </c>
      <c r="O87" s="2">
        <v>3</v>
      </c>
      <c r="P87" s="2">
        <f t="shared" si="44"/>
        <v>1203</v>
      </c>
      <c r="Q87" s="2">
        <v>3</v>
      </c>
      <c r="R87" s="2">
        <f t="shared" si="40"/>
        <v>1004</v>
      </c>
      <c r="S87" s="11">
        <f t="shared" si="3"/>
        <v>501204</v>
      </c>
      <c r="T87" s="11">
        <f t="shared" si="41"/>
        <v>214004</v>
      </c>
      <c r="U87" s="2">
        <v>2</v>
      </c>
      <c r="V87" s="14">
        <f t="shared" si="42"/>
        <v>214001</v>
      </c>
      <c r="W87" s="14">
        <f t="shared" si="43"/>
        <v>214002</v>
      </c>
      <c r="X87" s="14"/>
      <c r="Y87" s="2"/>
      <c r="Z87" s="2"/>
      <c r="AA87" s="2"/>
      <c r="AB87" s="2"/>
      <c r="AC87" s="2"/>
      <c r="AD87" s="2"/>
      <c r="AE87" s="2"/>
      <c r="AF87" s="2">
        <v>4</v>
      </c>
      <c r="AG87" s="2">
        <v>330</v>
      </c>
      <c r="AH87" s="2">
        <v>331</v>
      </c>
      <c r="AI87" s="2">
        <v>332</v>
      </c>
      <c r="AJ87" s="2">
        <v>394</v>
      </c>
      <c r="AK87" s="2"/>
      <c r="AL87" s="2"/>
      <c r="AM87" s="2"/>
      <c r="AN87" s="2"/>
      <c r="AO87" s="2"/>
      <c r="AP87" s="2"/>
      <c r="AQ87">
        <f t="shared" si="0"/>
        <v>0</v>
      </c>
      <c r="AR87">
        <f>IF(ISERROR(VLOOKUP(IF(O87=4,P87,IF(Q87=4,R87,0)),[4]D_任务!$A$2:$B$132,2,FALSE)),IF(O87=4,P87,IF(Q87=4,R87,0)),VLOOKUP(IF(O87=4,P87,IF(Q87=4,R87,0)),[4]D_任务!$A$2:$B$132,2,FALSE))</f>
        <v>0</v>
      </c>
      <c r="AS87" t="str">
        <f t="shared" si="30"/>
        <v>精英偷车贼</v>
      </c>
      <c r="AT87">
        <f>VLOOKUP(A87,CHOOSE({1,2},[5]怪物信息表!$K$5:$K$76,[5]怪物信息表!$J$5:$J$76),2,FALSE)</f>
        <v>16</v>
      </c>
    </row>
    <row r="88" spans="1:46" x14ac:dyDescent="0.15">
      <c r="A88" s="2">
        <v>1205</v>
      </c>
      <c r="B88" s="2">
        <v>2</v>
      </c>
      <c r="C88" s="2">
        <v>1</v>
      </c>
      <c r="D88" s="9" t="s">
        <v>648</v>
      </c>
      <c r="E88" s="11">
        <f>IFERROR(VLOOKUP(C88,[3]副本规划!$W$20:$X$27,2,0),E87)</f>
        <v>10</v>
      </c>
      <c r="F88" s="2">
        <f>IFERROR(ROUNDUP(VLOOKUP(T88,CHOOSE({1,2},[5]D_怪物表!$I$1:$I$1120,[5]D_怪物表!$AH$1:$AH$1120),2,FALSE),0),0)</f>
        <v>1525</v>
      </c>
      <c r="G88" s="2">
        <v>1</v>
      </c>
      <c r="H88" s="2">
        <v>1</v>
      </c>
      <c r="I88" s="2">
        <v>6</v>
      </c>
      <c r="J88" s="2">
        <v>0</v>
      </c>
      <c r="K88" s="2">
        <v>0</v>
      </c>
      <c r="L88" s="2"/>
      <c r="M88" s="2">
        <f t="shared" si="2"/>
        <v>2</v>
      </c>
      <c r="N88" s="2">
        <v>1</v>
      </c>
      <c r="O88" s="2">
        <v>3</v>
      </c>
      <c r="P88" s="2">
        <f t="shared" si="44"/>
        <v>1204</v>
      </c>
      <c r="Q88" s="2">
        <v>3</v>
      </c>
      <c r="R88" s="2">
        <f t="shared" si="40"/>
        <v>1005</v>
      </c>
      <c r="S88" s="11">
        <f t="shared" si="3"/>
        <v>501205</v>
      </c>
      <c r="T88" s="11">
        <f t="shared" si="41"/>
        <v>215004</v>
      </c>
      <c r="U88" s="2">
        <v>2</v>
      </c>
      <c r="V88" s="14">
        <f t="shared" si="42"/>
        <v>215001</v>
      </c>
      <c r="W88" s="14">
        <f t="shared" si="43"/>
        <v>215002</v>
      </c>
      <c r="X88" s="14"/>
      <c r="Y88" s="2"/>
      <c r="Z88" s="2"/>
      <c r="AA88" s="2"/>
      <c r="AB88" s="2"/>
      <c r="AC88" s="2"/>
      <c r="AD88" s="2"/>
      <c r="AE88" s="2"/>
      <c r="AF88" s="2">
        <v>3</v>
      </c>
      <c r="AG88" s="2">
        <v>29</v>
      </c>
      <c r="AH88" s="2">
        <v>36</v>
      </c>
      <c r="AI88" s="2">
        <v>42</v>
      </c>
      <c r="AJ88" s="2"/>
      <c r="AK88" s="2"/>
      <c r="AL88" s="2"/>
      <c r="AM88" s="2"/>
      <c r="AN88" s="2"/>
      <c r="AO88" s="2"/>
      <c r="AP88" s="2"/>
      <c r="AQ88">
        <f t="shared" si="0"/>
        <v>0</v>
      </c>
      <c r="AR88">
        <f>IF(ISERROR(VLOOKUP(IF(O88=4,P88,IF(Q88=4,R88,0)),[4]D_任务!$A$2:$B$132,2,FALSE)),IF(O88=4,P88,IF(Q88=4,R88,0)),VLOOKUP(IF(O88=4,P88,IF(Q88=4,R88,0)),[4]D_任务!$A$2:$B$132,2,FALSE))</f>
        <v>0</v>
      </c>
      <c r="AS88" t="str">
        <f t="shared" si="30"/>
        <v>精英丧彪手下</v>
      </c>
      <c r="AT88">
        <f>VLOOKUP(A88,CHOOSE({1,2},[5]怪物信息表!$K$5:$K$76,[5]怪物信息表!$J$5:$J$76),2,FALSE)</f>
        <v>17</v>
      </c>
    </row>
    <row r="89" spans="1:46" x14ac:dyDescent="0.15">
      <c r="A89" s="2">
        <v>1206</v>
      </c>
      <c r="B89" s="2">
        <v>2</v>
      </c>
      <c r="C89" s="2">
        <v>1</v>
      </c>
      <c r="D89" s="9" t="s">
        <v>649</v>
      </c>
      <c r="E89" s="11">
        <f>IFERROR(VLOOKUP(C89,[3]副本规划!$W$20:$X$27,2,0),E88)</f>
        <v>10</v>
      </c>
      <c r="F89" s="2">
        <f>IFERROR(ROUNDUP(VLOOKUP(T89,CHOOSE({1,2},[5]D_怪物表!$I$1:$I$1120,[5]D_怪物表!$AH$1:$AH$1120),2,FALSE),0),0)</f>
        <v>1754</v>
      </c>
      <c r="G89" s="2">
        <v>1</v>
      </c>
      <c r="H89" s="2">
        <v>1</v>
      </c>
      <c r="I89" s="2">
        <v>6</v>
      </c>
      <c r="J89" s="2">
        <v>0</v>
      </c>
      <c r="K89" s="2">
        <v>0</v>
      </c>
      <c r="L89" s="2"/>
      <c r="M89" s="2">
        <f t="shared" si="2"/>
        <v>2</v>
      </c>
      <c r="N89" s="2">
        <v>1</v>
      </c>
      <c r="O89" s="2">
        <v>3</v>
      </c>
      <c r="P89" s="2">
        <f t="shared" si="44"/>
        <v>1205</v>
      </c>
      <c r="Q89" s="2">
        <v>3</v>
      </c>
      <c r="R89" s="2">
        <f t="shared" si="40"/>
        <v>1006</v>
      </c>
      <c r="S89" s="11">
        <f t="shared" si="3"/>
        <v>501206</v>
      </c>
      <c r="T89" s="11">
        <f t="shared" si="41"/>
        <v>216004</v>
      </c>
      <c r="U89" s="2">
        <v>2</v>
      </c>
      <c r="V89" s="14">
        <f t="shared" si="42"/>
        <v>216001</v>
      </c>
      <c r="W89" s="14">
        <f t="shared" si="43"/>
        <v>216002</v>
      </c>
      <c r="X89" s="14"/>
      <c r="Y89" s="2"/>
      <c r="Z89" s="2"/>
      <c r="AA89" s="2"/>
      <c r="AB89" s="2"/>
      <c r="AC89" s="2"/>
      <c r="AD89" s="2"/>
      <c r="AE89" s="2"/>
      <c r="AF89" s="2">
        <v>3</v>
      </c>
      <c r="AG89" s="2">
        <v>31</v>
      </c>
      <c r="AH89" s="2">
        <v>37</v>
      </c>
      <c r="AI89" s="2">
        <v>43</v>
      </c>
      <c r="AJ89" s="2"/>
      <c r="AK89" s="2"/>
      <c r="AL89" s="2"/>
      <c r="AM89" s="2"/>
      <c r="AN89" s="2"/>
      <c r="AO89" s="2"/>
      <c r="AP89" s="2"/>
      <c r="AQ89">
        <f t="shared" si="0"/>
        <v>0</v>
      </c>
      <c r="AR89">
        <f>IF(ISERROR(VLOOKUP(IF(O89=4,P89,IF(Q89=4,R89,0)),[4]D_任务!$A$2:$B$132,2,FALSE)),IF(O89=4,P89,IF(Q89=4,R89,0)),VLOOKUP(IF(O89=4,P89,IF(Q89=4,R89,0)),[4]D_任务!$A$2:$B$132,2,FALSE))</f>
        <v>0</v>
      </c>
      <c r="AS89" t="str">
        <f t="shared" si="30"/>
        <v>精英丧彪</v>
      </c>
      <c r="AT89">
        <f>VLOOKUP(A89,CHOOSE({1,2},[5]怪物信息表!$K$5:$K$76,[5]怪物信息表!$J$5:$J$76),2,FALSE)</f>
        <v>18</v>
      </c>
    </row>
    <row r="90" spans="1:46" x14ac:dyDescent="0.15">
      <c r="A90" s="2">
        <v>1207</v>
      </c>
      <c r="B90" s="2">
        <v>2</v>
      </c>
      <c r="C90" s="2">
        <v>1</v>
      </c>
      <c r="D90" s="9" t="s">
        <v>650</v>
      </c>
      <c r="E90" s="11">
        <f>IFERROR(VLOOKUP(C90,[3]副本规划!$W$20:$X$27,2,0),E89)</f>
        <v>10</v>
      </c>
      <c r="F90" s="2">
        <f>IFERROR(ROUNDUP(VLOOKUP(T90,CHOOSE({1,2},[5]D_怪物表!$I$1:$I$1120,[5]D_怪物表!$AH$1:$AH$1120),2,FALSE),0),0)</f>
        <v>1983</v>
      </c>
      <c r="G90" s="2">
        <v>1</v>
      </c>
      <c r="H90" s="2">
        <v>1</v>
      </c>
      <c r="I90" s="2">
        <v>6</v>
      </c>
      <c r="J90" s="2">
        <v>0</v>
      </c>
      <c r="K90" s="2">
        <v>0</v>
      </c>
      <c r="L90" s="2"/>
      <c r="M90" s="2">
        <f t="shared" ref="M90:M92" si="45">SUM(O90&gt;0,Q90&gt;0)</f>
        <v>2</v>
      </c>
      <c r="N90" s="2">
        <v>1</v>
      </c>
      <c r="O90" s="2">
        <v>3</v>
      </c>
      <c r="P90" s="2">
        <f t="shared" ref="P90:P92" si="46">A89</f>
        <v>1206</v>
      </c>
      <c r="Q90" s="2">
        <v>3</v>
      </c>
      <c r="R90" s="2">
        <f t="shared" ref="R90:R92" si="47">A90-200</f>
        <v>1007</v>
      </c>
      <c r="S90" s="11">
        <f t="shared" ref="S90:S92" si="48">50*10000+A90</f>
        <v>501207</v>
      </c>
      <c r="T90" s="11">
        <f t="shared" si="41"/>
        <v>217004</v>
      </c>
      <c r="U90" s="2">
        <v>2</v>
      </c>
      <c r="V90" s="14">
        <f t="shared" si="42"/>
        <v>217001</v>
      </c>
      <c r="W90" s="14">
        <f t="shared" si="43"/>
        <v>217002</v>
      </c>
      <c r="X90" s="14"/>
      <c r="Y90" s="2"/>
      <c r="Z90" s="2"/>
      <c r="AA90" s="2"/>
      <c r="AB90" s="2"/>
      <c r="AC90" s="2"/>
      <c r="AD90" s="2"/>
      <c r="AE90" s="2"/>
      <c r="AF90" s="2">
        <v>4</v>
      </c>
      <c r="AG90" s="2">
        <v>330</v>
      </c>
      <c r="AH90" s="2">
        <v>331</v>
      </c>
      <c r="AI90" s="2">
        <v>332</v>
      </c>
      <c r="AJ90" s="2">
        <v>394</v>
      </c>
      <c r="AK90" s="2"/>
      <c r="AL90" s="2"/>
      <c r="AM90" s="2"/>
      <c r="AN90" s="2"/>
      <c r="AO90" s="2"/>
      <c r="AP90" s="2"/>
      <c r="AQ90">
        <f t="shared" ref="AQ90:AQ92" si="49">IF(O90=1,P90,IF(Q90=1,R90,0))</f>
        <v>0</v>
      </c>
      <c r="AR90">
        <f>IF(ISERROR(VLOOKUP(IF(O90=4,P90,IF(Q90=4,R90,0)),[4]D_任务!$A$2:$B$132,2,FALSE)),IF(O90=4,P90,IF(Q90=4,R90,0)),VLOOKUP(IF(O90=4,P90,IF(Q90=4,R90,0)),[4]D_任务!$A$2:$B$132,2,FALSE))</f>
        <v>0</v>
      </c>
      <c r="AS90" t="str">
        <f t="shared" si="30"/>
        <v>精英拦截者</v>
      </c>
      <c r="AT90">
        <f>VLOOKUP(A90,CHOOSE({1,2},[5]怪物信息表!$K$5:$K$76,[5]怪物信息表!$J$5:$J$76),2,FALSE)</f>
        <v>19</v>
      </c>
    </row>
    <row r="91" spans="1:46" x14ac:dyDescent="0.15">
      <c r="A91" s="2">
        <v>1208</v>
      </c>
      <c r="B91" s="2">
        <v>2</v>
      </c>
      <c r="C91" s="2">
        <v>1</v>
      </c>
      <c r="D91" s="9" t="s">
        <v>651</v>
      </c>
      <c r="E91" s="11">
        <f>IFERROR(VLOOKUP(C91,[3]副本规划!$W$20:$X$27,2,0),E90)</f>
        <v>10</v>
      </c>
      <c r="F91" s="2">
        <f>IFERROR(ROUNDUP(VLOOKUP(T91,CHOOSE({1,2},[5]D_怪物表!$I$1:$I$1120,[5]D_怪物表!$AH$1:$AH$1120),2,FALSE),0),0)</f>
        <v>2254</v>
      </c>
      <c r="G91" s="2">
        <v>1</v>
      </c>
      <c r="H91" s="2">
        <v>1</v>
      </c>
      <c r="I91" s="2">
        <v>6</v>
      </c>
      <c r="J91" s="2">
        <v>0</v>
      </c>
      <c r="K91" s="2">
        <v>0</v>
      </c>
      <c r="L91" s="2"/>
      <c r="M91" s="2">
        <f t="shared" si="45"/>
        <v>2</v>
      </c>
      <c r="N91" s="2">
        <v>1</v>
      </c>
      <c r="O91" s="2">
        <v>3</v>
      </c>
      <c r="P91" s="2">
        <f t="shared" si="44"/>
        <v>1207</v>
      </c>
      <c r="Q91" s="2">
        <v>3</v>
      </c>
      <c r="R91" s="2">
        <f t="shared" si="47"/>
        <v>1008</v>
      </c>
      <c r="S91" s="11">
        <f t="shared" si="48"/>
        <v>501208</v>
      </c>
      <c r="T91" s="11">
        <f t="shared" si="41"/>
        <v>218004</v>
      </c>
      <c r="U91" s="2">
        <v>2</v>
      </c>
      <c r="V91" s="14">
        <f t="shared" si="42"/>
        <v>218001</v>
      </c>
      <c r="W91" s="14">
        <f t="shared" si="43"/>
        <v>218002</v>
      </c>
      <c r="X91" s="14"/>
      <c r="Y91" s="2"/>
      <c r="Z91" s="2"/>
      <c r="AA91" s="2"/>
      <c r="AB91" s="2"/>
      <c r="AC91" s="2"/>
      <c r="AD91" s="2"/>
      <c r="AE91" s="2"/>
      <c r="AF91" s="2">
        <v>3</v>
      </c>
      <c r="AG91" s="2">
        <v>29</v>
      </c>
      <c r="AH91" s="2">
        <v>36</v>
      </c>
      <c r="AI91" s="2">
        <v>42</v>
      </c>
      <c r="AJ91" s="2"/>
      <c r="AK91" s="2"/>
      <c r="AL91" s="2"/>
      <c r="AM91" s="2"/>
      <c r="AN91" s="2"/>
      <c r="AO91" s="2"/>
      <c r="AP91" s="2"/>
      <c r="AQ91">
        <f t="shared" si="49"/>
        <v>0</v>
      </c>
      <c r="AR91">
        <f>IF(ISERROR(VLOOKUP(IF(O91=4,P91,IF(Q91=4,R91,0)),[4]D_任务!$A$2:$B$132,2,FALSE)),IF(O91=4,P91,IF(Q91=4,R91,0)),VLOOKUP(IF(O91=4,P91,IF(Q91=4,R91,0)),[4]D_任务!$A$2:$B$132,2,FALSE))</f>
        <v>0</v>
      </c>
      <c r="AS91" t="str">
        <f t="shared" si="30"/>
        <v>精英靓坤手下</v>
      </c>
      <c r="AT91">
        <f>VLOOKUP(A91,CHOOSE({1,2},[5]怪物信息表!$K$5:$K$76,[5]怪物信息表!$J$5:$J$76),2,FALSE)</f>
        <v>20</v>
      </c>
    </row>
    <row r="92" spans="1:46" x14ac:dyDescent="0.15">
      <c r="A92" s="2">
        <v>1209</v>
      </c>
      <c r="B92" s="2">
        <v>2</v>
      </c>
      <c r="C92" s="2">
        <v>1</v>
      </c>
      <c r="D92" s="9" t="s">
        <v>95</v>
      </c>
      <c r="E92" s="11">
        <f>IFERROR(VLOOKUP(C92,[3]副本规划!$W$20:$X$27,2,0),E91)</f>
        <v>10</v>
      </c>
      <c r="F92" s="2">
        <f>IFERROR(ROUNDUP(VLOOKUP(T92,CHOOSE({1,2},[5]D_怪物表!$I$1:$I$1120,[5]D_怪物表!$AH$1:$AH$1120),2,FALSE),0),0)</f>
        <v>2545</v>
      </c>
      <c r="G92" s="2">
        <v>1</v>
      </c>
      <c r="H92" s="2">
        <v>1</v>
      </c>
      <c r="I92" s="2">
        <v>6</v>
      </c>
      <c r="J92" s="2">
        <v>0</v>
      </c>
      <c r="K92" s="2">
        <v>0</v>
      </c>
      <c r="L92" s="2"/>
      <c r="M92" s="2">
        <f t="shared" si="45"/>
        <v>2</v>
      </c>
      <c r="N92" s="2">
        <v>1</v>
      </c>
      <c r="O92" s="2">
        <v>3</v>
      </c>
      <c r="P92" s="2">
        <f t="shared" si="46"/>
        <v>1208</v>
      </c>
      <c r="Q92" s="2">
        <v>3</v>
      </c>
      <c r="R92" s="2">
        <f t="shared" si="47"/>
        <v>1009</v>
      </c>
      <c r="S92" s="11">
        <f t="shared" si="48"/>
        <v>501209</v>
      </c>
      <c r="T92" s="11">
        <f t="shared" si="41"/>
        <v>219004</v>
      </c>
      <c r="U92" s="2">
        <v>2</v>
      </c>
      <c r="V92" s="14">
        <f t="shared" si="42"/>
        <v>219001</v>
      </c>
      <c r="W92" s="14">
        <f t="shared" si="43"/>
        <v>219002</v>
      </c>
      <c r="X92" s="14"/>
      <c r="Y92" s="2"/>
      <c r="Z92" s="2"/>
      <c r="AA92" s="2"/>
      <c r="AB92" s="2"/>
      <c r="AC92" s="2"/>
      <c r="AD92" s="2"/>
      <c r="AE92" s="2"/>
      <c r="AF92" s="2">
        <v>3</v>
      </c>
      <c r="AG92" s="2">
        <v>31</v>
      </c>
      <c r="AH92" s="2">
        <v>37</v>
      </c>
      <c r="AI92" s="2">
        <v>43</v>
      </c>
      <c r="AJ92" s="2"/>
      <c r="AK92" s="2"/>
      <c r="AL92" s="2"/>
      <c r="AM92" s="2"/>
      <c r="AN92" s="2"/>
      <c r="AO92" s="2"/>
      <c r="AP92" s="2"/>
      <c r="AQ92">
        <f t="shared" si="49"/>
        <v>0</v>
      </c>
      <c r="AR92">
        <f>IF(ISERROR(VLOOKUP(IF(O92=4,P92,IF(Q92=4,R92,0)),[4]D_任务!$A$2:$B$132,2,FALSE)),IF(O92=4,P92,IF(Q92=4,R92,0)),VLOOKUP(IF(O92=4,P92,IF(Q92=4,R92,0)),[4]D_任务!$A$2:$B$132,2,FALSE))</f>
        <v>0</v>
      </c>
      <c r="AS92" t="str">
        <f t="shared" si="30"/>
        <v>精英阿强</v>
      </c>
      <c r="AT92">
        <f>VLOOKUP(A92,CHOOSE({1,2},[5]怪物信息表!$K$5:$K$76,[5]怪物信息表!$J$5:$J$76),2,FALSE)</f>
        <v>21</v>
      </c>
    </row>
    <row r="93" spans="1:46" x14ac:dyDescent="0.15">
      <c r="A93" s="2">
        <v>2201</v>
      </c>
      <c r="B93" s="2">
        <v>2</v>
      </c>
      <c r="C93" s="2">
        <v>2</v>
      </c>
      <c r="D93" s="9" t="s">
        <v>552</v>
      </c>
      <c r="E93" s="11">
        <f>IFERROR(VLOOKUP(C93,[3]副本规划!$W$20:$X$27,2,0),E89)</f>
        <v>10</v>
      </c>
      <c r="F93" s="2">
        <f>IFERROR(ROUNDUP(VLOOKUP(T93,CHOOSE({1,2},[5]D_怪物表!$I$1:$I$1120,[5]D_怪物表!$AH$1:$AH$1120),2,FALSE),0),0)</f>
        <v>2527</v>
      </c>
      <c r="G93" s="2">
        <v>1</v>
      </c>
      <c r="H93" s="2">
        <v>1</v>
      </c>
      <c r="I93" s="2">
        <v>6</v>
      </c>
      <c r="J93" s="2">
        <v>0</v>
      </c>
      <c r="K93" s="2">
        <v>0</v>
      </c>
      <c r="L93" s="2"/>
      <c r="M93" s="2">
        <f t="shared" si="2"/>
        <v>2</v>
      </c>
      <c r="N93" s="2">
        <v>1</v>
      </c>
      <c r="O93" s="2">
        <v>3</v>
      </c>
      <c r="P93" s="2">
        <f t="shared" si="44"/>
        <v>1209</v>
      </c>
      <c r="Q93" s="2">
        <v>3</v>
      </c>
      <c r="R93" s="2">
        <f t="shared" si="40"/>
        <v>2001</v>
      </c>
      <c r="S93" s="11">
        <f t="shared" si="3"/>
        <v>502201</v>
      </c>
      <c r="T93" s="11">
        <f t="shared" si="41"/>
        <v>221004</v>
      </c>
      <c r="U93" s="2">
        <v>2</v>
      </c>
      <c r="V93" s="14">
        <f t="shared" si="42"/>
        <v>221001</v>
      </c>
      <c r="W93" s="14">
        <f t="shared" si="43"/>
        <v>221002</v>
      </c>
      <c r="X93" s="14"/>
      <c r="Y93" s="2"/>
      <c r="Z93" s="2"/>
      <c r="AA93" s="2"/>
      <c r="AB93" s="2"/>
      <c r="AC93" s="2"/>
      <c r="AD93" s="2"/>
      <c r="AE93" s="2"/>
      <c r="AF93" s="2">
        <v>3</v>
      </c>
      <c r="AG93" s="2">
        <v>91</v>
      </c>
      <c r="AH93" s="2">
        <v>98</v>
      </c>
      <c r="AI93" s="2">
        <v>105</v>
      </c>
      <c r="AJ93" s="2"/>
      <c r="AK93" s="2"/>
      <c r="AL93" s="2"/>
      <c r="AM93" s="2"/>
      <c r="AN93" s="2"/>
      <c r="AO93" s="2"/>
      <c r="AP93" s="2"/>
      <c r="AQ93">
        <f t="shared" si="0"/>
        <v>0</v>
      </c>
      <c r="AR93">
        <f>IF(ISERROR(VLOOKUP(IF(O93=4,P93,IF(Q93=4,R93,0)),[4]D_任务!$A$2:$B$132,2,FALSE)),IF(O93=4,P93,IF(Q93=4,R93,0)),VLOOKUP(IF(O93=4,P93,IF(Q93=4,R93,0)),[4]D_任务!$A$2:$B$132,2,FALSE))</f>
        <v>0</v>
      </c>
      <c r="AS93" t="str">
        <f t="shared" si="30"/>
        <v>精英靓坤</v>
      </c>
      <c r="AT93">
        <f>VLOOKUP(A93,CHOOSE({1,2},[5]怪物信息表!$K$5:$K$76,[5]怪物信息表!$J$5:$J$76),2,FALSE)</f>
        <v>22</v>
      </c>
    </row>
    <row r="94" spans="1:46" x14ac:dyDescent="0.15">
      <c r="A94" s="2">
        <v>2202</v>
      </c>
      <c r="B94" s="2">
        <v>2</v>
      </c>
      <c r="C94" s="2">
        <v>2</v>
      </c>
      <c r="D94" s="9" t="s">
        <v>553</v>
      </c>
      <c r="E94" s="11">
        <f>IFERROR(VLOOKUP(C94,[3]副本规划!$W$20:$X$27,2,0),E93)</f>
        <v>10</v>
      </c>
      <c r="F94" s="2">
        <f>IFERROR(ROUNDUP(VLOOKUP(T94,CHOOSE({1,2},[5]D_怪物表!$I$1:$I$1120,[5]D_怪物表!$AH$1:$AH$1120),2,FALSE),0),0)</f>
        <v>2860</v>
      </c>
      <c r="G94" s="2">
        <v>1</v>
      </c>
      <c r="H94" s="2">
        <v>1</v>
      </c>
      <c r="I94" s="2">
        <v>6</v>
      </c>
      <c r="J94" s="2">
        <v>0</v>
      </c>
      <c r="K94" s="2">
        <v>0</v>
      </c>
      <c r="L94" s="2"/>
      <c r="M94" s="2">
        <f t="shared" si="2"/>
        <v>2</v>
      </c>
      <c r="N94" s="2">
        <v>1</v>
      </c>
      <c r="O94" s="2">
        <v>3</v>
      </c>
      <c r="P94" s="2">
        <f t="shared" si="44"/>
        <v>2201</v>
      </c>
      <c r="Q94" s="2">
        <v>3</v>
      </c>
      <c r="R94" s="2">
        <f t="shared" si="40"/>
        <v>2002</v>
      </c>
      <c r="S94" s="11">
        <f t="shared" si="3"/>
        <v>502202</v>
      </c>
      <c r="T94" s="11">
        <f t="shared" si="41"/>
        <v>222004</v>
      </c>
      <c r="U94" s="2">
        <v>2</v>
      </c>
      <c r="V94" s="14">
        <f t="shared" si="42"/>
        <v>222001</v>
      </c>
      <c r="W94" s="14">
        <f t="shared" si="43"/>
        <v>222002</v>
      </c>
      <c r="X94" s="14"/>
      <c r="Y94" s="2"/>
      <c r="Z94" s="2"/>
      <c r="AA94" s="2"/>
      <c r="AB94" s="2"/>
      <c r="AC94" s="2"/>
      <c r="AD94" s="2"/>
      <c r="AE94" s="2"/>
      <c r="AF94" s="2">
        <v>3</v>
      </c>
      <c r="AG94" s="2">
        <v>78</v>
      </c>
      <c r="AH94" s="2">
        <v>79</v>
      </c>
      <c r="AI94" s="2">
        <v>80</v>
      </c>
      <c r="AJ94" s="2"/>
      <c r="AK94" s="2"/>
      <c r="AL94" s="2"/>
      <c r="AM94" s="2"/>
      <c r="AN94" s="2"/>
      <c r="AO94" s="2"/>
      <c r="AP94" s="2"/>
      <c r="AQ94">
        <f t="shared" ref="AQ94:AQ167" si="50">IF(O94=1,P94,IF(Q94=1,R94,0))</f>
        <v>0</v>
      </c>
      <c r="AR94">
        <f>IF(ISERROR(VLOOKUP(IF(O94=4,P94,IF(Q94=4,R94,0)),[4]D_任务!$A$2:$B$132,2,FALSE)),IF(O94=4,P94,IF(Q94=4,R94,0)),VLOOKUP(IF(O94=4,P94,IF(Q94=4,R94,0)),[4]D_任务!$A$2:$B$132,2,FALSE))</f>
        <v>0</v>
      </c>
      <c r="AS94" t="str">
        <f t="shared" si="30"/>
        <v>精英议员保镖</v>
      </c>
      <c r="AT94">
        <f>VLOOKUP(A94,CHOOSE({1,2},[5]怪物信息表!$K$5:$K$76,[5]怪物信息表!$J$5:$J$76),2,FALSE)</f>
        <v>23</v>
      </c>
    </row>
    <row r="95" spans="1:46" x14ac:dyDescent="0.15">
      <c r="A95" s="2">
        <v>2203</v>
      </c>
      <c r="B95" s="2">
        <v>2</v>
      </c>
      <c r="C95" s="2">
        <v>2</v>
      </c>
      <c r="D95" s="9" t="s">
        <v>554</v>
      </c>
      <c r="E95" s="11">
        <f>IFERROR(VLOOKUP(C95,[3]副本规划!$W$20:$X$27,2,0),E94)</f>
        <v>10</v>
      </c>
      <c r="F95" s="2">
        <f>IFERROR(ROUNDUP(VLOOKUP(T95,CHOOSE({1,2},[5]D_怪物表!$I$1:$I$1120,[5]D_怪物表!$AH$1:$AH$1120),2,FALSE),0),0)</f>
        <v>3238</v>
      </c>
      <c r="G95" s="2">
        <v>1</v>
      </c>
      <c r="H95" s="2">
        <v>1</v>
      </c>
      <c r="I95" s="2">
        <v>6</v>
      </c>
      <c r="J95" s="2">
        <v>0</v>
      </c>
      <c r="K95" s="2">
        <v>0</v>
      </c>
      <c r="L95" s="2"/>
      <c r="M95" s="2">
        <f t="shared" si="2"/>
        <v>2</v>
      </c>
      <c r="N95" s="2">
        <v>1</v>
      </c>
      <c r="O95" s="2">
        <v>3</v>
      </c>
      <c r="P95" s="2">
        <f t="shared" si="44"/>
        <v>2202</v>
      </c>
      <c r="Q95" s="2">
        <v>3</v>
      </c>
      <c r="R95" s="2">
        <f t="shared" si="40"/>
        <v>2003</v>
      </c>
      <c r="S95" s="11">
        <f t="shared" si="3"/>
        <v>502203</v>
      </c>
      <c r="T95" s="11">
        <f t="shared" si="41"/>
        <v>223004</v>
      </c>
      <c r="U95" s="2">
        <v>2</v>
      </c>
      <c r="V95" s="14">
        <f t="shared" si="42"/>
        <v>223001</v>
      </c>
      <c r="W95" s="14">
        <f t="shared" si="43"/>
        <v>223002</v>
      </c>
      <c r="X95" s="14"/>
      <c r="Y95" s="2"/>
      <c r="Z95" s="2"/>
      <c r="AA95" s="2"/>
      <c r="AB95" s="2"/>
      <c r="AC95" s="2"/>
      <c r="AD95" s="2"/>
      <c r="AE95" s="2"/>
      <c r="AF95" s="2">
        <v>3</v>
      </c>
      <c r="AG95" s="2">
        <v>81</v>
      </c>
      <c r="AH95" s="2">
        <v>89</v>
      </c>
      <c r="AI95" s="2">
        <v>96</v>
      </c>
      <c r="AJ95" s="2"/>
      <c r="AK95" s="2"/>
      <c r="AL95" s="2"/>
      <c r="AM95" s="2"/>
      <c r="AN95" s="2"/>
      <c r="AO95" s="2"/>
      <c r="AP95" s="2"/>
      <c r="AQ95">
        <f t="shared" si="50"/>
        <v>0</v>
      </c>
      <c r="AR95">
        <f>IF(ISERROR(VLOOKUP(IF(O95=4,P95,IF(Q95=4,R95,0)),[4]D_任务!$A$2:$B$132,2,FALSE)),IF(O95=4,P95,IF(Q95=4,R95,0)),VLOOKUP(IF(O95=4,P95,IF(Q95=4,R95,0)),[4]D_任务!$A$2:$B$132,2,FALSE))</f>
        <v>0</v>
      </c>
      <c r="AS95" t="str">
        <f t="shared" si="30"/>
        <v>精英张议员</v>
      </c>
      <c r="AT95">
        <f>VLOOKUP(A95,CHOOSE({1,2},[5]怪物信息表!$K$5:$K$76,[5]怪物信息表!$J$5:$J$76),2,FALSE)</f>
        <v>24</v>
      </c>
    </row>
    <row r="96" spans="1:46" x14ac:dyDescent="0.15">
      <c r="A96" s="2">
        <v>2204</v>
      </c>
      <c r="B96" s="2">
        <v>2</v>
      </c>
      <c r="C96" s="2">
        <v>2</v>
      </c>
      <c r="D96" s="9" t="s">
        <v>555</v>
      </c>
      <c r="E96" s="11">
        <f>IFERROR(VLOOKUP(C96,[3]副本规划!$W$20:$X$27,2,0),E95)</f>
        <v>10</v>
      </c>
      <c r="F96" s="2">
        <f>IFERROR(ROUNDUP(VLOOKUP(T96,CHOOSE({1,2},[5]D_怪物表!$I$1:$I$1120,[5]D_怪物表!$AH$1:$AH$1120),2,FALSE),0),0)</f>
        <v>3614</v>
      </c>
      <c r="G96" s="2">
        <v>1</v>
      </c>
      <c r="H96" s="2">
        <v>1</v>
      </c>
      <c r="I96" s="2">
        <v>6</v>
      </c>
      <c r="J96" s="2">
        <v>0</v>
      </c>
      <c r="K96" s="2">
        <v>0</v>
      </c>
      <c r="L96" s="2"/>
      <c r="M96" s="2">
        <f t="shared" ref="M96:M168" si="51">SUM(O96&gt;0,Q96&gt;0)</f>
        <v>2</v>
      </c>
      <c r="N96" s="2">
        <v>1</v>
      </c>
      <c r="O96" s="2">
        <v>3</v>
      </c>
      <c r="P96" s="2">
        <f t="shared" si="44"/>
        <v>2203</v>
      </c>
      <c r="Q96" s="2">
        <v>3</v>
      </c>
      <c r="R96" s="2">
        <f t="shared" si="40"/>
        <v>2004</v>
      </c>
      <c r="S96" s="11">
        <f t="shared" si="3"/>
        <v>502204</v>
      </c>
      <c r="T96" s="11">
        <f t="shared" si="41"/>
        <v>224004</v>
      </c>
      <c r="U96" s="2">
        <v>2</v>
      </c>
      <c r="V96" s="14">
        <f t="shared" si="42"/>
        <v>224001</v>
      </c>
      <c r="W96" s="14">
        <f t="shared" si="43"/>
        <v>224002</v>
      </c>
      <c r="X96" s="14"/>
      <c r="Y96" s="2"/>
      <c r="Z96" s="2"/>
      <c r="AA96" s="2"/>
      <c r="AB96" s="2"/>
      <c r="AC96" s="2"/>
      <c r="AD96" s="2"/>
      <c r="AE96" s="2"/>
      <c r="AF96" s="2">
        <v>3</v>
      </c>
      <c r="AG96" s="2">
        <v>65</v>
      </c>
      <c r="AH96" s="2">
        <v>66</v>
      </c>
      <c r="AI96" s="2">
        <v>67</v>
      </c>
      <c r="AJ96" s="2"/>
      <c r="AK96" s="2"/>
      <c r="AL96" s="2"/>
      <c r="AM96" s="2"/>
      <c r="AN96" s="2"/>
      <c r="AO96" s="2"/>
      <c r="AP96" s="2"/>
      <c r="AQ96">
        <f t="shared" si="50"/>
        <v>0</v>
      </c>
      <c r="AR96">
        <f>IF(ISERROR(VLOOKUP(IF(O96=4,P96,IF(Q96=4,R96,0)),[4]D_任务!$A$2:$B$132,2,FALSE)),IF(O96=4,P96,IF(Q96=4,R96,0)),VLOOKUP(IF(O96=4,P96,IF(Q96=4,R96,0)),[4]D_任务!$A$2:$B$132,2,FALSE))</f>
        <v>0</v>
      </c>
      <c r="AS96" t="str">
        <f t="shared" si="30"/>
        <v>精英枪手</v>
      </c>
      <c r="AT96">
        <f>VLOOKUP(A96,CHOOSE({1,2},[5]怪物信息表!$K$5:$K$76,[5]怪物信息表!$J$5:$J$76),2,FALSE)</f>
        <v>25</v>
      </c>
    </row>
    <row r="97" spans="1:46" x14ac:dyDescent="0.15">
      <c r="A97" s="2">
        <v>2205</v>
      </c>
      <c r="B97" s="2">
        <v>2</v>
      </c>
      <c r="C97" s="2">
        <v>2</v>
      </c>
      <c r="D97" s="9" t="s">
        <v>652</v>
      </c>
      <c r="E97" s="11">
        <f>IFERROR(VLOOKUP(C97,[3]副本规划!$W$20:$X$27,2,0),E96)</f>
        <v>10</v>
      </c>
      <c r="F97" s="2">
        <f>IFERROR(ROUNDUP(VLOOKUP(T97,CHOOSE({1,2},[5]D_怪物表!$I$1:$I$1120,[5]D_怪物表!$AH$1:$AH$1120),2,FALSE),0),0)</f>
        <v>4093</v>
      </c>
      <c r="G97" s="2">
        <v>1</v>
      </c>
      <c r="H97" s="2">
        <v>1</v>
      </c>
      <c r="I97" s="2">
        <v>6</v>
      </c>
      <c r="J97" s="2">
        <v>0</v>
      </c>
      <c r="K97" s="2">
        <v>0</v>
      </c>
      <c r="L97" s="2"/>
      <c r="M97" s="2">
        <f t="shared" si="51"/>
        <v>2</v>
      </c>
      <c r="N97" s="2">
        <v>1</v>
      </c>
      <c r="O97" s="2">
        <v>3</v>
      </c>
      <c r="P97" s="2">
        <f t="shared" si="44"/>
        <v>2204</v>
      </c>
      <c r="Q97" s="2">
        <v>3</v>
      </c>
      <c r="R97" s="2">
        <f t="shared" si="40"/>
        <v>2005</v>
      </c>
      <c r="S97" s="11">
        <f t="shared" si="3"/>
        <v>502205</v>
      </c>
      <c r="T97" s="11">
        <f t="shared" si="41"/>
        <v>225004</v>
      </c>
      <c r="U97" s="2">
        <v>2</v>
      </c>
      <c r="V97" s="14">
        <f t="shared" si="42"/>
        <v>225001</v>
      </c>
      <c r="W97" s="14">
        <f t="shared" si="43"/>
        <v>225002</v>
      </c>
      <c r="X97" s="14"/>
      <c r="Y97" s="2"/>
      <c r="Z97" s="2"/>
      <c r="AA97" s="2"/>
      <c r="AB97" s="2"/>
      <c r="AC97" s="2"/>
      <c r="AD97" s="2"/>
      <c r="AE97" s="2"/>
      <c r="AF97" s="2">
        <v>3</v>
      </c>
      <c r="AG97" s="2">
        <v>80</v>
      </c>
      <c r="AH97" s="2">
        <v>81</v>
      </c>
      <c r="AI97" s="2">
        <v>82</v>
      </c>
      <c r="AJ97" s="2"/>
      <c r="AK97" s="2"/>
      <c r="AL97" s="2"/>
      <c r="AM97" s="2"/>
      <c r="AN97" s="2"/>
      <c r="AO97" s="2"/>
      <c r="AP97" s="2"/>
      <c r="AQ97">
        <f t="shared" si="50"/>
        <v>0</v>
      </c>
      <c r="AR97">
        <f>IF(ISERROR(VLOOKUP(IF(O97=4,P97,IF(Q97=4,R97,0)),[4]D_任务!$A$2:$B$132,2,FALSE)),IF(O97=4,P97,IF(Q97=4,R97,0)),VLOOKUP(IF(O97=4,P97,IF(Q97=4,R97,0)),[4]D_任务!$A$2:$B$132,2,FALSE))</f>
        <v>0</v>
      </c>
      <c r="AS97" t="str">
        <f t="shared" si="30"/>
        <v>精英大飞手下</v>
      </c>
      <c r="AT97">
        <f>VLOOKUP(A97,CHOOSE({1,2},[5]怪物信息表!$K$5:$K$76,[5]怪物信息表!$J$5:$J$76),2,FALSE)</f>
        <v>26</v>
      </c>
    </row>
    <row r="98" spans="1:46" x14ac:dyDescent="0.15">
      <c r="A98" s="2">
        <v>2206</v>
      </c>
      <c r="B98" s="2">
        <v>2</v>
      </c>
      <c r="C98" s="2">
        <v>2</v>
      </c>
      <c r="D98" s="9" t="s">
        <v>653</v>
      </c>
      <c r="E98" s="11">
        <f>IFERROR(VLOOKUP(C98,[3]副本规划!$W$20:$X$27,2,0),E97)</f>
        <v>10</v>
      </c>
      <c r="F98" s="2">
        <f>IFERROR(ROUNDUP(VLOOKUP(T98,CHOOSE({1,2},[5]D_怪物表!$I$1:$I$1120,[5]D_怪物表!$AH$1:$AH$1120),2,FALSE),0),0)</f>
        <v>4591</v>
      </c>
      <c r="G98" s="2">
        <v>1</v>
      </c>
      <c r="H98" s="2">
        <v>1</v>
      </c>
      <c r="I98" s="2">
        <v>6</v>
      </c>
      <c r="J98" s="2">
        <v>0</v>
      </c>
      <c r="K98" s="2">
        <v>0</v>
      </c>
      <c r="L98" s="2"/>
      <c r="M98" s="2">
        <f t="shared" si="51"/>
        <v>2</v>
      </c>
      <c r="N98" s="2">
        <v>1</v>
      </c>
      <c r="O98" s="2">
        <v>3</v>
      </c>
      <c r="P98" s="2">
        <f t="shared" si="44"/>
        <v>2205</v>
      </c>
      <c r="Q98" s="2">
        <v>3</v>
      </c>
      <c r="R98" s="2">
        <f t="shared" si="40"/>
        <v>2006</v>
      </c>
      <c r="S98" s="11">
        <f t="shared" si="3"/>
        <v>502206</v>
      </c>
      <c r="T98" s="11">
        <f t="shared" si="41"/>
        <v>226004</v>
      </c>
      <c r="U98" s="2">
        <v>2</v>
      </c>
      <c r="V98" s="14">
        <f t="shared" si="42"/>
        <v>226001</v>
      </c>
      <c r="W98" s="14">
        <f t="shared" si="43"/>
        <v>226002</v>
      </c>
      <c r="X98" s="14"/>
      <c r="Y98" s="2"/>
      <c r="Z98" s="2"/>
      <c r="AA98" s="2"/>
      <c r="AB98" s="2"/>
      <c r="AC98" s="2"/>
      <c r="AD98" s="2"/>
      <c r="AE98" s="2"/>
      <c r="AF98" s="2">
        <v>3</v>
      </c>
      <c r="AG98" s="2">
        <v>58</v>
      </c>
      <c r="AH98" s="2">
        <v>59</v>
      </c>
      <c r="AI98" s="2">
        <v>60</v>
      </c>
      <c r="AJ98" s="2"/>
      <c r="AK98" s="2"/>
      <c r="AL98" s="2"/>
      <c r="AM98" s="2"/>
      <c r="AN98" s="2"/>
      <c r="AO98" s="2"/>
      <c r="AP98" s="2"/>
      <c r="AQ98">
        <f t="shared" si="50"/>
        <v>0</v>
      </c>
      <c r="AR98">
        <f>IF(ISERROR(VLOOKUP(IF(O98=4,P98,IF(Q98=4,R98,0)),[4]D_任务!$A$2:$B$132,2,FALSE)),IF(O98=4,P98,IF(Q98=4,R98,0)),VLOOKUP(IF(O98=4,P98,IF(Q98=4,R98,0)),[4]D_任务!$A$2:$B$132,2,FALSE))</f>
        <v>0</v>
      </c>
      <c r="AS98" t="str">
        <f t="shared" si="30"/>
        <v>精英大飞弟子</v>
      </c>
      <c r="AT98">
        <f>VLOOKUP(A98,CHOOSE({1,2},[5]怪物信息表!$K$5:$K$76,[5]怪物信息表!$J$5:$J$76),2,FALSE)</f>
        <v>27</v>
      </c>
    </row>
    <row r="99" spans="1:46" x14ac:dyDescent="0.15">
      <c r="A99" s="2">
        <v>2207</v>
      </c>
      <c r="B99" s="2">
        <v>2</v>
      </c>
      <c r="C99" s="2">
        <v>2</v>
      </c>
      <c r="D99" s="9" t="s">
        <v>654</v>
      </c>
      <c r="E99" s="11">
        <f>IFERROR(VLOOKUP(C99,[3]副本规划!$W$20:$X$27,2,0),E98)</f>
        <v>10</v>
      </c>
      <c r="F99" s="2">
        <f>IFERROR(ROUNDUP(VLOOKUP(T99,CHOOSE({1,2},[5]D_怪物表!$I$1:$I$1120,[5]D_怪物表!$AH$1:$AH$1120),2,FALSE),0),0)</f>
        <v>5109</v>
      </c>
      <c r="G99" s="2">
        <v>1</v>
      </c>
      <c r="H99" s="2">
        <v>1</v>
      </c>
      <c r="I99" s="2">
        <v>6</v>
      </c>
      <c r="J99" s="2">
        <v>0</v>
      </c>
      <c r="K99" s="2">
        <v>0</v>
      </c>
      <c r="L99" s="2"/>
      <c r="M99" s="2">
        <f t="shared" ref="M99:M101" si="52">SUM(O99&gt;0,Q99&gt;0)</f>
        <v>2</v>
      </c>
      <c r="N99" s="2">
        <v>1</v>
      </c>
      <c r="O99" s="2">
        <v>3</v>
      </c>
      <c r="P99" s="2">
        <f t="shared" ref="P99:P155" si="53">A98</f>
        <v>2206</v>
      </c>
      <c r="Q99" s="2">
        <v>3</v>
      </c>
      <c r="R99" s="2">
        <f t="shared" ref="R99:R101" si="54">A99-200</f>
        <v>2007</v>
      </c>
      <c r="S99" s="11">
        <f t="shared" ref="S99:S101" si="55">50*10000+A99</f>
        <v>502207</v>
      </c>
      <c r="T99" s="11">
        <f t="shared" si="41"/>
        <v>227004</v>
      </c>
      <c r="U99" s="2">
        <v>2</v>
      </c>
      <c r="V99" s="14">
        <f t="shared" si="42"/>
        <v>227001</v>
      </c>
      <c r="W99" s="14">
        <f t="shared" si="43"/>
        <v>227002</v>
      </c>
      <c r="X99" s="14"/>
      <c r="Y99" s="2"/>
      <c r="Z99" s="2"/>
      <c r="AA99" s="2"/>
      <c r="AB99" s="2"/>
      <c r="AC99" s="2"/>
      <c r="AD99" s="2"/>
      <c r="AE99" s="2"/>
      <c r="AF99" s="2">
        <v>3</v>
      </c>
      <c r="AG99" s="2">
        <v>65</v>
      </c>
      <c r="AH99" s="2">
        <v>66</v>
      </c>
      <c r="AI99" s="2">
        <v>67</v>
      </c>
      <c r="AJ99" s="2"/>
      <c r="AK99" s="2"/>
      <c r="AL99" s="2"/>
      <c r="AM99" s="2"/>
      <c r="AN99" s="2"/>
      <c r="AO99" s="2"/>
      <c r="AP99" s="2"/>
      <c r="AQ99">
        <f t="shared" ref="AQ99:AQ101" si="56">IF(O99=1,P99,IF(Q99=1,R99,0))</f>
        <v>0</v>
      </c>
      <c r="AR99">
        <f>IF(ISERROR(VLOOKUP(IF(O99=4,P99,IF(Q99=4,R99,0)),[4]D_任务!$A$2:$B$132,2,FALSE)),IF(O99=4,P99,IF(Q99=4,R99,0)),VLOOKUP(IF(O99=4,P99,IF(Q99=4,R99,0)),[4]D_任务!$A$2:$B$132,2,FALSE))</f>
        <v>0</v>
      </c>
      <c r="AS99" t="str">
        <f t="shared" si="30"/>
        <v>精英追踪者</v>
      </c>
      <c r="AT99">
        <f>VLOOKUP(A99,CHOOSE({1,2},[5]怪物信息表!$K$5:$K$76,[5]怪物信息表!$J$5:$J$76),2,FALSE)</f>
        <v>28</v>
      </c>
    </row>
    <row r="100" spans="1:46" x14ac:dyDescent="0.15">
      <c r="A100" s="2">
        <v>2208</v>
      </c>
      <c r="B100" s="2">
        <v>2</v>
      </c>
      <c r="C100" s="2">
        <v>2</v>
      </c>
      <c r="D100" s="9" t="s">
        <v>655</v>
      </c>
      <c r="E100" s="11">
        <f>IFERROR(VLOOKUP(C100,[3]副本规划!$W$20:$X$27,2,0),E99)</f>
        <v>10</v>
      </c>
      <c r="F100" s="2">
        <f>IFERROR(ROUNDUP(VLOOKUP(T100,CHOOSE({1,2},[5]D_怪物表!$I$1:$I$1120,[5]D_怪物表!$AH$1:$AH$1120),2,FALSE),0),0)</f>
        <v>5763</v>
      </c>
      <c r="G100" s="2">
        <v>1</v>
      </c>
      <c r="H100" s="2">
        <v>1</v>
      </c>
      <c r="I100" s="2">
        <v>6</v>
      </c>
      <c r="J100" s="2">
        <v>0</v>
      </c>
      <c r="K100" s="2">
        <v>0</v>
      </c>
      <c r="L100" s="2"/>
      <c r="M100" s="2">
        <f t="shared" si="52"/>
        <v>2</v>
      </c>
      <c r="N100" s="2">
        <v>1</v>
      </c>
      <c r="O100" s="2">
        <v>3</v>
      </c>
      <c r="P100" s="2">
        <f t="shared" si="53"/>
        <v>2207</v>
      </c>
      <c r="Q100" s="2">
        <v>3</v>
      </c>
      <c r="R100" s="2">
        <f t="shared" si="54"/>
        <v>2008</v>
      </c>
      <c r="S100" s="11">
        <f t="shared" si="55"/>
        <v>502208</v>
      </c>
      <c r="T100" s="11">
        <f t="shared" si="41"/>
        <v>228004</v>
      </c>
      <c r="U100" s="2">
        <v>2</v>
      </c>
      <c r="V100" s="14">
        <f t="shared" si="42"/>
        <v>228001</v>
      </c>
      <c r="W100" s="14">
        <f t="shared" si="43"/>
        <v>228002</v>
      </c>
      <c r="X100" s="14"/>
      <c r="Y100" s="2"/>
      <c r="Z100" s="2"/>
      <c r="AA100" s="2"/>
      <c r="AB100" s="2"/>
      <c r="AC100" s="2"/>
      <c r="AD100" s="2"/>
      <c r="AE100" s="2"/>
      <c r="AF100" s="2">
        <v>3</v>
      </c>
      <c r="AG100" s="2">
        <v>80</v>
      </c>
      <c r="AH100" s="2">
        <v>81</v>
      </c>
      <c r="AI100" s="2">
        <v>82</v>
      </c>
      <c r="AJ100" s="2"/>
      <c r="AK100" s="2"/>
      <c r="AL100" s="2"/>
      <c r="AM100" s="2"/>
      <c r="AN100" s="2"/>
      <c r="AO100" s="2"/>
      <c r="AP100" s="2"/>
      <c r="AQ100">
        <f t="shared" si="56"/>
        <v>0</v>
      </c>
      <c r="AR100">
        <f>IF(ISERROR(VLOOKUP(IF(O100=4,P100,IF(Q100=4,R100,0)),[4]D_任务!$A$2:$B$132,2,FALSE)),IF(O100=4,P100,IF(Q100=4,R100,0)),VLOOKUP(IF(O100=4,P100,IF(Q100=4,R100,0)),[4]D_任务!$A$2:$B$132,2,FALSE))</f>
        <v>0</v>
      </c>
      <c r="AS100" t="str">
        <f t="shared" si="30"/>
        <v>精英雷公保镖</v>
      </c>
      <c r="AT100">
        <f>VLOOKUP(A100,CHOOSE({1,2},[5]怪物信息表!$K$5:$K$76,[5]怪物信息表!$J$5:$J$76),2,FALSE)</f>
        <v>29</v>
      </c>
    </row>
    <row r="101" spans="1:46" x14ac:dyDescent="0.15">
      <c r="A101" s="2">
        <v>2209</v>
      </c>
      <c r="B101" s="2">
        <v>2</v>
      </c>
      <c r="C101" s="2">
        <v>2</v>
      </c>
      <c r="D101" s="9" t="s">
        <v>556</v>
      </c>
      <c r="E101" s="11">
        <f>IFERROR(VLOOKUP(C101,[3]副本规划!$W$20:$X$27,2,0),E100)</f>
        <v>10</v>
      </c>
      <c r="F101" s="2">
        <f>IFERROR(ROUNDUP(VLOOKUP(T101,CHOOSE({1,2},[5]D_怪物表!$I$1:$I$1120,[5]D_怪物表!$AH$1:$AH$1120),2,FALSE),0),0)</f>
        <v>6444</v>
      </c>
      <c r="G101" s="2">
        <v>1</v>
      </c>
      <c r="H101" s="2">
        <v>1</v>
      </c>
      <c r="I101" s="2">
        <v>6</v>
      </c>
      <c r="J101" s="2">
        <v>0</v>
      </c>
      <c r="K101" s="2">
        <v>0</v>
      </c>
      <c r="L101" s="2"/>
      <c r="M101" s="2">
        <f t="shared" si="52"/>
        <v>2</v>
      </c>
      <c r="N101" s="2">
        <v>1</v>
      </c>
      <c r="O101" s="2">
        <v>3</v>
      </c>
      <c r="P101" s="2">
        <f t="shared" si="53"/>
        <v>2208</v>
      </c>
      <c r="Q101" s="2">
        <v>3</v>
      </c>
      <c r="R101" s="2">
        <f t="shared" si="54"/>
        <v>2009</v>
      </c>
      <c r="S101" s="11">
        <f t="shared" si="55"/>
        <v>502209</v>
      </c>
      <c r="T101" s="11">
        <f t="shared" si="41"/>
        <v>229004</v>
      </c>
      <c r="U101" s="2">
        <v>2</v>
      </c>
      <c r="V101" s="14">
        <f t="shared" si="42"/>
        <v>229001</v>
      </c>
      <c r="W101" s="14">
        <f t="shared" si="43"/>
        <v>229002</v>
      </c>
      <c r="X101" s="14"/>
      <c r="Y101" s="2"/>
      <c r="Z101" s="2"/>
      <c r="AA101" s="2"/>
      <c r="AB101" s="2"/>
      <c r="AC101" s="2"/>
      <c r="AD101" s="2"/>
      <c r="AE101" s="2"/>
      <c r="AF101" s="2">
        <v>3</v>
      </c>
      <c r="AG101" s="2">
        <v>58</v>
      </c>
      <c r="AH101" s="2">
        <v>59</v>
      </c>
      <c r="AI101" s="2">
        <v>60</v>
      </c>
      <c r="AJ101" s="2"/>
      <c r="AK101" s="2"/>
      <c r="AL101" s="2"/>
      <c r="AM101" s="2"/>
      <c r="AN101" s="2"/>
      <c r="AO101" s="2"/>
      <c r="AP101" s="2"/>
      <c r="AQ101">
        <f t="shared" si="56"/>
        <v>0</v>
      </c>
      <c r="AR101">
        <f>IF(ISERROR(VLOOKUP(IF(O101=4,P101,IF(Q101=4,R101,0)),[4]D_任务!$A$2:$B$132,2,FALSE)),IF(O101=4,P101,IF(Q101=4,R101,0)),VLOOKUP(IF(O101=4,P101,IF(Q101=4,R101,0)),[4]D_任务!$A$2:$B$132,2,FALSE))</f>
        <v>0</v>
      </c>
      <c r="AS101" t="str">
        <f t="shared" si="30"/>
        <v>精英赌场警卫</v>
      </c>
      <c r="AT101">
        <f>VLOOKUP(A101,CHOOSE({1,2},[5]怪物信息表!$K$5:$K$76,[5]怪物信息表!$J$5:$J$76),2,FALSE)</f>
        <v>30</v>
      </c>
    </row>
    <row r="102" spans="1:46" x14ac:dyDescent="0.15">
      <c r="A102" s="2">
        <v>3201</v>
      </c>
      <c r="B102" s="2">
        <v>2</v>
      </c>
      <c r="C102" s="2">
        <v>3</v>
      </c>
      <c r="D102" s="9" t="s">
        <v>557</v>
      </c>
      <c r="E102" s="11">
        <f>IFERROR(VLOOKUP(C102,[3]副本规划!$W$20:$X$27,2,0),E98)</f>
        <v>10</v>
      </c>
      <c r="F102" s="2">
        <f>IFERROR(ROUNDUP(VLOOKUP(T102,CHOOSE({1,2},[5]D_怪物表!$I$1:$I$1120,[5]D_怪物表!$AH$1:$AH$1120),2,FALSE),0),0)</f>
        <v>6426</v>
      </c>
      <c r="G102" s="2">
        <v>1</v>
      </c>
      <c r="H102" s="2">
        <v>1</v>
      </c>
      <c r="I102" s="2">
        <v>6</v>
      </c>
      <c r="J102" s="2">
        <v>0</v>
      </c>
      <c r="K102" s="2">
        <v>0</v>
      </c>
      <c r="L102" s="2"/>
      <c r="M102" s="2">
        <f t="shared" si="51"/>
        <v>2</v>
      </c>
      <c r="N102" s="2">
        <v>1</v>
      </c>
      <c r="O102" s="2">
        <v>3</v>
      </c>
      <c r="P102" s="2">
        <f t="shared" si="53"/>
        <v>2209</v>
      </c>
      <c r="Q102" s="2">
        <v>3</v>
      </c>
      <c r="R102" s="2">
        <f t="shared" si="40"/>
        <v>3001</v>
      </c>
      <c r="S102" s="11">
        <f t="shared" si="3"/>
        <v>503201</v>
      </c>
      <c r="T102" s="11">
        <f t="shared" si="41"/>
        <v>231004</v>
      </c>
      <c r="U102" s="2">
        <v>3</v>
      </c>
      <c r="V102" s="14">
        <f t="shared" si="42"/>
        <v>231001</v>
      </c>
      <c r="W102" s="14">
        <f t="shared" si="43"/>
        <v>231002</v>
      </c>
      <c r="X102" s="14">
        <f>W102+1</f>
        <v>231003</v>
      </c>
      <c r="Y102" s="2"/>
      <c r="Z102" s="2"/>
      <c r="AA102" s="2"/>
      <c r="AB102" s="2"/>
      <c r="AC102" s="2"/>
      <c r="AD102" s="2"/>
      <c r="AE102" s="2"/>
      <c r="AF102" s="2">
        <v>3</v>
      </c>
      <c r="AG102" s="2">
        <v>196</v>
      </c>
      <c r="AH102" s="2">
        <v>197</v>
      </c>
      <c r="AI102" s="2">
        <v>198</v>
      </c>
      <c r="AJ102" s="2"/>
      <c r="AK102" s="2"/>
      <c r="AL102" s="2"/>
      <c r="AM102" s="2"/>
      <c r="AN102" s="2"/>
      <c r="AO102" s="2"/>
      <c r="AP102" s="2"/>
      <c r="AQ102">
        <f t="shared" si="50"/>
        <v>0</v>
      </c>
      <c r="AR102">
        <f>IF(ISERROR(VLOOKUP(IF(O102=4,P102,IF(Q102=4,R102,0)),[4]D_任务!$A$2:$B$132,2,FALSE)),IF(O102=4,P102,IF(Q102=4,R102,0)),VLOOKUP(IF(O102=4,P102,IF(Q102=4,R102,0)),[4]D_任务!$A$2:$B$132,2,FALSE))</f>
        <v>0</v>
      </c>
      <c r="AS102" t="str">
        <f t="shared" si="30"/>
        <v>精英丁瑶护卫</v>
      </c>
      <c r="AT102">
        <f>VLOOKUP(A102,CHOOSE({1,2},[5]怪物信息表!$K$5:$K$76,[5]怪物信息表!$J$5:$J$76),2,FALSE)</f>
        <v>31</v>
      </c>
    </row>
    <row r="103" spans="1:46" x14ac:dyDescent="0.15">
      <c r="A103" s="2">
        <v>3202</v>
      </c>
      <c r="B103" s="2">
        <v>2</v>
      </c>
      <c r="C103" s="2">
        <v>3</v>
      </c>
      <c r="D103" s="9" t="s">
        <v>558</v>
      </c>
      <c r="E103" s="11">
        <f>IFERROR(VLOOKUP(C103,[3]副本规划!$W$20:$X$27,2,0),E102)</f>
        <v>10</v>
      </c>
      <c r="F103" s="2">
        <f>IFERROR(ROUNDUP(VLOOKUP(T103,CHOOSE({1,2},[5]D_怪物表!$I$1:$I$1120,[5]D_怪物表!$AH$1:$AH$1120),2,FALSE),0),0)</f>
        <v>7214</v>
      </c>
      <c r="G103" s="2">
        <v>1</v>
      </c>
      <c r="H103" s="2">
        <v>1</v>
      </c>
      <c r="I103" s="2">
        <v>6</v>
      </c>
      <c r="J103" s="2">
        <v>0</v>
      </c>
      <c r="K103" s="2">
        <v>0</v>
      </c>
      <c r="L103" s="2"/>
      <c r="M103" s="2">
        <f t="shared" si="51"/>
        <v>2</v>
      </c>
      <c r="N103" s="2">
        <v>1</v>
      </c>
      <c r="O103" s="2">
        <v>3</v>
      </c>
      <c r="P103" s="2">
        <f t="shared" si="53"/>
        <v>3201</v>
      </c>
      <c r="Q103" s="2">
        <v>3</v>
      </c>
      <c r="R103" s="2">
        <f t="shared" si="40"/>
        <v>3002</v>
      </c>
      <c r="S103" s="11">
        <f t="shared" si="3"/>
        <v>503202</v>
      </c>
      <c r="T103" s="11">
        <f t="shared" si="41"/>
        <v>232004</v>
      </c>
      <c r="U103" s="2">
        <v>3</v>
      </c>
      <c r="V103" s="14">
        <f t="shared" si="42"/>
        <v>232001</v>
      </c>
      <c r="W103" s="14">
        <f t="shared" si="43"/>
        <v>232002</v>
      </c>
      <c r="X103" s="14">
        <f t="shared" si="43"/>
        <v>232003</v>
      </c>
      <c r="Y103" s="2"/>
      <c r="Z103" s="2"/>
      <c r="AA103" s="2"/>
      <c r="AB103" s="2"/>
      <c r="AC103" s="2"/>
      <c r="AD103" s="2"/>
      <c r="AE103" s="2"/>
      <c r="AF103" s="2">
        <v>3</v>
      </c>
      <c r="AG103" s="2">
        <v>159</v>
      </c>
      <c r="AH103" s="2">
        <v>160</v>
      </c>
      <c r="AI103" s="2">
        <v>161</v>
      </c>
      <c r="AJ103" s="2"/>
      <c r="AK103" s="2"/>
      <c r="AL103" s="2"/>
      <c r="AM103" s="2"/>
      <c r="AN103" s="2"/>
      <c r="AO103" s="2"/>
      <c r="AP103" s="2"/>
      <c r="AQ103">
        <f t="shared" si="50"/>
        <v>0</v>
      </c>
      <c r="AR103">
        <f>IF(ISERROR(VLOOKUP(IF(O103=4,P103,IF(Q103=4,R103,0)),[4]D_任务!$A$2:$B$132,2,FALSE)),IF(O103=4,P103,IF(Q103=4,R103,0)),VLOOKUP(IF(O103=4,P103,IF(Q103=4,R103,0)),[4]D_任务!$A$2:$B$132,2,FALSE))</f>
        <v>0</v>
      </c>
      <c r="AS103" t="str">
        <f t="shared" si="30"/>
        <v>精英乌鸦手下</v>
      </c>
      <c r="AT103">
        <f>VLOOKUP(A103,CHOOSE({1,2},[5]怪物信息表!$K$5:$K$76,[5]怪物信息表!$J$5:$J$76),2,FALSE)</f>
        <v>32</v>
      </c>
    </row>
    <row r="104" spans="1:46" x14ac:dyDescent="0.15">
      <c r="A104" s="2">
        <v>3203</v>
      </c>
      <c r="B104" s="2">
        <v>2</v>
      </c>
      <c r="C104" s="2">
        <v>3</v>
      </c>
      <c r="D104" s="9" t="s">
        <v>559</v>
      </c>
      <c r="E104" s="11">
        <f>IFERROR(VLOOKUP(C104,[3]副本规划!$W$20:$X$27,2,0),E103)</f>
        <v>10</v>
      </c>
      <c r="F104" s="2">
        <f>IFERROR(ROUNDUP(VLOOKUP(T104,CHOOSE({1,2},[5]D_怪物表!$I$1:$I$1120,[5]D_怪物表!$AH$1:$AH$1120),2,FALSE),0),0)</f>
        <v>8077</v>
      </c>
      <c r="G104" s="2">
        <v>1</v>
      </c>
      <c r="H104" s="2">
        <v>1</v>
      </c>
      <c r="I104" s="2">
        <v>6</v>
      </c>
      <c r="J104" s="2">
        <v>0</v>
      </c>
      <c r="K104" s="2">
        <v>0</v>
      </c>
      <c r="L104" s="2"/>
      <c r="M104" s="2">
        <f t="shared" si="51"/>
        <v>2</v>
      </c>
      <c r="N104" s="2">
        <v>1</v>
      </c>
      <c r="O104" s="2">
        <v>3</v>
      </c>
      <c r="P104" s="2">
        <f t="shared" si="53"/>
        <v>3202</v>
      </c>
      <c r="Q104" s="2">
        <v>3</v>
      </c>
      <c r="R104" s="2">
        <f t="shared" si="40"/>
        <v>3003</v>
      </c>
      <c r="S104" s="11">
        <f t="shared" si="3"/>
        <v>503203</v>
      </c>
      <c r="T104" s="11">
        <f t="shared" si="41"/>
        <v>233004</v>
      </c>
      <c r="U104" s="2">
        <v>3</v>
      </c>
      <c r="V104" s="14">
        <f t="shared" si="42"/>
        <v>233001</v>
      </c>
      <c r="W104" s="14">
        <f t="shared" si="43"/>
        <v>233002</v>
      </c>
      <c r="X104" s="14">
        <f t="shared" si="43"/>
        <v>233003</v>
      </c>
      <c r="Y104" s="2"/>
      <c r="Z104" s="2"/>
      <c r="AA104" s="2"/>
      <c r="AB104" s="2"/>
      <c r="AC104" s="2"/>
      <c r="AD104" s="2"/>
      <c r="AE104" s="2"/>
      <c r="AF104" s="2">
        <v>3</v>
      </c>
      <c r="AG104" s="2">
        <v>127</v>
      </c>
      <c r="AH104" s="2">
        <v>128</v>
      </c>
      <c r="AI104" s="2">
        <v>129</v>
      </c>
      <c r="AJ104" s="2"/>
      <c r="AK104" s="2"/>
      <c r="AL104" s="2"/>
      <c r="AM104" s="2"/>
      <c r="AN104" s="2"/>
      <c r="AO104" s="2"/>
      <c r="AP104" s="2"/>
      <c r="AQ104">
        <f t="shared" si="50"/>
        <v>0</v>
      </c>
      <c r="AR104">
        <f>IF(ISERROR(VLOOKUP(IF(O104=4,P104,IF(Q104=4,R104,0)),[4]D_任务!$A$2:$B$132,2,FALSE)),IF(O104=4,P104,IF(Q104=4,R104,0)),VLOOKUP(IF(O104=4,P104,IF(Q104=4,R104,0)),[4]D_任务!$A$2:$B$132,2,FALSE))</f>
        <v>0</v>
      </c>
      <c r="AS104" t="str">
        <f t="shared" si="30"/>
        <v>精英笑面虎</v>
      </c>
      <c r="AT104">
        <f>VLOOKUP(A104,CHOOSE({1,2},[5]怪物信息表!$K$5:$K$76,[5]怪物信息表!$J$5:$J$76),2,FALSE)</f>
        <v>33</v>
      </c>
    </row>
    <row r="105" spans="1:46" x14ac:dyDescent="0.15">
      <c r="A105" s="2">
        <v>3204</v>
      </c>
      <c r="B105" s="2">
        <v>2</v>
      </c>
      <c r="C105" s="2">
        <v>3</v>
      </c>
      <c r="D105" s="9" t="s">
        <v>656</v>
      </c>
      <c r="E105" s="11">
        <f>IFERROR(VLOOKUP(C105,[3]副本规划!$W$20:$X$27,2,0),E104)</f>
        <v>10</v>
      </c>
      <c r="F105" s="2">
        <f>IFERROR(ROUNDUP(VLOOKUP(T105,CHOOSE({1,2},[5]D_怪物表!$I$1:$I$1120,[5]D_怪物表!$AH$1:$AH$1120),2,FALSE),0),0)</f>
        <v>9031</v>
      </c>
      <c r="G105" s="2">
        <v>1</v>
      </c>
      <c r="H105" s="2">
        <v>1</v>
      </c>
      <c r="I105" s="2">
        <v>6</v>
      </c>
      <c r="J105" s="2">
        <v>0</v>
      </c>
      <c r="K105" s="2">
        <v>0</v>
      </c>
      <c r="L105" s="2"/>
      <c r="M105" s="2">
        <f t="shared" si="51"/>
        <v>2</v>
      </c>
      <c r="N105" s="2">
        <v>1</v>
      </c>
      <c r="O105" s="2">
        <v>3</v>
      </c>
      <c r="P105" s="2">
        <f t="shared" si="53"/>
        <v>3203</v>
      </c>
      <c r="Q105" s="2">
        <v>3</v>
      </c>
      <c r="R105" s="2">
        <f t="shared" si="40"/>
        <v>3004</v>
      </c>
      <c r="S105" s="11">
        <f t="shared" si="3"/>
        <v>503204</v>
      </c>
      <c r="T105" s="11">
        <f t="shared" si="41"/>
        <v>234004</v>
      </c>
      <c r="U105" s="2">
        <v>3</v>
      </c>
      <c r="V105" s="14">
        <f t="shared" si="42"/>
        <v>234001</v>
      </c>
      <c r="W105" s="14">
        <f t="shared" si="43"/>
        <v>234002</v>
      </c>
      <c r="X105" s="14">
        <f t="shared" si="43"/>
        <v>234003</v>
      </c>
      <c r="Y105" s="2"/>
      <c r="Z105" s="2"/>
      <c r="AA105" s="2"/>
      <c r="AB105" s="2"/>
      <c r="AC105" s="2"/>
      <c r="AD105" s="2"/>
      <c r="AE105" s="2"/>
      <c r="AF105" s="2">
        <v>3</v>
      </c>
      <c r="AG105" s="2">
        <v>181</v>
      </c>
      <c r="AH105" s="2">
        <v>182</v>
      </c>
      <c r="AI105" s="2">
        <v>183</v>
      </c>
      <c r="AJ105" s="2"/>
      <c r="AK105" s="2"/>
      <c r="AL105" s="2"/>
      <c r="AM105" s="2"/>
      <c r="AN105" s="2"/>
      <c r="AO105" s="2"/>
      <c r="AP105" s="2"/>
      <c r="AQ105">
        <f t="shared" si="50"/>
        <v>0</v>
      </c>
      <c r="AR105">
        <f>IF(ISERROR(VLOOKUP(IF(O105=4,P105,IF(Q105=4,R105,0)),[4]D_任务!$A$2:$B$132,2,FALSE)),IF(O105=4,P105,IF(Q105=4,R105,0)),VLOOKUP(IF(O105=4,P105,IF(Q105=4,R105,0)),[4]D_任务!$A$2:$B$132,2,FALSE))</f>
        <v>0</v>
      </c>
      <c r="AS105" t="str">
        <f t="shared" si="30"/>
        <v>精英东星杀手</v>
      </c>
      <c r="AT105">
        <f>VLOOKUP(A105,CHOOSE({1,2},[5]怪物信息表!$K$5:$K$76,[5]怪物信息表!$J$5:$J$76),2,FALSE)</f>
        <v>34</v>
      </c>
    </row>
    <row r="106" spans="1:46" x14ac:dyDescent="0.15">
      <c r="A106" s="2">
        <v>3205</v>
      </c>
      <c r="B106" s="2">
        <v>2</v>
      </c>
      <c r="C106" s="2">
        <v>3</v>
      </c>
      <c r="D106" s="9" t="s">
        <v>657</v>
      </c>
      <c r="E106" s="11">
        <f>IFERROR(VLOOKUP(C106,[3]副本规划!$W$20:$X$27,2,0),E105)</f>
        <v>10</v>
      </c>
      <c r="F106" s="2">
        <f>IFERROR(ROUNDUP(VLOOKUP(T106,CHOOSE({1,2},[5]D_怪物表!$I$1:$I$1120,[5]D_怪物表!$AH$1:$AH$1120),2,FALSE),0),0)</f>
        <v>10059</v>
      </c>
      <c r="G106" s="2">
        <v>1</v>
      </c>
      <c r="H106" s="2">
        <v>1</v>
      </c>
      <c r="I106" s="2">
        <v>6</v>
      </c>
      <c r="J106" s="2">
        <v>0</v>
      </c>
      <c r="K106" s="2">
        <v>0</v>
      </c>
      <c r="L106" s="2"/>
      <c r="M106" s="2">
        <f t="shared" si="51"/>
        <v>2</v>
      </c>
      <c r="N106" s="2">
        <v>1</v>
      </c>
      <c r="O106" s="2">
        <v>3</v>
      </c>
      <c r="P106" s="2">
        <f t="shared" si="53"/>
        <v>3204</v>
      </c>
      <c r="Q106" s="2">
        <v>3</v>
      </c>
      <c r="R106" s="2">
        <f t="shared" si="40"/>
        <v>3005</v>
      </c>
      <c r="S106" s="11">
        <f t="shared" ref="S106:S167" si="57">50*10000+A106</f>
        <v>503205</v>
      </c>
      <c r="T106" s="11">
        <f t="shared" si="41"/>
        <v>235004</v>
      </c>
      <c r="U106" s="2">
        <v>3</v>
      </c>
      <c r="V106" s="14">
        <f t="shared" si="42"/>
        <v>235001</v>
      </c>
      <c r="W106" s="14">
        <f t="shared" si="43"/>
        <v>235002</v>
      </c>
      <c r="X106" s="14">
        <f t="shared" si="43"/>
        <v>235003</v>
      </c>
      <c r="Y106" s="2"/>
      <c r="Z106" s="2"/>
      <c r="AA106" s="2"/>
      <c r="AB106" s="2"/>
      <c r="AC106" s="2"/>
      <c r="AD106" s="2"/>
      <c r="AE106" s="2"/>
      <c r="AF106" s="2">
        <v>3</v>
      </c>
      <c r="AG106" s="2">
        <v>181</v>
      </c>
      <c r="AH106" s="2">
        <v>182</v>
      </c>
      <c r="AI106" s="2">
        <v>183</v>
      </c>
      <c r="AJ106" s="2"/>
      <c r="AK106" s="2"/>
      <c r="AL106" s="2"/>
      <c r="AM106" s="2"/>
      <c r="AN106" s="2"/>
      <c r="AO106" s="2"/>
      <c r="AP106" s="2"/>
      <c r="AQ106">
        <f t="shared" si="50"/>
        <v>0</v>
      </c>
      <c r="AR106">
        <f>IF(ISERROR(VLOOKUP(IF(O106=4,P106,IF(Q106=4,R106,0)),[4]D_任务!$A$2:$B$132,2,FALSE)),IF(O106=4,P106,IF(Q106=4,R106,0)),VLOOKUP(IF(O106=4,P106,IF(Q106=4,R106,0)),[4]D_任务!$A$2:$B$132,2,FALSE))</f>
        <v>0</v>
      </c>
      <c r="AS106" t="str">
        <f t="shared" si="30"/>
        <v>精英赏金猎手</v>
      </c>
      <c r="AT106">
        <f>VLOOKUP(A106,CHOOSE({1,2},[5]怪物信息表!$K$5:$K$76,[5]怪物信息表!$J$5:$J$76),2,FALSE)</f>
        <v>35</v>
      </c>
    </row>
    <row r="107" spans="1:46" x14ac:dyDescent="0.15">
      <c r="A107" s="2">
        <v>3206</v>
      </c>
      <c r="B107" s="2">
        <v>2</v>
      </c>
      <c r="C107" s="2">
        <v>3</v>
      </c>
      <c r="D107" s="9" t="s">
        <v>658</v>
      </c>
      <c r="E107" s="11">
        <f>IFERROR(VLOOKUP(C107,[3]副本规划!$W$20:$X$27,2,0),E106)</f>
        <v>10</v>
      </c>
      <c r="F107" s="2">
        <f>IFERROR(ROUNDUP(VLOOKUP(T107,CHOOSE({1,2},[5]D_怪物表!$I$1:$I$1120,[5]D_怪物表!$AH$1:$AH$1120),2,FALSE),0),0)</f>
        <v>11165</v>
      </c>
      <c r="G107" s="2">
        <v>1</v>
      </c>
      <c r="H107" s="2">
        <v>1</v>
      </c>
      <c r="I107" s="2">
        <v>6</v>
      </c>
      <c r="J107" s="2">
        <v>0</v>
      </c>
      <c r="K107" s="2">
        <v>0</v>
      </c>
      <c r="L107" s="2"/>
      <c r="M107" s="2">
        <f t="shared" si="51"/>
        <v>2</v>
      </c>
      <c r="N107" s="2">
        <v>1</v>
      </c>
      <c r="O107" s="2">
        <v>3</v>
      </c>
      <c r="P107" s="2">
        <f t="shared" si="53"/>
        <v>3205</v>
      </c>
      <c r="Q107" s="2">
        <v>3</v>
      </c>
      <c r="R107" s="2">
        <f t="shared" si="40"/>
        <v>3006</v>
      </c>
      <c r="S107" s="11">
        <f t="shared" si="57"/>
        <v>503206</v>
      </c>
      <c r="T107" s="11">
        <f t="shared" si="41"/>
        <v>236004</v>
      </c>
      <c r="U107" s="2">
        <v>3</v>
      </c>
      <c r="V107" s="14">
        <f t="shared" si="42"/>
        <v>236001</v>
      </c>
      <c r="W107" s="14">
        <f t="shared" si="43"/>
        <v>236002</v>
      </c>
      <c r="X107" s="14">
        <f t="shared" si="43"/>
        <v>236003</v>
      </c>
      <c r="Y107" s="2"/>
      <c r="Z107" s="2"/>
      <c r="AA107" s="2"/>
      <c r="AB107" s="2"/>
      <c r="AC107" s="2"/>
      <c r="AD107" s="2"/>
      <c r="AE107" s="2"/>
      <c r="AF107" s="2">
        <v>3</v>
      </c>
      <c r="AG107" s="2">
        <v>169</v>
      </c>
      <c r="AH107" s="2">
        <v>170</v>
      </c>
      <c r="AI107" s="2">
        <v>171</v>
      </c>
      <c r="AJ107" s="2"/>
      <c r="AK107" s="2"/>
      <c r="AL107" s="2"/>
      <c r="AM107" s="2"/>
      <c r="AN107" s="2"/>
      <c r="AO107" s="2"/>
      <c r="AP107" s="2"/>
      <c r="AQ107">
        <f t="shared" si="50"/>
        <v>0</v>
      </c>
      <c r="AR107">
        <f>IF(ISERROR(VLOOKUP(IF(O107=4,P107,IF(Q107=4,R107,0)),[4]D_任务!$A$2:$B$132,2,FALSE)),IF(O107=4,P107,IF(Q107=4,R107,0)),VLOOKUP(IF(O107=4,P107,IF(Q107=4,R107,0)),[4]D_任务!$A$2:$B$132,2,FALSE))</f>
        <v>0</v>
      </c>
      <c r="AS107" t="str">
        <f t="shared" si="30"/>
        <v>精英追杀者</v>
      </c>
      <c r="AT107">
        <f>VLOOKUP(A107,CHOOSE({1,2},[5]怪物信息表!$K$5:$K$76,[5]怪物信息表!$J$5:$J$76),2,FALSE)</f>
        <v>36</v>
      </c>
    </row>
    <row r="108" spans="1:46" x14ac:dyDescent="0.15">
      <c r="A108" s="2">
        <v>3207</v>
      </c>
      <c r="B108" s="2">
        <v>2</v>
      </c>
      <c r="C108" s="2">
        <v>3</v>
      </c>
      <c r="D108" s="9" t="s">
        <v>659</v>
      </c>
      <c r="E108" s="11">
        <f>IFERROR(VLOOKUP(C108,[3]副本规划!$W$20:$X$27,2,0),E107)</f>
        <v>10</v>
      </c>
      <c r="F108" s="2">
        <f>IFERROR(ROUNDUP(VLOOKUP(T108,CHOOSE({1,2},[5]D_怪物表!$I$1:$I$1120,[5]D_怪物表!$AH$1:$AH$1120),2,FALSE),0),0)</f>
        <v>12371</v>
      </c>
      <c r="G108" s="2">
        <v>1</v>
      </c>
      <c r="H108" s="2">
        <v>1</v>
      </c>
      <c r="I108" s="2">
        <v>6</v>
      </c>
      <c r="J108" s="2">
        <v>0</v>
      </c>
      <c r="K108" s="2">
        <v>0</v>
      </c>
      <c r="L108" s="2"/>
      <c r="M108" s="2">
        <f t="shared" ref="M108:M110" si="58">SUM(O108&gt;0,Q108&gt;0)</f>
        <v>2</v>
      </c>
      <c r="N108" s="2">
        <v>1</v>
      </c>
      <c r="O108" s="2">
        <v>3</v>
      </c>
      <c r="P108" s="2">
        <f t="shared" si="53"/>
        <v>3206</v>
      </c>
      <c r="Q108" s="2">
        <v>3</v>
      </c>
      <c r="R108" s="2">
        <f t="shared" ref="R108:R110" si="59">A108-200</f>
        <v>3007</v>
      </c>
      <c r="S108" s="11">
        <f t="shared" si="57"/>
        <v>503207</v>
      </c>
      <c r="T108" s="11">
        <f t="shared" si="41"/>
        <v>237004</v>
      </c>
      <c r="U108" s="2">
        <v>3</v>
      </c>
      <c r="V108" s="14">
        <f t="shared" si="42"/>
        <v>237001</v>
      </c>
      <c r="W108" s="14">
        <f t="shared" si="43"/>
        <v>237002</v>
      </c>
      <c r="X108" s="14">
        <f t="shared" si="43"/>
        <v>237003</v>
      </c>
      <c r="Y108" s="2"/>
      <c r="Z108" s="2"/>
      <c r="AA108" s="2"/>
      <c r="AB108" s="2"/>
      <c r="AC108" s="2"/>
      <c r="AD108" s="2"/>
      <c r="AE108" s="2"/>
      <c r="AF108" s="2">
        <v>3</v>
      </c>
      <c r="AG108" s="2">
        <v>181</v>
      </c>
      <c r="AH108" s="2">
        <v>182</v>
      </c>
      <c r="AI108" s="2">
        <v>183</v>
      </c>
      <c r="AJ108" s="2"/>
      <c r="AK108" s="2"/>
      <c r="AL108" s="2"/>
      <c r="AM108" s="2"/>
      <c r="AN108" s="2"/>
      <c r="AO108" s="2"/>
      <c r="AP108" s="2"/>
      <c r="AQ108">
        <f t="shared" ref="AQ108:AQ110" si="60">IF(O108=1,P108,IF(Q108=1,R108,0))</f>
        <v>0</v>
      </c>
      <c r="AR108">
        <f>IF(ISERROR(VLOOKUP(IF(O108=4,P108,IF(Q108=4,R108,0)),[4]D_任务!$A$2:$B$132,2,FALSE)),IF(O108=4,P108,IF(Q108=4,R108,0)),VLOOKUP(IF(O108=4,P108,IF(Q108=4,R108,0)),[4]D_任务!$A$2:$B$132,2,FALSE))</f>
        <v>0</v>
      </c>
      <c r="AS108" t="str">
        <f t="shared" si="30"/>
        <v>精英弹药守卫</v>
      </c>
      <c r="AT108">
        <f>VLOOKUP(A108,CHOOSE({1,2},[5]怪物信息表!$K$5:$K$76,[5]怪物信息表!$J$5:$J$76),2,FALSE)</f>
        <v>37</v>
      </c>
    </row>
    <row r="109" spans="1:46" x14ac:dyDescent="0.15">
      <c r="A109" s="2">
        <v>3208</v>
      </c>
      <c r="B109" s="2">
        <v>2</v>
      </c>
      <c r="C109" s="2">
        <v>3</v>
      </c>
      <c r="D109" s="9" t="s">
        <v>660</v>
      </c>
      <c r="E109" s="11">
        <f>IFERROR(VLOOKUP(C109,[3]副本规划!$W$20:$X$27,2,0),E108)</f>
        <v>10</v>
      </c>
      <c r="F109" s="2">
        <f>IFERROR(ROUNDUP(VLOOKUP(T109,CHOOSE({1,2},[5]D_怪物表!$I$1:$I$1120,[5]D_怪物表!$AH$1:$AH$1120),2,FALSE),0),0)</f>
        <v>13895</v>
      </c>
      <c r="G109" s="2">
        <v>1</v>
      </c>
      <c r="H109" s="2">
        <v>1</v>
      </c>
      <c r="I109" s="2">
        <v>6</v>
      </c>
      <c r="J109" s="2">
        <v>0</v>
      </c>
      <c r="K109" s="2">
        <v>0</v>
      </c>
      <c r="L109" s="2"/>
      <c r="M109" s="2">
        <f t="shared" si="58"/>
        <v>2</v>
      </c>
      <c r="N109" s="2">
        <v>1</v>
      </c>
      <c r="O109" s="2">
        <v>3</v>
      </c>
      <c r="P109" s="2">
        <f t="shared" si="53"/>
        <v>3207</v>
      </c>
      <c r="Q109" s="2">
        <v>3</v>
      </c>
      <c r="R109" s="2">
        <f t="shared" si="59"/>
        <v>3008</v>
      </c>
      <c r="S109" s="11">
        <f t="shared" ref="S109:S110" si="61">50*10000+A109</f>
        <v>503208</v>
      </c>
      <c r="T109" s="11">
        <f t="shared" si="41"/>
        <v>238004</v>
      </c>
      <c r="U109" s="2">
        <v>3</v>
      </c>
      <c r="V109" s="14">
        <f t="shared" si="42"/>
        <v>238001</v>
      </c>
      <c r="W109" s="14">
        <f t="shared" si="43"/>
        <v>238002</v>
      </c>
      <c r="X109" s="14">
        <f t="shared" si="43"/>
        <v>238003</v>
      </c>
      <c r="Y109" s="2"/>
      <c r="Z109" s="2"/>
      <c r="AA109" s="2"/>
      <c r="AB109" s="2"/>
      <c r="AC109" s="2"/>
      <c r="AD109" s="2"/>
      <c r="AE109" s="2"/>
      <c r="AF109" s="2">
        <v>3</v>
      </c>
      <c r="AG109" s="2">
        <v>252</v>
      </c>
      <c r="AH109" s="2">
        <v>253</v>
      </c>
      <c r="AI109" s="2">
        <v>254</v>
      </c>
      <c r="AJ109" s="2"/>
      <c r="AK109" s="2"/>
      <c r="AL109" s="2"/>
      <c r="AM109" s="2"/>
      <c r="AN109" s="2"/>
      <c r="AO109" s="2"/>
      <c r="AP109" s="2"/>
      <c r="AQ109">
        <f t="shared" si="60"/>
        <v>0</v>
      </c>
      <c r="AR109">
        <f>IF(ISERROR(VLOOKUP(IF(O109=4,P109,IF(Q109=4,R109,0)),[4]D_任务!$A$2:$B$132,2,FALSE)),IF(O109=4,P109,IF(Q109=4,R109,0)),VLOOKUP(IF(O109=4,P109,IF(Q109=4,R109,0)),[4]D_任务!$A$2:$B$132,2,FALSE))</f>
        <v>0</v>
      </c>
      <c r="AS109" t="str">
        <f t="shared" si="30"/>
        <v>精英人质看守</v>
      </c>
      <c r="AT109">
        <f>VLOOKUP(A109,CHOOSE({1,2},[5]怪物信息表!$K$5:$K$76,[5]怪物信息表!$J$5:$J$76),2,FALSE)</f>
        <v>38</v>
      </c>
    </row>
    <row r="110" spans="1:46" x14ac:dyDescent="0.15">
      <c r="A110" s="2">
        <v>3209</v>
      </c>
      <c r="B110" s="2">
        <v>2</v>
      </c>
      <c r="C110" s="2">
        <v>3</v>
      </c>
      <c r="D110" s="9" t="s">
        <v>96</v>
      </c>
      <c r="E110" s="11">
        <f>IFERROR(VLOOKUP(C110,[3]副本规划!$W$20:$X$27,2,0),E109)</f>
        <v>10</v>
      </c>
      <c r="F110" s="2">
        <f>IFERROR(ROUNDUP(VLOOKUP(T110,CHOOSE({1,2},[5]D_怪物表!$I$1:$I$1120,[5]D_怪物表!$AH$1:$AH$1120),2,FALSE),0),0)</f>
        <v>15315</v>
      </c>
      <c r="G110" s="2">
        <v>1</v>
      </c>
      <c r="H110" s="2">
        <v>1</v>
      </c>
      <c r="I110" s="2">
        <v>6</v>
      </c>
      <c r="J110" s="2">
        <v>0</v>
      </c>
      <c r="K110" s="2">
        <v>0</v>
      </c>
      <c r="L110" s="2"/>
      <c r="M110" s="2">
        <f t="shared" si="58"/>
        <v>2</v>
      </c>
      <c r="N110" s="2">
        <v>1</v>
      </c>
      <c r="O110" s="2">
        <v>3</v>
      </c>
      <c r="P110" s="2">
        <f t="shared" si="53"/>
        <v>3208</v>
      </c>
      <c r="Q110" s="2">
        <v>3</v>
      </c>
      <c r="R110" s="2">
        <f t="shared" si="59"/>
        <v>3009</v>
      </c>
      <c r="S110" s="11">
        <f t="shared" si="61"/>
        <v>503209</v>
      </c>
      <c r="T110" s="11">
        <f t="shared" si="41"/>
        <v>239004</v>
      </c>
      <c r="U110" s="2">
        <v>3</v>
      </c>
      <c r="V110" s="14">
        <f t="shared" si="42"/>
        <v>239001</v>
      </c>
      <c r="W110" s="14">
        <f t="shared" si="43"/>
        <v>239002</v>
      </c>
      <c r="X110" s="14">
        <f t="shared" si="43"/>
        <v>239003</v>
      </c>
      <c r="Y110" s="2"/>
      <c r="Z110" s="2"/>
      <c r="AA110" s="2"/>
      <c r="AB110" s="2"/>
      <c r="AC110" s="2"/>
      <c r="AD110" s="2"/>
      <c r="AE110" s="2"/>
      <c r="AF110" s="2">
        <v>3</v>
      </c>
      <c r="AG110" s="2">
        <v>169</v>
      </c>
      <c r="AH110" s="2">
        <v>170</v>
      </c>
      <c r="AI110" s="2">
        <v>171</v>
      </c>
      <c r="AJ110" s="2"/>
      <c r="AK110" s="2"/>
      <c r="AL110" s="2"/>
      <c r="AM110" s="2"/>
      <c r="AN110" s="2"/>
      <c r="AO110" s="2"/>
      <c r="AP110" s="2"/>
      <c r="AQ110">
        <f t="shared" si="60"/>
        <v>0</v>
      </c>
      <c r="AR110">
        <f>IF(ISERROR(VLOOKUP(IF(O110=4,P110,IF(Q110=4,R110,0)),[4]D_任务!$A$2:$B$132,2,FALSE)),IF(O110=4,P110,IF(Q110=4,R110,0)),VLOOKUP(IF(O110=4,P110,IF(Q110=4,R110,0)),[4]D_任务!$A$2:$B$132,2,FALSE))</f>
        <v>0</v>
      </c>
      <c r="AS110" t="str">
        <f t="shared" si="30"/>
        <v>精英乌鸦心腹</v>
      </c>
      <c r="AT110">
        <f>VLOOKUP(A110,CHOOSE({1,2},[5]怪物信息表!$K$5:$K$76,[5]怪物信息表!$J$5:$J$76),2,FALSE)</f>
        <v>39</v>
      </c>
    </row>
    <row r="111" spans="1:46" x14ac:dyDescent="0.15">
      <c r="A111" s="2">
        <v>4201</v>
      </c>
      <c r="B111" s="2">
        <v>2</v>
      </c>
      <c r="C111" s="2">
        <v>4</v>
      </c>
      <c r="D111" s="9" t="s">
        <v>560</v>
      </c>
      <c r="E111" s="11">
        <f>IFERROR(VLOOKUP(C111,[3]副本规划!$W$20:$X$27,2,0),E107)</f>
        <v>12</v>
      </c>
      <c r="F111" s="2">
        <f>IFERROR(ROUNDUP(VLOOKUP(T111,CHOOSE({1,2},[5]D_怪物表!$I$1:$I$1120,[5]D_怪物表!$AH$1:$AH$1120),2,FALSE),0),0)</f>
        <v>14949</v>
      </c>
      <c r="G111" s="2">
        <v>1</v>
      </c>
      <c r="H111" s="2">
        <v>1</v>
      </c>
      <c r="I111" s="2">
        <v>6</v>
      </c>
      <c r="J111" s="2">
        <v>0</v>
      </c>
      <c r="K111" s="2">
        <v>0</v>
      </c>
      <c r="L111" s="2"/>
      <c r="M111" s="2">
        <f t="shared" si="51"/>
        <v>2</v>
      </c>
      <c r="N111" s="2">
        <v>1</v>
      </c>
      <c r="O111" s="2">
        <v>3</v>
      </c>
      <c r="P111" s="2">
        <f t="shared" si="53"/>
        <v>3209</v>
      </c>
      <c r="Q111" s="2">
        <v>3</v>
      </c>
      <c r="R111" s="2">
        <f t="shared" si="40"/>
        <v>4001</v>
      </c>
      <c r="S111" s="11">
        <f t="shared" si="57"/>
        <v>504201</v>
      </c>
      <c r="T111" s="11">
        <f t="shared" si="41"/>
        <v>241004</v>
      </c>
      <c r="U111" s="2">
        <v>3</v>
      </c>
      <c r="V111" s="14">
        <f t="shared" si="42"/>
        <v>241001</v>
      </c>
      <c r="W111" s="14">
        <f t="shared" si="43"/>
        <v>241002</v>
      </c>
      <c r="X111" s="14">
        <f t="shared" si="43"/>
        <v>241003</v>
      </c>
      <c r="Y111" s="2"/>
      <c r="Z111" s="2"/>
      <c r="AA111" s="2"/>
      <c r="AB111" s="2"/>
      <c r="AC111" s="2"/>
      <c r="AD111" s="2"/>
      <c r="AE111" s="2"/>
      <c r="AF111" s="2">
        <v>3</v>
      </c>
      <c r="AG111" s="2">
        <v>132</v>
      </c>
      <c r="AH111" s="2">
        <v>133</v>
      </c>
      <c r="AI111" s="2">
        <v>134</v>
      </c>
      <c r="AJ111" s="2"/>
      <c r="AK111" s="2"/>
      <c r="AL111" s="2"/>
      <c r="AM111" s="2"/>
      <c r="AN111" s="2"/>
      <c r="AO111" s="2"/>
      <c r="AP111" s="2"/>
      <c r="AQ111">
        <f t="shared" si="50"/>
        <v>0</v>
      </c>
      <c r="AR111">
        <f>IF(ISERROR(VLOOKUP(IF(O111=4,P111,IF(Q111=4,R111,0)),[4]D_任务!$A$2:$B$132,2,FALSE)),IF(O111=4,P111,IF(Q111=4,R111,0)),VLOOKUP(IF(O111=4,P111,IF(Q111=4,R111,0)),[4]D_任务!$A$2:$B$132,2,FALSE))</f>
        <v>0</v>
      </c>
      <c r="AS111" t="str">
        <f t="shared" si="30"/>
        <v>精英乌鸦</v>
      </c>
      <c r="AT111">
        <f>VLOOKUP(A111,CHOOSE({1,2},[5]怪物信息表!$K$5:$K$76,[5]怪物信息表!$J$5:$J$76),2,FALSE)</f>
        <v>40</v>
      </c>
    </row>
    <row r="112" spans="1:46" x14ac:dyDescent="0.15">
      <c r="A112" s="2">
        <v>4202</v>
      </c>
      <c r="B112" s="2">
        <v>2</v>
      </c>
      <c r="C112" s="2">
        <v>4</v>
      </c>
      <c r="D112" s="9" t="s">
        <v>561</v>
      </c>
      <c r="E112" s="11">
        <f>IFERROR(VLOOKUP(C112,[3]副本规划!$W$20:$X$27,2,0),E111)</f>
        <v>12</v>
      </c>
      <c r="F112" s="2">
        <f>IFERROR(ROUNDUP(VLOOKUP(T112,CHOOSE({1,2},[5]D_怪物表!$I$1:$I$1120,[5]D_怪物表!$AH$1:$AH$1120),2,FALSE),0),0)</f>
        <v>16603</v>
      </c>
      <c r="G112" s="2">
        <v>1</v>
      </c>
      <c r="H112" s="2">
        <v>1</v>
      </c>
      <c r="I112" s="2">
        <v>6</v>
      </c>
      <c r="J112" s="2">
        <v>0</v>
      </c>
      <c r="K112" s="2">
        <v>0</v>
      </c>
      <c r="L112" s="2"/>
      <c r="M112" s="2">
        <f t="shared" si="51"/>
        <v>2</v>
      </c>
      <c r="N112" s="2">
        <v>1</v>
      </c>
      <c r="O112" s="2">
        <v>3</v>
      </c>
      <c r="P112" s="2">
        <f t="shared" si="53"/>
        <v>4201</v>
      </c>
      <c r="Q112" s="2">
        <v>3</v>
      </c>
      <c r="R112" s="2">
        <f t="shared" si="40"/>
        <v>4002</v>
      </c>
      <c r="S112" s="11">
        <f t="shared" si="57"/>
        <v>504202</v>
      </c>
      <c r="T112" s="11">
        <f t="shared" si="41"/>
        <v>242004</v>
      </c>
      <c r="U112" s="2">
        <v>3</v>
      </c>
      <c r="V112" s="14">
        <f t="shared" si="42"/>
        <v>242001</v>
      </c>
      <c r="W112" s="14">
        <f t="shared" si="43"/>
        <v>242002</v>
      </c>
      <c r="X112" s="14">
        <f t="shared" si="43"/>
        <v>242003</v>
      </c>
      <c r="Y112" s="2"/>
      <c r="Z112" s="2"/>
      <c r="AA112" s="2"/>
      <c r="AB112" s="2"/>
      <c r="AC112" s="2"/>
      <c r="AD112" s="2"/>
      <c r="AE112" s="2"/>
      <c r="AF112" s="2">
        <v>3</v>
      </c>
      <c r="AG112" s="2">
        <v>119</v>
      </c>
      <c r="AH112" s="2">
        <v>120</v>
      </c>
      <c r="AI112" s="2">
        <v>121</v>
      </c>
      <c r="AJ112" s="2"/>
      <c r="AK112" s="2"/>
      <c r="AL112" s="2"/>
      <c r="AM112" s="2"/>
      <c r="AN112" s="2"/>
      <c r="AO112" s="2"/>
      <c r="AP112" s="2"/>
      <c r="AQ112">
        <f t="shared" si="50"/>
        <v>0</v>
      </c>
      <c r="AR112">
        <f>IF(ISERROR(VLOOKUP(IF(O112=4,P112,IF(Q112=4,R112,0)),[4]D_任务!$A$2:$B$132,2,FALSE)),IF(O112=4,P112,IF(Q112=4,R112,0)),VLOOKUP(IF(O112=4,P112,IF(Q112=4,R112,0)),[4]D_任务!$A$2:$B$132,2,FALSE))</f>
        <v>0</v>
      </c>
      <c r="AS112" t="str">
        <f t="shared" si="30"/>
        <v>精英袭击者</v>
      </c>
      <c r="AT112">
        <f>VLOOKUP(A112,CHOOSE({1,2},[5]怪物信息表!$K$5:$K$76,[5]怪物信息表!$J$5:$J$76),2,FALSE)</f>
        <v>41</v>
      </c>
    </row>
    <row r="113" spans="1:46" x14ac:dyDescent="0.15">
      <c r="A113" s="2">
        <v>4203</v>
      </c>
      <c r="B113" s="2">
        <v>2</v>
      </c>
      <c r="C113" s="2">
        <v>4</v>
      </c>
      <c r="D113" s="9" t="s">
        <v>562</v>
      </c>
      <c r="E113" s="11">
        <f>IFERROR(VLOOKUP(C113,[3]副本规划!$W$20:$X$27,2,0),E112)</f>
        <v>12</v>
      </c>
      <c r="F113" s="2">
        <f>IFERROR(ROUNDUP(VLOOKUP(T113,CHOOSE({1,2},[5]D_怪物表!$I$1:$I$1120,[5]D_怪物表!$AH$1:$AH$1120),2,FALSE),0),0)</f>
        <v>18420</v>
      </c>
      <c r="G113" s="2">
        <v>1</v>
      </c>
      <c r="H113" s="2">
        <v>1</v>
      </c>
      <c r="I113" s="2">
        <v>6</v>
      </c>
      <c r="J113" s="2">
        <v>0</v>
      </c>
      <c r="K113" s="2">
        <v>0</v>
      </c>
      <c r="L113" s="2"/>
      <c r="M113" s="2">
        <f t="shared" si="51"/>
        <v>2</v>
      </c>
      <c r="N113" s="2">
        <v>1</v>
      </c>
      <c r="O113" s="2">
        <v>3</v>
      </c>
      <c r="P113" s="2">
        <f t="shared" si="53"/>
        <v>4202</v>
      </c>
      <c r="Q113" s="2">
        <v>3</v>
      </c>
      <c r="R113" s="2">
        <f t="shared" si="40"/>
        <v>4003</v>
      </c>
      <c r="S113" s="11">
        <f t="shared" si="57"/>
        <v>504203</v>
      </c>
      <c r="T113" s="11">
        <f t="shared" si="41"/>
        <v>243004</v>
      </c>
      <c r="U113" s="2">
        <v>3</v>
      </c>
      <c r="V113" s="14">
        <f t="shared" si="42"/>
        <v>243001</v>
      </c>
      <c r="W113" s="14">
        <f t="shared" si="43"/>
        <v>243002</v>
      </c>
      <c r="X113" s="14">
        <f t="shared" si="43"/>
        <v>243003</v>
      </c>
      <c r="Y113" s="2"/>
      <c r="Z113" s="2"/>
      <c r="AA113" s="2"/>
      <c r="AB113" s="2"/>
      <c r="AC113" s="2"/>
      <c r="AD113" s="2"/>
      <c r="AE113" s="2"/>
      <c r="AF113" s="2">
        <v>3</v>
      </c>
      <c r="AG113" s="2">
        <v>124</v>
      </c>
      <c r="AH113" s="2">
        <v>125</v>
      </c>
      <c r="AI113" s="2">
        <v>126</v>
      </c>
      <c r="AJ113" s="2"/>
      <c r="AK113" s="2"/>
      <c r="AL113" s="2"/>
      <c r="AM113" s="2"/>
      <c r="AN113" s="2"/>
      <c r="AO113" s="2"/>
      <c r="AP113" s="2"/>
      <c r="AQ113">
        <f t="shared" si="50"/>
        <v>0</v>
      </c>
      <c r="AR113">
        <f>IF(ISERROR(VLOOKUP(IF(O113=4,P113,IF(Q113=4,R113,0)),[4]D_任务!$A$2:$B$132,2,FALSE)),IF(O113=4,P113,IF(Q113=4,R113,0)),VLOOKUP(IF(O113=4,P113,IF(Q113=4,R113,0)),[4]D_任务!$A$2:$B$132,2,FALSE))</f>
        <v>0</v>
      </c>
      <c r="AS113" t="str">
        <f t="shared" si="30"/>
        <v>精英生番手下</v>
      </c>
      <c r="AT113">
        <f>VLOOKUP(A113,CHOOSE({1,2},[5]怪物信息表!$K$5:$K$76,[5]怪物信息表!$J$5:$J$76),2,FALSE)</f>
        <v>42</v>
      </c>
    </row>
    <row r="114" spans="1:46" x14ac:dyDescent="0.15">
      <c r="A114" s="2">
        <v>4204</v>
      </c>
      <c r="B114" s="2">
        <v>2</v>
      </c>
      <c r="C114" s="2">
        <v>4</v>
      </c>
      <c r="D114" s="9" t="s">
        <v>661</v>
      </c>
      <c r="E114" s="11">
        <f>IFERROR(VLOOKUP(C114,[3]副本规划!$W$20:$X$27,2,0),E113)</f>
        <v>12</v>
      </c>
      <c r="F114" s="2">
        <f>IFERROR(ROUNDUP(VLOOKUP(T114,CHOOSE({1,2},[5]D_怪物表!$I$1:$I$1120,[5]D_怪物表!$AH$1:$AH$1120),2,FALSE),0),0)</f>
        <v>20401</v>
      </c>
      <c r="G114" s="2">
        <v>1</v>
      </c>
      <c r="H114" s="2">
        <v>1</v>
      </c>
      <c r="I114" s="2">
        <v>6</v>
      </c>
      <c r="J114" s="2">
        <v>0</v>
      </c>
      <c r="K114" s="2">
        <v>0</v>
      </c>
      <c r="L114" s="2"/>
      <c r="M114" s="2">
        <f t="shared" si="51"/>
        <v>2</v>
      </c>
      <c r="N114" s="2">
        <v>1</v>
      </c>
      <c r="O114" s="2">
        <v>3</v>
      </c>
      <c r="P114" s="2">
        <f t="shared" si="53"/>
        <v>4203</v>
      </c>
      <c r="Q114" s="2">
        <v>3</v>
      </c>
      <c r="R114" s="2">
        <f t="shared" si="40"/>
        <v>4004</v>
      </c>
      <c r="S114" s="11">
        <f t="shared" si="57"/>
        <v>504204</v>
      </c>
      <c r="T114" s="11">
        <f t="shared" si="41"/>
        <v>244004</v>
      </c>
      <c r="U114" s="2">
        <v>3</v>
      </c>
      <c r="V114" s="14">
        <f t="shared" si="42"/>
        <v>244001</v>
      </c>
      <c r="W114" s="14">
        <f t="shared" si="43"/>
        <v>244002</v>
      </c>
      <c r="X114" s="14">
        <f t="shared" si="43"/>
        <v>244003</v>
      </c>
      <c r="Y114" s="2"/>
      <c r="Z114" s="2"/>
      <c r="AA114" s="2"/>
      <c r="AB114" s="2"/>
      <c r="AC114" s="2"/>
      <c r="AD114" s="2"/>
      <c r="AE114" s="2"/>
      <c r="AF114" s="2">
        <v>3</v>
      </c>
      <c r="AG114" s="2">
        <v>159</v>
      </c>
      <c r="AH114" s="2">
        <v>160</v>
      </c>
      <c r="AI114" s="2">
        <v>161</v>
      </c>
      <c r="AJ114" s="2"/>
      <c r="AK114" s="2"/>
      <c r="AL114" s="2"/>
      <c r="AM114" s="2"/>
      <c r="AN114" s="2"/>
      <c r="AO114" s="2"/>
      <c r="AP114" s="2"/>
      <c r="AQ114">
        <f t="shared" si="50"/>
        <v>0</v>
      </c>
      <c r="AR114">
        <f>IF(ISERROR(VLOOKUP(IF(O114=4,P114,IF(Q114=4,R114,0)),[4]D_任务!$A$2:$B$132,2,FALSE)),IF(O114=4,P114,IF(Q114=4,R114,0)),VLOOKUP(IF(O114=4,P114,IF(Q114=4,R114,0)),[4]D_任务!$A$2:$B$132,2,FALSE))</f>
        <v>0</v>
      </c>
      <c r="AS114" t="str">
        <f t="shared" si="30"/>
        <v>精英混混头目</v>
      </c>
      <c r="AT114">
        <f>VLOOKUP(A114,CHOOSE({1,2},[5]怪物信息表!$K$5:$K$76,[5]怪物信息表!$J$5:$J$76),2,FALSE)</f>
        <v>43</v>
      </c>
    </row>
    <row r="115" spans="1:46" x14ac:dyDescent="0.15">
      <c r="A115" s="2">
        <v>4205</v>
      </c>
      <c r="B115" s="2">
        <v>2</v>
      </c>
      <c r="C115" s="2">
        <v>4</v>
      </c>
      <c r="D115" s="9" t="s">
        <v>662</v>
      </c>
      <c r="E115" s="11">
        <f>IFERROR(VLOOKUP(C115,[3]副本规划!$W$20:$X$27,2,0),E114)</f>
        <v>12</v>
      </c>
      <c r="F115" s="2">
        <f>IFERROR(ROUNDUP(VLOOKUP(T115,CHOOSE({1,2},[5]D_怪物表!$I$1:$I$1120,[5]D_怪物表!$AH$1:$AH$1120),2,FALSE),0),0)</f>
        <v>22512</v>
      </c>
      <c r="G115" s="2">
        <v>1</v>
      </c>
      <c r="H115" s="2">
        <v>1</v>
      </c>
      <c r="I115" s="2">
        <v>6</v>
      </c>
      <c r="J115" s="2">
        <v>0</v>
      </c>
      <c r="K115" s="2">
        <v>0</v>
      </c>
      <c r="L115" s="2"/>
      <c r="M115" s="2">
        <f t="shared" si="51"/>
        <v>2</v>
      </c>
      <c r="N115" s="2">
        <v>1</v>
      </c>
      <c r="O115" s="2">
        <v>3</v>
      </c>
      <c r="P115" s="2">
        <f t="shared" si="53"/>
        <v>4204</v>
      </c>
      <c r="Q115" s="2">
        <v>3</v>
      </c>
      <c r="R115" s="2">
        <f t="shared" si="40"/>
        <v>4005</v>
      </c>
      <c r="S115" s="11">
        <f t="shared" si="57"/>
        <v>504205</v>
      </c>
      <c r="T115" s="11">
        <f t="shared" si="41"/>
        <v>245004</v>
      </c>
      <c r="U115" s="2">
        <v>3</v>
      </c>
      <c r="V115" s="14">
        <f t="shared" si="42"/>
        <v>245001</v>
      </c>
      <c r="W115" s="14">
        <f t="shared" si="43"/>
        <v>245002</v>
      </c>
      <c r="X115" s="14">
        <f t="shared" si="43"/>
        <v>245003</v>
      </c>
      <c r="Y115" s="2"/>
      <c r="Z115" s="2"/>
      <c r="AA115" s="2"/>
      <c r="AB115" s="2"/>
      <c r="AC115" s="2"/>
      <c r="AD115" s="2"/>
      <c r="AE115" s="2"/>
      <c r="AF115" s="2">
        <v>3</v>
      </c>
      <c r="AG115" s="2">
        <v>110</v>
      </c>
      <c r="AH115" s="2">
        <v>111</v>
      </c>
      <c r="AI115" s="2">
        <v>112</v>
      </c>
      <c r="AJ115" s="2"/>
      <c r="AK115" s="2"/>
      <c r="AL115" s="2"/>
      <c r="AM115" s="2"/>
      <c r="AN115" s="2"/>
      <c r="AO115" s="2"/>
      <c r="AP115" s="2"/>
      <c r="AQ115">
        <f t="shared" si="50"/>
        <v>0</v>
      </c>
      <c r="AR115">
        <f>IF(ISERROR(VLOOKUP(IF(O115=4,P115,IF(Q115=4,R115,0)),[4]D_任务!$A$2:$B$132,2,FALSE)),IF(O115=4,P115,IF(Q115=4,R115,0)),VLOOKUP(IF(O115=4,P115,IF(Q115=4,R115,0)),[4]D_任务!$A$2:$B$132,2,FALSE))</f>
        <v>0</v>
      </c>
      <c r="AS115" t="str">
        <f t="shared" si="30"/>
        <v>精英黑星</v>
      </c>
      <c r="AT115">
        <f>VLOOKUP(A115,CHOOSE({1,2},[5]怪物信息表!$K$5:$K$76,[5]怪物信息表!$J$5:$J$76),2,FALSE)</f>
        <v>44</v>
      </c>
    </row>
    <row r="116" spans="1:46" x14ac:dyDescent="0.15">
      <c r="A116" s="2">
        <v>4206</v>
      </c>
      <c r="B116" s="2">
        <v>2</v>
      </c>
      <c r="C116" s="2">
        <v>4</v>
      </c>
      <c r="D116" s="9" t="s">
        <v>663</v>
      </c>
      <c r="E116" s="11">
        <f>IFERROR(VLOOKUP(C116,[3]副本规划!$W$20:$X$27,2,0),E115)</f>
        <v>12</v>
      </c>
      <c r="F116" s="2">
        <f>IFERROR(ROUNDUP(VLOOKUP(T116,CHOOSE({1,2},[5]D_怪物表!$I$1:$I$1120,[5]D_怪物表!$AH$1:$AH$1120),2,FALSE),0),0)</f>
        <v>24830</v>
      </c>
      <c r="G116" s="2">
        <v>1</v>
      </c>
      <c r="H116" s="2">
        <v>1</v>
      </c>
      <c r="I116" s="2">
        <v>6</v>
      </c>
      <c r="J116" s="2">
        <v>0</v>
      </c>
      <c r="K116" s="2">
        <v>0</v>
      </c>
      <c r="L116" s="2"/>
      <c r="M116" s="2">
        <f t="shared" si="51"/>
        <v>2</v>
      </c>
      <c r="N116" s="2">
        <v>1</v>
      </c>
      <c r="O116" s="2">
        <v>3</v>
      </c>
      <c r="P116" s="2">
        <f t="shared" si="53"/>
        <v>4205</v>
      </c>
      <c r="Q116" s="2">
        <v>3</v>
      </c>
      <c r="R116" s="2">
        <f t="shared" si="40"/>
        <v>4006</v>
      </c>
      <c r="S116" s="11">
        <f t="shared" si="57"/>
        <v>504206</v>
      </c>
      <c r="T116" s="11">
        <f t="shared" si="41"/>
        <v>246004</v>
      </c>
      <c r="U116" s="2">
        <v>3</v>
      </c>
      <c r="V116" s="14">
        <f t="shared" si="42"/>
        <v>246001</v>
      </c>
      <c r="W116" s="14">
        <f t="shared" si="43"/>
        <v>246002</v>
      </c>
      <c r="X116" s="14">
        <f t="shared" si="43"/>
        <v>246003</v>
      </c>
      <c r="Y116" s="2"/>
      <c r="Z116" s="2"/>
      <c r="AA116" s="2"/>
      <c r="AB116" s="2"/>
      <c r="AC116" s="2"/>
      <c r="AD116" s="2"/>
      <c r="AE116" s="2"/>
      <c r="AF116" s="2">
        <v>3</v>
      </c>
      <c r="AG116" s="2">
        <v>125</v>
      </c>
      <c r="AH116" s="2">
        <v>126</v>
      </c>
      <c r="AI116" s="2">
        <v>127</v>
      </c>
      <c r="AJ116" s="2"/>
      <c r="AK116" s="2"/>
      <c r="AL116" s="2"/>
      <c r="AM116" s="2"/>
      <c r="AN116" s="2"/>
      <c r="AO116" s="2"/>
      <c r="AP116" s="2"/>
      <c r="AQ116">
        <f t="shared" si="50"/>
        <v>0</v>
      </c>
      <c r="AR116">
        <f>IF(ISERROR(VLOOKUP(IF(O116=4,P116,IF(Q116=4,R116,0)),[4]D_任务!$A$2:$B$132,2,FALSE)),IF(O116=4,P116,IF(Q116=4,R116,0)),VLOOKUP(IF(O116=4,P116,IF(Q116=4,R116,0)),[4]D_任务!$A$2:$B$132,2,FALSE))</f>
        <v>0</v>
      </c>
      <c r="AS116" t="str">
        <f t="shared" si="30"/>
        <v>精英生番</v>
      </c>
      <c r="AT116">
        <f>VLOOKUP(A116,CHOOSE({1,2},[5]怪物信息表!$K$5:$K$76,[5]怪物信息表!$J$5:$J$76),2,FALSE)</f>
        <v>45</v>
      </c>
    </row>
    <row r="117" spans="1:46" x14ac:dyDescent="0.15">
      <c r="A117" s="2">
        <v>4207</v>
      </c>
      <c r="B117" s="2">
        <v>2</v>
      </c>
      <c r="C117" s="2">
        <v>4</v>
      </c>
      <c r="D117" s="9" t="s">
        <v>664</v>
      </c>
      <c r="E117" s="11">
        <f>IFERROR(VLOOKUP(C117,[3]副本规划!$W$20:$X$27,2,0),E116)</f>
        <v>12</v>
      </c>
      <c r="F117" s="2">
        <f>IFERROR(ROUNDUP(VLOOKUP(T117,CHOOSE({1,2},[5]D_怪物表!$I$1:$I$1120,[5]D_怪物表!$AH$1:$AH$1120),2,FALSE),0),0)</f>
        <v>27251</v>
      </c>
      <c r="G117" s="2">
        <v>1</v>
      </c>
      <c r="H117" s="2">
        <v>1</v>
      </c>
      <c r="I117" s="2">
        <v>6</v>
      </c>
      <c r="J117" s="2">
        <v>0</v>
      </c>
      <c r="K117" s="2">
        <v>0</v>
      </c>
      <c r="L117" s="2"/>
      <c r="M117" s="2">
        <f t="shared" ref="M117:M119" si="62">SUM(O117&gt;0,Q117&gt;0)</f>
        <v>2</v>
      </c>
      <c r="N117" s="2">
        <v>1</v>
      </c>
      <c r="O117" s="2">
        <v>3</v>
      </c>
      <c r="P117" s="2">
        <f t="shared" si="53"/>
        <v>4206</v>
      </c>
      <c r="Q117" s="2">
        <v>3</v>
      </c>
      <c r="R117" s="2">
        <f t="shared" ref="R117:R119" si="63">A117-200</f>
        <v>4007</v>
      </c>
      <c r="S117" s="11">
        <f t="shared" ref="S117:S119" si="64">50*10000+A117</f>
        <v>504207</v>
      </c>
      <c r="T117" s="11">
        <f t="shared" si="41"/>
        <v>247004</v>
      </c>
      <c r="U117" s="2">
        <v>3</v>
      </c>
      <c r="V117" s="14">
        <f t="shared" si="42"/>
        <v>247001</v>
      </c>
      <c r="W117" s="14">
        <f t="shared" si="43"/>
        <v>247002</v>
      </c>
      <c r="X117" s="14">
        <f t="shared" si="43"/>
        <v>247003</v>
      </c>
      <c r="Y117" s="2"/>
      <c r="Z117" s="2"/>
      <c r="AA117" s="2"/>
      <c r="AB117" s="2"/>
      <c r="AC117" s="2"/>
      <c r="AD117" s="2"/>
      <c r="AE117" s="2"/>
      <c r="AF117" s="2">
        <v>3</v>
      </c>
      <c r="AG117" s="2">
        <v>159</v>
      </c>
      <c r="AH117" s="2">
        <v>160</v>
      </c>
      <c r="AI117" s="2">
        <v>161</v>
      </c>
      <c r="AJ117" s="2"/>
      <c r="AK117" s="2"/>
      <c r="AL117" s="2"/>
      <c r="AM117" s="2"/>
      <c r="AN117" s="2"/>
      <c r="AO117" s="2"/>
      <c r="AP117" s="2"/>
      <c r="AQ117">
        <f t="shared" ref="AQ117:AQ119" si="65">IF(O117=1,P117,IF(Q117=1,R117,0))</f>
        <v>0</v>
      </c>
      <c r="AR117">
        <f>IF(ISERROR(VLOOKUP(IF(O117=4,P117,IF(Q117=4,R117,0)),[4]D_任务!$A$2:$B$132,2,FALSE)),IF(O117=4,P117,IF(Q117=4,R117,0)),VLOOKUP(IF(O117=4,P117,IF(Q117=4,R117,0)),[4]D_任务!$A$2:$B$132,2,FALSE))</f>
        <v>0</v>
      </c>
      <c r="AS117" t="str">
        <f t="shared" si="30"/>
        <v>精英毒贩头目</v>
      </c>
      <c r="AT117">
        <f>VLOOKUP(A117,CHOOSE({1,2},[5]怪物信息表!$K$5:$K$76,[5]怪物信息表!$J$5:$J$76),2,FALSE)</f>
        <v>46</v>
      </c>
    </row>
    <row r="118" spans="1:46" x14ac:dyDescent="0.15">
      <c r="A118" s="2">
        <v>4208</v>
      </c>
      <c r="B118" s="2">
        <v>2</v>
      </c>
      <c r="C118" s="2">
        <v>4</v>
      </c>
      <c r="D118" s="9" t="s">
        <v>665</v>
      </c>
      <c r="E118" s="11">
        <f>IFERROR(VLOOKUP(C118,[3]副本规划!$W$20:$X$27,2,0),E117)</f>
        <v>12</v>
      </c>
      <c r="F118" s="2">
        <f>IFERROR(ROUNDUP(VLOOKUP(T118,CHOOSE({1,2},[5]D_怪物表!$I$1:$I$1120,[5]D_怪物表!$AH$1:$AH$1120),2,FALSE),0),0)</f>
        <v>30297</v>
      </c>
      <c r="G118" s="2">
        <v>1</v>
      </c>
      <c r="H118" s="2">
        <v>1</v>
      </c>
      <c r="I118" s="2">
        <v>6</v>
      </c>
      <c r="J118" s="2">
        <v>0</v>
      </c>
      <c r="K118" s="2">
        <v>0</v>
      </c>
      <c r="L118" s="2"/>
      <c r="M118" s="2">
        <f t="shared" si="62"/>
        <v>2</v>
      </c>
      <c r="N118" s="2">
        <v>1</v>
      </c>
      <c r="O118" s="2">
        <v>3</v>
      </c>
      <c r="P118" s="2">
        <f t="shared" si="53"/>
        <v>4207</v>
      </c>
      <c r="Q118" s="2">
        <v>3</v>
      </c>
      <c r="R118" s="2">
        <f t="shared" si="63"/>
        <v>4008</v>
      </c>
      <c r="S118" s="11">
        <f t="shared" si="64"/>
        <v>504208</v>
      </c>
      <c r="T118" s="11">
        <f t="shared" si="41"/>
        <v>248004</v>
      </c>
      <c r="U118" s="2">
        <v>3</v>
      </c>
      <c r="V118" s="14">
        <f t="shared" si="42"/>
        <v>248001</v>
      </c>
      <c r="W118" s="14">
        <f t="shared" si="43"/>
        <v>248002</v>
      </c>
      <c r="X118" s="14">
        <f t="shared" si="43"/>
        <v>248003</v>
      </c>
      <c r="Y118" s="2"/>
      <c r="Z118" s="2"/>
      <c r="AA118" s="2"/>
      <c r="AB118" s="2"/>
      <c r="AC118" s="2"/>
      <c r="AD118" s="2"/>
      <c r="AE118" s="2"/>
      <c r="AF118" s="2">
        <v>3</v>
      </c>
      <c r="AG118" s="2">
        <v>110</v>
      </c>
      <c r="AH118" s="2">
        <v>111</v>
      </c>
      <c r="AI118" s="2">
        <v>112</v>
      </c>
      <c r="AJ118" s="2"/>
      <c r="AK118" s="2"/>
      <c r="AL118" s="2"/>
      <c r="AM118" s="2"/>
      <c r="AN118" s="2"/>
      <c r="AO118" s="2"/>
      <c r="AP118" s="2"/>
      <c r="AQ118">
        <f t="shared" si="65"/>
        <v>0</v>
      </c>
      <c r="AR118">
        <f>IF(ISERROR(VLOOKUP(IF(O118=4,P118,IF(Q118=4,R118,0)),[4]D_任务!$A$2:$B$132,2,FALSE)),IF(O118=4,P118,IF(Q118=4,R118,0)),VLOOKUP(IF(O118=4,P118,IF(Q118=4,R118,0)),[4]D_任务!$A$2:$B$132,2,FALSE))</f>
        <v>0</v>
      </c>
      <c r="AS118" t="str">
        <f t="shared" si="30"/>
        <v>精英耀阳手下</v>
      </c>
      <c r="AT118">
        <f>VLOOKUP(A118,CHOOSE({1,2},[5]怪物信息表!$K$5:$K$76,[5]怪物信息表!$J$5:$J$76),2,FALSE)</f>
        <v>47</v>
      </c>
    </row>
    <row r="119" spans="1:46" x14ac:dyDescent="0.15">
      <c r="A119" s="2">
        <v>4209</v>
      </c>
      <c r="B119" s="2">
        <v>2</v>
      </c>
      <c r="C119" s="2">
        <v>4</v>
      </c>
      <c r="D119" s="9" t="s">
        <v>564</v>
      </c>
      <c r="E119" s="11">
        <f>IFERROR(VLOOKUP(C119,[3]副本规划!$W$20:$X$27,2,0),E118)</f>
        <v>12</v>
      </c>
      <c r="F119" s="2">
        <f>IFERROR(ROUNDUP(VLOOKUP(T119,CHOOSE({1,2},[5]D_怪物表!$I$1:$I$1120,[5]D_怪物表!$AH$1:$AH$1120),2,FALSE),0),0)</f>
        <v>33117</v>
      </c>
      <c r="G119" s="2">
        <v>1</v>
      </c>
      <c r="H119" s="2">
        <v>1</v>
      </c>
      <c r="I119" s="2">
        <v>6</v>
      </c>
      <c r="J119" s="2">
        <v>0</v>
      </c>
      <c r="K119" s="2">
        <v>0</v>
      </c>
      <c r="L119" s="2"/>
      <c r="M119" s="2">
        <f t="shared" si="62"/>
        <v>2</v>
      </c>
      <c r="N119" s="2">
        <v>1</v>
      </c>
      <c r="O119" s="2">
        <v>3</v>
      </c>
      <c r="P119" s="2">
        <f t="shared" si="53"/>
        <v>4208</v>
      </c>
      <c r="Q119" s="2">
        <v>3</v>
      </c>
      <c r="R119" s="2">
        <f t="shared" si="63"/>
        <v>4009</v>
      </c>
      <c r="S119" s="11">
        <f t="shared" si="64"/>
        <v>504209</v>
      </c>
      <c r="T119" s="11">
        <f t="shared" si="41"/>
        <v>249004</v>
      </c>
      <c r="U119" s="2">
        <v>3</v>
      </c>
      <c r="V119" s="14">
        <f t="shared" si="42"/>
        <v>249001</v>
      </c>
      <c r="W119" s="14">
        <f t="shared" si="43"/>
        <v>249002</v>
      </c>
      <c r="X119" s="14">
        <f t="shared" si="43"/>
        <v>249003</v>
      </c>
      <c r="Y119" s="2"/>
      <c r="Z119" s="2"/>
      <c r="AA119" s="2"/>
      <c r="AB119" s="2"/>
      <c r="AC119" s="2"/>
      <c r="AD119" s="2"/>
      <c r="AE119" s="2"/>
      <c r="AF119" s="2">
        <v>3</v>
      </c>
      <c r="AG119" s="2">
        <v>125</v>
      </c>
      <c r="AH119" s="2">
        <v>126</v>
      </c>
      <c r="AI119" s="2">
        <v>127</v>
      </c>
      <c r="AJ119" s="2"/>
      <c r="AK119" s="2"/>
      <c r="AL119" s="2"/>
      <c r="AM119" s="2"/>
      <c r="AN119" s="2"/>
      <c r="AO119" s="2"/>
      <c r="AP119" s="2"/>
      <c r="AQ119">
        <f t="shared" si="65"/>
        <v>0</v>
      </c>
      <c r="AR119">
        <f>IF(ISERROR(VLOOKUP(IF(O119=4,P119,IF(Q119=4,R119,0)),[4]D_任务!$A$2:$B$132,2,FALSE)),IF(O119=4,P119,IF(Q119=4,R119,0)),VLOOKUP(IF(O119=4,P119,IF(Q119=4,R119,0)),[4]D_任务!$A$2:$B$132,2,FALSE))</f>
        <v>0</v>
      </c>
      <c r="AS119" t="str">
        <f t="shared" si="30"/>
        <v>精英东星拳师</v>
      </c>
      <c r="AT119">
        <f>VLOOKUP(A119,CHOOSE({1,2},[5]怪物信息表!$K$5:$K$76,[5]怪物信息表!$J$5:$J$76),2,FALSE)</f>
        <v>48</v>
      </c>
    </row>
    <row r="120" spans="1:46" x14ac:dyDescent="0.15">
      <c r="A120" s="2">
        <v>5201</v>
      </c>
      <c r="B120" s="2">
        <v>2</v>
      </c>
      <c r="C120" s="2">
        <v>5</v>
      </c>
      <c r="D120" s="9" t="s">
        <v>565</v>
      </c>
      <c r="E120" s="11">
        <f>IFERROR(VLOOKUP(C120,[3]副本规划!$W$20:$X$27,2,0),E116)</f>
        <v>12</v>
      </c>
      <c r="F120" s="2">
        <f>IFERROR(ROUNDUP(VLOOKUP(T120,CHOOSE({1,2},[5]D_怪物表!$I$1:$I$1120,[5]D_怪物表!$AH$1:$AH$1120),2,FALSE),0),0)</f>
        <v>31628</v>
      </c>
      <c r="G120" s="2">
        <v>1</v>
      </c>
      <c r="H120" s="2">
        <v>1</v>
      </c>
      <c r="I120" s="2">
        <v>6</v>
      </c>
      <c r="J120" s="2">
        <v>0</v>
      </c>
      <c r="K120" s="2">
        <v>0</v>
      </c>
      <c r="L120" s="2"/>
      <c r="M120" s="2">
        <f t="shared" si="51"/>
        <v>2</v>
      </c>
      <c r="N120" s="2">
        <v>1</v>
      </c>
      <c r="O120" s="2">
        <v>3</v>
      </c>
      <c r="P120" s="2">
        <f t="shared" si="53"/>
        <v>4209</v>
      </c>
      <c r="Q120" s="2">
        <v>3</v>
      </c>
      <c r="R120" s="2">
        <f t="shared" si="40"/>
        <v>5001</v>
      </c>
      <c r="S120" s="11">
        <f t="shared" si="57"/>
        <v>505201</v>
      </c>
      <c r="T120" s="11">
        <f t="shared" si="41"/>
        <v>251004</v>
      </c>
      <c r="U120" s="2">
        <v>3</v>
      </c>
      <c r="V120" s="14">
        <f t="shared" si="42"/>
        <v>251001</v>
      </c>
      <c r="W120" s="14">
        <f t="shared" si="43"/>
        <v>251002</v>
      </c>
      <c r="X120" s="14">
        <f t="shared" si="43"/>
        <v>251003</v>
      </c>
      <c r="Y120" s="2"/>
      <c r="Z120" s="2"/>
      <c r="AA120" s="2"/>
      <c r="AB120" s="2"/>
      <c r="AC120" s="2"/>
      <c r="AD120" s="2"/>
      <c r="AE120" s="2"/>
      <c r="AF120" s="2">
        <v>3</v>
      </c>
      <c r="AG120" s="2">
        <v>158</v>
      </c>
      <c r="AH120" s="2">
        <v>159</v>
      </c>
      <c r="AI120" s="2">
        <v>160</v>
      </c>
      <c r="AJ120" s="2"/>
      <c r="AK120" s="2"/>
      <c r="AL120" s="2"/>
      <c r="AM120" s="2"/>
      <c r="AN120" s="2"/>
      <c r="AO120" s="2"/>
      <c r="AP120" s="2"/>
      <c r="AQ120">
        <f t="shared" si="50"/>
        <v>0</v>
      </c>
      <c r="AR120">
        <f>IF(ISERROR(VLOOKUP(IF(O120=4,P120,IF(Q120=4,R120,0)),[4]D_任务!$A$2:$B$132,2,FALSE)),IF(O120=4,P120,IF(Q120=4,R120,0)),VLOOKUP(IF(O120=4,P120,IF(Q120=4,R120,0)),[4]D_任务!$A$2:$B$132,2,FALSE))</f>
        <v>0</v>
      </c>
      <c r="AS120" t="str">
        <f t="shared" si="30"/>
        <v>精英耀阳</v>
      </c>
      <c r="AT120">
        <f>VLOOKUP(A120,CHOOSE({1,2},[5]怪物信息表!$K$5:$K$76,[5]怪物信息表!$J$5:$J$76),2,FALSE)</f>
        <v>49</v>
      </c>
    </row>
    <row r="121" spans="1:46" x14ac:dyDescent="0.15">
      <c r="A121" s="2">
        <v>5202</v>
      </c>
      <c r="B121" s="2">
        <v>2</v>
      </c>
      <c r="C121" s="2">
        <v>5</v>
      </c>
      <c r="D121" s="9" t="s">
        <v>566</v>
      </c>
      <c r="E121" s="11">
        <f>IFERROR(VLOOKUP(C121,[3]副本规划!$W$20:$X$27,2,0),E120)</f>
        <v>12</v>
      </c>
      <c r="F121" s="2">
        <f>IFERROR(ROUNDUP(VLOOKUP(T121,CHOOSE({1,2},[5]D_怪物表!$I$1:$I$1120,[5]D_怪物表!$AH$1:$AH$1120),2,FALSE),0),0)</f>
        <v>34770</v>
      </c>
      <c r="G121" s="2">
        <v>1</v>
      </c>
      <c r="H121" s="2">
        <v>1</v>
      </c>
      <c r="I121" s="2">
        <v>6</v>
      </c>
      <c r="J121" s="2">
        <v>0</v>
      </c>
      <c r="K121" s="2">
        <v>0</v>
      </c>
      <c r="L121" s="2"/>
      <c r="M121" s="2">
        <f t="shared" si="51"/>
        <v>2</v>
      </c>
      <c r="N121" s="2">
        <v>1</v>
      </c>
      <c r="O121" s="2">
        <v>3</v>
      </c>
      <c r="P121" s="2">
        <f t="shared" si="53"/>
        <v>5201</v>
      </c>
      <c r="Q121" s="2">
        <v>3</v>
      </c>
      <c r="R121" s="2">
        <f t="shared" si="40"/>
        <v>5002</v>
      </c>
      <c r="S121" s="11">
        <f t="shared" si="57"/>
        <v>505202</v>
      </c>
      <c r="T121" s="11">
        <f t="shared" si="41"/>
        <v>252004</v>
      </c>
      <c r="U121" s="2">
        <v>3</v>
      </c>
      <c r="V121" s="14">
        <f t="shared" si="42"/>
        <v>252001</v>
      </c>
      <c r="W121" s="14">
        <f t="shared" si="43"/>
        <v>252002</v>
      </c>
      <c r="X121" s="14">
        <f t="shared" si="43"/>
        <v>252003</v>
      </c>
      <c r="Y121" s="2"/>
      <c r="Z121" s="2"/>
      <c r="AA121" s="2"/>
      <c r="AB121" s="2"/>
      <c r="AC121" s="2"/>
      <c r="AD121" s="2"/>
      <c r="AE121" s="2"/>
      <c r="AF121" s="2">
        <v>3</v>
      </c>
      <c r="AG121" s="2">
        <v>185</v>
      </c>
      <c r="AH121" s="2">
        <v>186</v>
      </c>
      <c r="AI121" s="2">
        <v>187</v>
      </c>
      <c r="AJ121" s="2"/>
      <c r="AK121" s="2"/>
      <c r="AL121" s="2"/>
      <c r="AM121" s="2"/>
      <c r="AN121" s="2"/>
      <c r="AO121" s="2"/>
      <c r="AP121" s="2"/>
      <c r="AQ121">
        <f t="shared" si="50"/>
        <v>0</v>
      </c>
      <c r="AR121">
        <f>IF(ISERROR(VLOOKUP(IF(O121=4,P121,IF(Q121=4,R121,0)),[4]D_任务!$A$2:$B$132,2,FALSE)),IF(O121=4,P121,IF(Q121=4,R121,0)),VLOOKUP(IF(O121=4,P121,IF(Q121=4,R121,0)),[4]D_任务!$A$2:$B$132,2,FALSE))</f>
        <v>0</v>
      </c>
      <c r="AS121" t="str">
        <f t="shared" si="30"/>
        <v>精英司徒手下</v>
      </c>
      <c r="AT121">
        <f>VLOOKUP(A121,CHOOSE({1,2},[5]怪物信息表!$K$5:$K$76,[5]怪物信息表!$J$5:$J$76),2,FALSE)</f>
        <v>50</v>
      </c>
    </row>
    <row r="122" spans="1:46" x14ac:dyDescent="0.15">
      <c r="A122" s="2">
        <v>5203</v>
      </c>
      <c r="B122" s="2">
        <v>2</v>
      </c>
      <c r="C122" s="2">
        <v>5</v>
      </c>
      <c r="D122" s="9" t="s">
        <v>567</v>
      </c>
      <c r="E122" s="11">
        <f>IFERROR(VLOOKUP(C122,[3]副本规划!$W$20:$X$27,2,0),E121)</f>
        <v>12</v>
      </c>
      <c r="F122" s="2">
        <f>IFERROR(ROUNDUP(VLOOKUP(T122,CHOOSE({1,2},[5]D_怪物表!$I$1:$I$1120,[5]D_怪物表!$AH$1:$AH$1120),2,FALSE),0),0)</f>
        <v>37869</v>
      </c>
      <c r="G122" s="2">
        <v>1</v>
      </c>
      <c r="H122" s="2">
        <v>1</v>
      </c>
      <c r="I122" s="2">
        <v>6</v>
      </c>
      <c r="J122" s="2">
        <v>0</v>
      </c>
      <c r="K122" s="2">
        <v>0</v>
      </c>
      <c r="L122" s="2"/>
      <c r="M122" s="2">
        <f t="shared" si="51"/>
        <v>2</v>
      </c>
      <c r="N122" s="2">
        <v>1</v>
      </c>
      <c r="O122" s="2">
        <v>3</v>
      </c>
      <c r="P122" s="2">
        <f t="shared" si="53"/>
        <v>5202</v>
      </c>
      <c r="Q122" s="2">
        <v>3</v>
      </c>
      <c r="R122" s="2">
        <f t="shared" si="40"/>
        <v>5003</v>
      </c>
      <c r="S122" s="11">
        <f t="shared" si="57"/>
        <v>505203</v>
      </c>
      <c r="T122" s="11">
        <f t="shared" si="41"/>
        <v>253004</v>
      </c>
      <c r="U122" s="2">
        <v>3</v>
      </c>
      <c r="V122" s="14">
        <f t="shared" si="42"/>
        <v>253001</v>
      </c>
      <c r="W122" s="14">
        <f t="shared" si="43"/>
        <v>253002</v>
      </c>
      <c r="X122" s="14">
        <f t="shared" si="43"/>
        <v>253003</v>
      </c>
      <c r="Y122" s="2"/>
      <c r="Z122" s="2"/>
      <c r="AA122" s="2"/>
      <c r="AB122" s="2"/>
      <c r="AC122" s="2"/>
      <c r="AD122" s="2"/>
      <c r="AE122" s="2"/>
      <c r="AF122" s="2">
        <v>3</v>
      </c>
      <c r="AG122" s="2">
        <v>112</v>
      </c>
      <c r="AH122" s="2">
        <v>113</v>
      </c>
      <c r="AI122" s="2">
        <v>114</v>
      </c>
      <c r="AJ122" s="2"/>
      <c r="AK122" s="2"/>
      <c r="AL122" s="2"/>
      <c r="AM122" s="2"/>
      <c r="AN122" s="2"/>
      <c r="AO122" s="2"/>
      <c r="AP122" s="2"/>
      <c r="AQ122">
        <f t="shared" si="50"/>
        <v>0</v>
      </c>
      <c r="AR122">
        <f>IF(ISERROR(VLOOKUP(IF(O122=4,P122,IF(Q122=4,R122,0)),[4]D_任务!$A$2:$B$132,2,FALSE)),IF(O122=4,P122,IF(Q122=4,R122,0)),VLOOKUP(IF(O122=4,P122,IF(Q122=4,R122,0)),[4]D_任务!$A$2:$B$132,2,FALSE))</f>
        <v>0</v>
      </c>
      <c r="AS122" t="str">
        <f t="shared" si="30"/>
        <v>精英破坏分子</v>
      </c>
      <c r="AT122">
        <f>VLOOKUP(A122,CHOOSE({1,2},[5]怪物信息表!$K$5:$K$76,[5]怪物信息表!$J$5:$J$76),2,FALSE)</f>
        <v>51</v>
      </c>
    </row>
    <row r="123" spans="1:46" x14ac:dyDescent="0.15">
      <c r="A123" s="2">
        <v>5204</v>
      </c>
      <c r="B123" s="2">
        <v>2</v>
      </c>
      <c r="C123" s="2">
        <v>5</v>
      </c>
      <c r="D123" s="9" t="s">
        <v>666</v>
      </c>
      <c r="E123" s="11">
        <f>IFERROR(VLOOKUP(C123,[3]副本规划!$W$20:$X$27,2,0),E122)</f>
        <v>12</v>
      </c>
      <c r="F123" s="2">
        <f>IFERROR(ROUNDUP(VLOOKUP(T123,CHOOSE({1,2},[5]D_怪物表!$I$1:$I$1120,[5]D_怪物表!$AH$1:$AH$1120),2,FALSE),0),0)</f>
        <v>41973</v>
      </c>
      <c r="G123" s="2">
        <v>1</v>
      </c>
      <c r="H123" s="2">
        <v>1</v>
      </c>
      <c r="I123" s="2">
        <v>6</v>
      </c>
      <c r="J123" s="2">
        <v>0</v>
      </c>
      <c r="K123" s="2">
        <v>0</v>
      </c>
      <c r="L123" s="2"/>
      <c r="M123" s="2">
        <f t="shared" si="51"/>
        <v>2</v>
      </c>
      <c r="N123" s="2">
        <v>1</v>
      </c>
      <c r="O123" s="2">
        <v>3</v>
      </c>
      <c r="P123" s="2">
        <f t="shared" si="53"/>
        <v>5203</v>
      </c>
      <c r="Q123" s="2">
        <v>3</v>
      </c>
      <c r="R123" s="2">
        <f t="shared" si="40"/>
        <v>5004</v>
      </c>
      <c r="S123" s="11">
        <f t="shared" si="57"/>
        <v>505204</v>
      </c>
      <c r="T123" s="11">
        <f t="shared" si="41"/>
        <v>254004</v>
      </c>
      <c r="U123" s="2">
        <v>3</v>
      </c>
      <c r="V123" s="14">
        <f t="shared" si="42"/>
        <v>254001</v>
      </c>
      <c r="W123" s="14">
        <f t="shared" si="43"/>
        <v>254002</v>
      </c>
      <c r="X123" s="14">
        <f t="shared" si="43"/>
        <v>254003</v>
      </c>
      <c r="Y123" s="2"/>
      <c r="Z123" s="2"/>
      <c r="AA123" s="2"/>
      <c r="AB123" s="2"/>
      <c r="AC123" s="2"/>
      <c r="AD123" s="2"/>
      <c r="AE123" s="2"/>
      <c r="AF123" s="2">
        <v>3</v>
      </c>
      <c r="AG123" s="2">
        <v>127</v>
      </c>
      <c r="AH123" s="2">
        <v>152</v>
      </c>
      <c r="AI123" s="2">
        <v>153</v>
      </c>
      <c r="AJ123" s="2"/>
      <c r="AK123" s="2"/>
      <c r="AL123" s="2"/>
      <c r="AM123" s="2"/>
      <c r="AN123" s="2"/>
      <c r="AO123" s="2"/>
      <c r="AP123" s="2"/>
      <c r="AQ123">
        <f t="shared" si="50"/>
        <v>0</v>
      </c>
      <c r="AR123">
        <f>IF(ISERROR(VLOOKUP(IF(O123=4,P123,IF(Q123=4,R123,0)),[4]D_任务!$A$2:$B$132,2,FALSE)),IF(O123=4,P123,IF(Q123=4,R123,0)),VLOOKUP(IF(O123=4,P123,IF(Q123=4,R123,0)),[4]D_任务!$A$2:$B$132,2,FALSE))</f>
        <v>0</v>
      </c>
      <c r="AS123" t="str">
        <f t="shared" si="30"/>
        <v>精英地痞头目</v>
      </c>
      <c r="AT123">
        <f>VLOOKUP(A123,CHOOSE({1,2},[5]怪物信息表!$K$5:$K$76,[5]怪物信息表!$J$5:$J$76),2,FALSE)</f>
        <v>52</v>
      </c>
    </row>
    <row r="124" spans="1:46" x14ac:dyDescent="0.15">
      <c r="A124" s="2">
        <v>5205</v>
      </c>
      <c r="B124" s="2">
        <v>2</v>
      </c>
      <c r="C124" s="2">
        <v>5</v>
      </c>
      <c r="D124" s="9" t="s">
        <v>568</v>
      </c>
      <c r="E124" s="11">
        <f>IFERROR(VLOOKUP(C124,[3]副本规划!$W$20:$X$27,2,0),E123)</f>
        <v>12</v>
      </c>
      <c r="F124" s="2">
        <f>IFERROR(ROUNDUP(VLOOKUP(T124,CHOOSE({1,2},[5]D_怪物表!$I$1:$I$1120,[5]D_怪物表!$AH$1:$AH$1120),2,FALSE),0),0)</f>
        <v>45924</v>
      </c>
      <c r="G124" s="2">
        <v>1</v>
      </c>
      <c r="H124" s="2">
        <v>1</v>
      </c>
      <c r="I124" s="2">
        <v>6</v>
      </c>
      <c r="J124" s="2">
        <v>0</v>
      </c>
      <c r="K124" s="2">
        <v>0</v>
      </c>
      <c r="L124" s="2"/>
      <c r="M124" s="2">
        <f t="shared" si="51"/>
        <v>2</v>
      </c>
      <c r="N124" s="2">
        <v>1</v>
      </c>
      <c r="O124" s="2">
        <v>3</v>
      </c>
      <c r="P124" s="2">
        <f t="shared" si="53"/>
        <v>5204</v>
      </c>
      <c r="Q124" s="2">
        <v>3</v>
      </c>
      <c r="R124" s="2">
        <f t="shared" si="40"/>
        <v>5005</v>
      </c>
      <c r="S124" s="11">
        <f t="shared" si="57"/>
        <v>505205</v>
      </c>
      <c r="T124" s="11">
        <f t="shared" si="41"/>
        <v>255004</v>
      </c>
      <c r="U124" s="2">
        <v>3</v>
      </c>
      <c r="V124" s="14">
        <f t="shared" si="42"/>
        <v>255001</v>
      </c>
      <c r="W124" s="14">
        <f t="shared" si="43"/>
        <v>255002</v>
      </c>
      <c r="X124" s="14">
        <f t="shared" si="43"/>
        <v>255003</v>
      </c>
      <c r="Y124" s="2"/>
      <c r="Z124" s="2"/>
      <c r="AA124" s="2"/>
      <c r="AB124" s="2"/>
      <c r="AC124" s="2"/>
      <c r="AD124" s="2"/>
      <c r="AE124" s="2"/>
      <c r="AF124" s="2">
        <v>3</v>
      </c>
      <c r="AG124" s="2">
        <v>159</v>
      </c>
      <c r="AH124" s="2">
        <v>160</v>
      </c>
      <c r="AI124" s="2">
        <v>161</v>
      </c>
      <c r="AJ124" s="2"/>
      <c r="AK124" s="2"/>
      <c r="AL124" s="2"/>
      <c r="AM124" s="2"/>
      <c r="AN124" s="2"/>
      <c r="AO124" s="2"/>
      <c r="AP124" s="2"/>
      <c r="AQ124">
        <f t="shared" si="50"/>
        <v>0</v>
      </c>
      <c r="AR124">
        <f>IF(ISERROR(VLOOKUP(IF(O124=4,P124,IF(Q124=4,R124,0)),[4]D_任务!$A$2:$B$132,2,FALSE)),IF(O124=4,P124,IF(Q124=4,R124,0)),VLOOKUP(IF(O124=4,P124,IF(Q124=4,R124,0)),[4]D_任务!$A$2:$B$132,2,FALSE))</f>
        <v>0</v>
      </c>
      <c r="AS124" t="str">
        <f t="shared" si="30"/>
        <v>精英外籍打手</v>
      </c>
      <c r="AT124">
        <f>VLOOKUP(A124,CHOOSE({1,2},[5]怪物信息表!$K$5:$K$76,[5]怪物信息表!$J$5:$J$76),2,FALSE)</f>
        <v>53</v>
      </c>
    </row>
    <row r="125" spans="1:46" x14ac:dyDescent="0.15">
      <c r="A125" s="2">
        <v>5206</v>
      </c>
      <c r="B125" s="2">
        <v>2</v>
      </c>
      <c r="C125" s="2">
        <v>5</v>
      </c>
      <c r="D125" s="9" t="s">
        <v>667</v>
      </c>
      <c r="E125" s="11">
        <f>IFERROR(VLOOKUP(C125,[3]副本规划!$W$20:$X$27,2,0),E124)</f>
        <v>12</v>
      </c>
      <c r="F125" s="2">
        <f>IFERROR(ROUNDUP(VLOOKUP(T125,CHOOSE({1,2},[5]D_怪物表!$I$1:$I$1120,[5]D_怪物表!$AH$1:$AH$1120),2,FALSE),0),0)</f>
        <v>50181</v>
      </c>
      <c r="G125" s="2">
        <v>1</v>
      </c>
      <c r="H125" s="2">
        <v>1</v>
      </c>
      <c r="I125" s="2">
        <v>6</v>
      </c>
      <c r="J125" s="2">
        <v>0</v>
      </c>
      <c r="K125" s="2">
        <v>0</v>
      </c>
      <c r="L125" s="2"/>
      <c r="M125" s="2">
        <f t="shared" si="51"/>
        <v>2</v>
      </c>
      <c r="N125" s="2">
        <v>1</v>
      </c>
      <c r="O125" s="2">
        <v>3</v>
      </c>
      <c r="P125" s="2">
        <f t="shared" si="53"/>
        <v>5205</v>
      </c>
      <c r="Q125" s="2">
        <v>3</v>
      </c>
      <c r="R125" s="2">
        <f t="shared" si="40"/>
        <v>5006</v>
      </c>
      <c r="S125" s="11">
        <f t="shared" si="57"/>
        <v>505206</v>
      </c>
      <c r="T125" s="11">
        <f t="shared" si="41"/>
        <v>256004</v>
      </c>
      <c r="U125" s="2">
        <v>3</v>
      </c>
      <c r="V125" s="14">
        <f t="shared" si="42"/>
        <v>256001</v>
      </c>
      <c r="W125" s="14">
        <f t="shared" si="43"/>
        <v>256002</v>
      </c>
      <c r="X125" s="14">
        <f t="shared" si="43"/>
        <v>256003</v>
      </c>
      <c r="Y125" s="2"/>
      <c r="Z125" s="2"/>
      <c r="AA125" s="2"/>
      <c r="AB125" s="2"/>
      <c r="AC125" s="2"/>
      <c r="AD125" s="2"/>
      <c r="AE125" s="2"/>
      <c r="AF125" s="2">
        <v>3</v>
      </c>
      <c r="AG125" s="2">
        <v>167</v>
      </c>
      <c r="AH125" s="2">
        <v>168</v>
      </c>
      <c r="AI125" s="2">
        <v>169</v>
      </c>
      <c r="AJ125" s="2"/>
      <c r="AK125" s="2"/>
      <c r="AL125" s="2"/>
      <c r="AM125" s="2"/>
      <c r="AN125" s="2"/>
      <c r="AO125" s="2"/>
      <c r="AP125" s="2"/>
      <c r="AQ125">
        <f t="shared" si="50"/>
        <v>0</v>
      </c>
      <c r="AR125">
        <f>IF(ISERROR(VLOOKUP(IF(O125=4,P125,IF(Q125=4,R125,0)),[4]D_任务!$A$2:$B$132,2,FALSE)),IF(O125=4,P125,IF(Q125=4,R125,0)),VLOOKUP(IF(O125=4,P125,IF(Q125=4,R125,0)),[4]D_任务!$A$2:$B$132,2,FALSE))</f>
        <v>0</v>
      </c>
      <c r="AS125" t="str">
        <f t="shared" si="30"/>
        <v>精英长毛</v>
      </c>
      <c r="AT125">
        <f>VLOOKUP(A125,CHOOSE({1,2},[5]怪物信息表!$K$5:$K$76,[5]怪物信息表!$J$5:$J$76),2,FALSE)</f>
        <v>54</v>
      </c>
    </row>
    <row r="126" spans="1:46" x14ac:dyDescent="0.15">
      <c r="A126" s="2">
        <v>5207</v>
      </c>
      <c r="B126" s="2">
        <v>2</v>
      </c>
      <c r="C126" s="2">
        <v>5</v>
      </c>
      <c r="D126" s="9" t="s">
        <v>569</v>
      </c>
      <c r="E126" s="11">
        <f>IFERROR(VLOOKUP(C126,[3]副本规划!$W$20:$X$27,2,0),E125)</f>
        <v>12</v>
      </c>
      <c r="F126" s="2">
        <f>IFERROR(ROUNDUP(VLOOKUP(T126,CHOOSE({1,2},[5]D_怪物表!$I$1:$I$1120,[5]D_怪物表!$AH$1:$AH$1120),2,FALSE),0),0)</f>
        <v>54571</v>
      </c>
      <c r="G126" s="2">
        <v>1</v>
      </c>
      <c r="H126" s="2">
        <v>1</v>
      </c>
      <c r="I126" s="2">
        <v>6</v>
      </c>
      <c r="J126" s="2">
        <v>0</v>
      </c>
      <c r="K126" s="2">
        <v>0</v>
      </c>
      <c r="L126" s="2"/>
      <c r="M126" s="2">
        <f t="shared" ref="M126:M128" si="66">SUM(O126&gt;0,Q126&gt;0)</f>
        <v>2</v>
      </c>
      <c r="N126" s="2">
        <v>1</v>
      </c>
      <c r="O126" s="2">
        <v>3</v>
      </c>
      <c r="P126" s="2">
        <f t="shared" si="53"/>
        <v>5206</v>
      </c>
      <c r="Q126" s="2">
        <v>3</v>
      </c>
      <c r="R126" s="2">
        <f t="shared" ref="R126:R128" si="67">A126-200</f>
        <v>5007</v>
      </c>
      <c r="S126" s="11">
        <f t="shared" ref="S126:S128" si="68">50*10000+A126</f>
        <v>505207</v>
      </c>
      <c r="T126" s="11">
        <f t="shared" si="41"/>
        <v>257004</v>
      </c>
      <c r="U126" s="2">
        <v>3</v>
      </c>
      <c r="V126" s="14">
        <f t="shared" si="42"/>
        <v>257001</v>
      </c>
      <c r="W126" s="14">
        <f t="shared" si="43"/>
        <v>257002</v>
      </c>
      <c r="X126" s="14">
        <f t="shared" si="43"/>
        <v>257003</v>
      </c>
      <c r="Y126" s="2"/>
      <c r="Z126" s="2"/>
      <c r="AA126" s="2"/>
      <c r="AB126" s="2"/>
      <c r="AC126" s="2"/>
      <c r="AD126" s="2"/>
      <c r="AE126" s="2"/>
      <c r="AF126" s="2">
        <v>3</v>
      </c>
      <c r="AG126" s="2">
        <v>127</v>
      </c>
      <c r="AH126" s="2">
        <v>152</v>
      </c>
      <c r="AI126" s="2">
        <v>153</v>
      </c>
      <c r="AJ126" s="2"/>
      <c r="AK126" s="2"/>
      <c r="AL126" s="2"/>
      <c r="AM126" s="2"/>
      <c r="AN126" s="2"/>
      <c r="AO126" s="2"/>
      <c r="AP126" s="2"/>
      <c r="AQ126">
        <f t="shared" ref="AQ126:AQ128" si="69">IF(O126=1,P126,IF(Q126=1,R126,0))</f>
        <v>0</v>
      </c>
      <c r="AR126">
        <f>IF(ISERROR(VLOOKUP(IF(O126=4,P126,IF(Q126=4,R126,0)),[4]D_任务!$A$2:$B$132,2,FALSE)),IF(O126=4,P126,IF(Q126=4,R126,0)),VLOOKUP(IF(O126=4,P126,IF(Q126=4,R126,0)),[4]D_任务!$A$2:$B$132,2,FALSE))</f>
        <v>0</v>
      </c>
      <c r="AS126" t="str">
        <f t="shared" si="30"/>
        <v>精英大头仔</v>
      </c>
      <c r="AT126">
        <f>VLOOKUP(A126,CHOOSE({1,2},[5]怪物信息表!$K$5:$K$76,[5]怪物信息表!$J$5:$J$76),2,FALSE)</f>
        <v>55</v>
      </c>
    </row>
    <row r="127" spans="1:46" x14ac:dyDescent="0.15">
      <c r="A127" s="2">
        <v>5208</v>
      </c>
      <c r="B127" s="2">
        <v>2</v>
      </c>
      <c r="C127" s="2">
        <v>5</v>
      </c>
      <c r="D127" s="9" t="s">
        <v>668</v>
      </c>
      <c r="E127" s="11">
        <f>IFERROR(VLOOKUP(C127,[3]副本规划!$W$20:$X$27,2,0),E126)</f>
        <v>12</v>
      </c>
      <c r="F127" s="2">
        <f>IFERROR(ROUNDUP(VLOOKUP(T127,CHOOSE({1,2},[5]D_怪物表!$I$1:$I$1120,[5]D_怪物表!$AH$1:$AH$1120),2,FALSE),0),0)</f>
        <v>60517</v>
      </c>
      <c r="G127" s="2">
        <v>1</v>
      </c>
      <c r="H127" s="2">
        <v>1</v>
      </c>
      <c r="I127" s="2">
        <v>6</v>
      </c>
      <c r="J127" s="2">
        <v>0</v>
      </c>
      <c r="K127" s="2">
        <v>0</v>
      </c>
      <c r="L127" s="2"/>
      <c r="M127" s="2">
        <f t="shared" si="66"/>
        <v>2</v>
      </c>
      <c r="N127" s="2">
        <v>1</v>
      </c>
      <c r="O127" s="2">
        <v>3</v>
      </c>
      <c r="P127" s="2">
        <f t="shared" si="53"/>
        <v>5207</v>
      </c>
      <c r="Q127" s="2">
        <v>3</v>
      </c>
      <c r="R127" s="2">
        <f t="shared" si="67"/>
        <v>5008</v>
      </c>
      <c r="S127" s="11">
        <f t="shared" si="68"/>
        <v>505208</v>
      </c>
      <c r="T127" s="11">
        <f t="shared" si="41"/>
        <v>258004</v>
      </c>
      <c r="U127" s="2">
        <v>3</v>
      </c>
      <c r="V127" s="14">
        <f t="shared" si="42"/>
        <v>258001</v>
      </c>
      <c r="W127" s="14">
        <f t="shared" si="43"/>
        <v>258002</v>
      </c>
      <c r="X127" s="14">
        <f t="shared" si="43"/>
        <v>258003</v>
      </c>
      <c r="Y127" s="2"/>
      <c r="Z127" s="2"/>
      <c r="AA127" s="2"/>
      <c r="AB127" s="2"/>
      <c r="AC127" s="2"/>
      <c r="AD127" s="2"/>
      <c r="AE127" s="2"/>
      <c r="AF127" s="2">
        <v>3</v>
      </c>
      <c r="AG127" s="2">
        <v>159</v>
      </c>
      <c r="AH127" s="2">
        <v>160</v>
      </c>
      <c r="AI127" s="2">
        <v>161</v>
      </c>
      <c r="AJ127" s="2"/>
      <c r="AK127" s="2"/>
      <c r="AL127" s="2"/>
      <c r="AM127" s="2"/>
      <c r="AN127" s="2"/>
      <c r="AO127" s="2"/>
      <c r="AP127" s="2"/>
      <c r="AQ127">
        <f t="shared" si="69"/>
        <v>0</v>
      </c>
      <c r="AR127">
        <f>IF(ISERROR(VLOOKUP(IF(O127=4,P127,IF(Q127=4,R127,0)),[4]D_任务!$A$2:$B$132,2,FALSE)),IF(O127=4,P127,IF(Q127=4,R127,0)),VLOOKUP(IF(O127=4,P127,IF(Q127=4,R127,0)),[4]D_任务!$A$2:$B$132,2,FALSE))</f>
        <v>0</v>
      </c>
      <c r="AS127" t="str">
        <f t="shared" si="30"/>
        <v>精英阿勇</v>
      </c>
      <c r="AT127">
        <f>VLOOKUP(A127,CHOOSE({1,2},[5]怪物信息表!$K$5:$K$76,[5]怪物信息表!$J$5:$J$76),2,FALSE)</f>
        <v>56</v>
      </c>
    </row>
    <row r="128" spans="1:46" x14ac:dyDescent="0.15">
      <c r="A128" s="2">
        <v>5209</v>
      </c>
      <c r="B128" s="2">
        <v>2</v>
      </c>
      <c r="C128" s="2">
        <v>5</v>
      </c>
      <c r="D128" s="9" t="s">
        <v>88</v>
      </c>
      <c r="E128" s="11">
        <f>IFERROR(VLOOKUP(C128,[3]副本规划!$W$20:$X$27,2,0),E127)</f>
        <v>12</v>
      </c>
      <c r="F128" s="2">
        <f>IFERROR(ROUNDUP(VLOOKUP(T128,CHOOSE({1,2},[5]D_怪物表!$I$1:$I$1120,[5]D_怪物表!$AH$1:$AH$1120),2,FALSE),0),0)</f>
        <v>65619</v>
      </c>
      <c r="G128" s="2">
        <v>1</v>
      </c>
      <c r="H128" s="2">
        <v>1</v>
      </c>
      <c r="I128" s="2">
        <v>6</v>
      </c>
      <c r="J128" s="2">
        <v>0</v>
      </c>
      <c r="K128" s="2">
        <v>0</v>
      </c>
      <c r="L128" s="2"/>
      <c r="M128" s="2">
        <f t="shared" si="66"/>
        <v>2</v>
      </c>
      <c r="N128" s="2">
        <v>1</v>
      </c>
      <c r="O128" s="2">
        <v>3</v>
      </c>
      <c r="P128" s="2">
        <f t="shared" si="53"/>
        <v>5208</v>
      </c>
      <c r="Q128" s="2">
        <v>3</v>
      </c>
      <c r="R128" s="2">
        <f t="shared" si="67"/>
        <v>5009</v>
      </c>
      <c r="S128" s="11">
        <f t="shared" si="68"/>
        <v>505209</v>
      </c>
      <c r="T128" s="11">
        <f t="shared" si="41"/>
        <v>259004</v>
      </c>
      <c r="U128" s="2">
        <v>3</v>
      </c>
      <c r="V128" s="14">
        <f t="shared" si="42"/>
        <v>259001</v>
      </c>
      <c r="W128" s="14">
        <f t="shared" si="43"/>
        <v>259002</v>
      </c>
      <c r="X128" s="14">
        <f t="shared" si="43"/>
        <v>259003</v>
      </c>
      <c r="Y128" s="2"/>
      <c r="Z128" s="2"/>
      <c r="AA128" s="2"/>
      <c r="AB128" s="2"/>
      <c r="AC128" s="2"/>
      <c r="AD128" s="2"/>
      <c r="AE128" s="2"/>
      <c r="AF128" s="2">
        <v>3</v>
      </c>
      <c r="AG128" s="2">
        <v>167</v>
      </c>
      <c r="AH128" s="2">
        <v>168</v>
      </c>
      <c r="AI128" s="2">
        <v>169</v>
      </c>
      <c r="AJ128" s="2"/>
      <c r="AK128" s="2"/>
      <c r="AL128" s="2"/>
      <c r="AM128" s="2"/>
      <c r="AN128" s="2"/>
      <c r="AO128" s="2"/>
      <c r="AP128" s="2"/>
      <c r="AQ128">
        <f t="shared" si="69"/>
        <v>0</v>
      </c>
      <c r="AR128">
        <f>IF(ISERROR(VLOOKUP(IF(O128=4,P128,IF(Q128=4,R128,0)),[4]D_任务!$A$2:$B$132,2,FALSE)),IF(O128=4,P128,IF(Q128=4,R128,0)),VLOOKUP(IF(O128=4,P128,IF(Q128=4,R128,0)),[4]D_任务!$A$2:$B$132,2,FALSE))</f>
        <v>0</v>
      </c>
      <c r="AS128" t="str">
        <f t="shared" si="30"/>
        <v>精英非法裁判</v>
      </c>
      <c r="AT128">
        <f>VLOOKUP(A128,CHOOSE({1,2},[5]怪物信息表!$K$5:$K$76,[5]怪物信息表!$J$5:$J$76),2,FALSE)</f>
        <v>57</v>
      </c>
    </row>
    <row r="129" spans="1:46" x14ac:dyDescent="0.15">
      <c r="A129" s="2">
        <v>6201</v>
      </c>
      <c r="B129" s="2">
        <v>2</v>
      </c>
      <c r="C129" s="2">
        <v>6</v>
      </c>
      <c r="D129" s="9" t="s">
        <v>570</v>
      </c>
      <c r="E129" s="11">
        <f>IFERROR(VLOOKUP(C129,[3]副本规划!$W$20:$X$27,2,0),E125)</f>
        <v>14</v>
      </c>
      <c r="F129" s="2">
        <f>IFERROR(ROUNDUP(VLOOKUP(T129,CHOOSE({1,2},[5]D_怪物表!$I$1:$I$1120,[5]D_怪物表!$AH$1:$AH$1120),2,FALSE),0),0)</f>
        <v>61829</v>
      </c>
      <c r="G129" s="2">
        <v>1</v>
      </c>
      <c r="H129" s="2">
        <v>1</v>
      </c>
      <c r="I129" s="2">
        <v>6</v>
      </c>
      <c r="J129" s="2">
        <v>0</v>
      </c>
      <c r="K129" s="2">
        <v>0</v>
      </c>
      <c r="L129" s="2"/>
      <c r="M129" s="2">
        <f t="shared" si="51"/>
        <v>2</v>
      </c>
      <c r="N129" s="2">
        <v>1</v>
      </c>
      <c r="O129" s="2">
        <v>3</v>
      </c>
      <c r="P129" s="2">
        <f t="shared" si="53"/>
        <v>5209</v>
      </c>
      <c r="Q129" s="2">
        <v>3</v>
      </c>
      <c r="R129" s="2">
        <f t="shared" si="40"/>
        <v>6001</v>
      </c>
      <c r="S129" s="11">
        <f t="shared" si="57"/>
        <v>506201</v>
      </c>
      <c r="T129" s="11">
        <f t="shared" si="41"/>
        <v>261004</v>
      </c>
      <c r="U129" s="2">
        <v>3</v>
      </c>
      <c r="V129" s="14">
        <f t="shared" si="42"/>
        <v>261001</v>
      </c>
      <c r="W129" s="14">
        <f t="shared" si="43"/>
        <v>261002</v>
      </c>
      <c r="X129" s="14">
        <f t="shared" si="43"/>
        <v>261003</v>
      </c>
      <c r="Y129" s="2"/>
      <c r="Z129" s="2"/>
      <c r="AA129" s="2"/>
      <c r="AB129" s="2"/>
      <c r="AC129" s="2"/>
      <c r="AD129" s="2"/>
      <c r="AE129" s="2"/>
      <c r="AF129" s="2">
        <v>3</v>
      </c>
      <c r="AG129" s="2">
        <v>197</v>
      </c>
      <c r="AH129" s="2">
        <v>198</v>
      </c>
      <c r="AI129" s="2">
        <v>199</v>
      </c>
      <c r="AJ129" s="2"/>
      <c r="AK129" s="2"/>
      <c r="AL129" s="2"/>
      <c r="AM129" s="2"/>
      <c r="AN129" s="2"/>
      <c r="AO129" s="2"/>
      <c r="AP129" s="2"/>
      <c r="AQ129">
        <f t="shared" si="50"/>
        <v>0</v>
      </c>
      <c r="AR129">
        <f>IF(ISERROR(VLOOKUP(IF(O129=4,P129,IF(Q129=4,R129,0)),[4]D_任务!$A$2:$B$132,2,FALSE)),IF(O129=4,P129,IF(Q129=4,R129,0)),VLOOKUP(IF(O129=4,P129,IF(Q129=4,R129,0)),[4]D_任务!$A$2:$B$132,2,FALSE))</f>
        <v>0</v>
      </c>
      <c r="AS129" t="str">
        <f t="shared" si="30"/>
        <v>精英司徒浩南</v>
      </c>
      <c r="AT129">
        <f>VLOOKUP(A129,CHOOSE({1,2},[5]怪物信息表!$K$5:$K$76,[5]怪物信息表!$J$5:$J$76),2,FALSE)</f>
        <v>58</v>
      </c>
    </row>
    <row r="130" spans="1:46" x14ac:dyDescent="0.15">
      <c r="A130" s="2">
        <v>6202</v>
      </c>
      <c r="B130" s="2">
        <v>2</v>
      </c>
      <c r="C130" s="2">
        <v>6</v>
      </c>
      <c r="D130" s="9" t="s">
        <v>89</v>
      </c>
      <c r="E130" s="11">
        <f>IFERROR(VLOOKUP(C130,[3]副本规划!$W$20:$X$27,2,0),E129)</f>
        <v>14</v>
      </c>
      <c r="F130" s="2">
        <f>IFERROR(ROUNDUP(VLOOKUP(T130,CHOOSE({1,2},[5]D_怪物表!$I$1:$I$1120,[5]D_怪物表!$AH$1:$AH$1120),2,FALSE),0),0)</f>
        <v>67271</v>
      </c>
      <c r="G130" s="2">
        <v>1</v>
      </c>
      <c r="H130" s="2">
        <v>1</v>
      </c>
      <c r="I130" s="2">
        <v>6</v>
      </c>
      <c r="J130" s="2">
        <v>0</v>
      </c>
      <c r="K130" s="2">
        <v>0</v>
      </c>
      <c r="L130" s="2"/>
      <c r="M130" s="2">
        <f t="shared" si="51"/>
        <v>2</v>
      </c>
      <c r="N130" s="2">
        <v>1</v>
      </c>
      <c r="O130" s="2">
        <v>3</v>
      </c>
      <c r="P130" s="2">
        <f t="shared" si="53"/>
        <v>6201</v>
      </c>
      <c r="Q130" s="2">
        <v>3</v>
      </c>
      <c r="R130" s="2">
        <f t="shared" si="40"/>
        <v>6002</v>
      </c>
      <c r="S130" s="11">
        <f t="shared" si="57"/>
        <v>506202</v>
      </c>
      <c r="T130" s="11">
        <f t="shared" si="41"/>
        <v>262004</v>
      </c>
      <c r="U130" s="2">
        <v>3</v>
      </c>
      <c r="V130" s="14">
        <f t="shared" si="42"/>
        <v>262001</v>
      </c>
      <c r="W130" s="14">
        <f t="shared" si="43"/>
        <v>262002</v>
      </c>
      <c r="X130" s="14">
        <f t="shared" si="43"/>
        <v>262003</v>
      </c>
      <c r="Y130" s="2"/>
      <c r="Z130" s="2"/>
      <c r="AA130" s="2"/>
      <c r="AB130" s="2"/>
      <c r="AC130" s="2"/>
      <c r="AD130" s="2"/>
      <c r="AE130" s="2"/>
      <c r="AF130" s="2">
        <v>3</v>
      </c>
      <c r="AG130" s="2">
        <v>198</v>
      </c>
      <c r="AH130" s="2">
        <v>199</v>
      </c>
      <c r="AI130" s="2">
        <v>200</v>
      </c>
      <c r="AJ130" s="2"/>
      <c r="AK130" s="2"/>
      <c r="AL130" s="2"/>
      <c r="AM130" s="2"/>
      <c r="AN130" s="2"/>
      <c r="AO130" s="2"/>
      <c r="AP130" s="2"/>
      <c r="AQ130">
        <f t="shared" si="50"/>
        <v>0</v>
      </c>
      <c r="AR130">
        <f>IF(ISERROR(VLOOKUP(IF(O130=4,P130,IF(Q130=4,R130,0)),[4]D_任务!$A$2:$B$132,2,FALSE)),IF(O130=4,P130,IF(Q130=4,R130,0)),VLOOKUP(IF(O130=4,P130,IF(Q130=4,R130,0)),[4]D_任务!$A$2:$B$132,2,FALSE))</f>
        <v>0</v>
      </c>
      <c r="AS130" t="str">
        <f t="shared" si="30"/>
        <v>精英鬼冢</v>
      </c>
      <c r="AT130">
        <f>VLOOKUP(A130,CHOOSE({1,2},[5]怪物信息表!$K$5:$K$76,[5]怪物信息表!$J$5:$J$76),2,FALSE)</f>
        <v>59</v>
      </c>
    </row>
    <row r="131" spans="1:46" x14ac:dyDescent="0.15">
      <c r="A131" s="2">
        <v>6203</v>
      </c>
      <c r="B131" s="2">
        <v>2</v>
      </c>
      <c r="C131" s="2">
        <v>6</v>
      </c>
      <c r="D131" s="9" t="s">
        <v>90</v>
      </c>
      <c r="E131" s="11">
        <f>IFERROR(VLOOKUP(C131,[3]副本规划!$W$20:$X$27,2,0),E130)</f>
        <v>14</v>
      </c>
      <c r="F131" s="2">
        <f>IFERROR(ROUNDUP(VLOOKUP(T131,CHOOSE({1,2},[5]D_怪物表!$I$1:$I$1120,[5]D_怪物表!$AH$1:$AH$1120),2,FALSE),0),0)</f>
        <v>73399</v>
      </c>
      <c r="G131" s="2">
        <v>1</v>
      </c>
      <c r="H131" s="2">
        <v>1</v>
      </c>
      <c r="I131" s="2">
        <v>6</v>
      </c>
      <c r="J131" s="2">
        <v>0</v>
      </c>
      <c r="K131" s="2">
        <v>0</v>
      </c>
      <c r="L131" s="2"/>
      <c r="M131" s="2">
        <f t="shared" si="51"/>
        <v>2</v>
      </c>
      <c r="N131" s="2">
        <v>1</v>
      </c>
      <c r="O131" s="2">
        <v>3</v>
      </c>
      <c r="P131" s="2">
        <f t="shared" si="53"/>
        <v>6202</v>
      </c>
      <c r="Q131" s="2">
        <v>3</v>
      </c>
      <c r="R131" s="2">
        <f t="shared" si="40"/>
        <v>6003</v>
      </c>
      <c r="S131" s="11">
        <f t="shared" si="57"/>
        <v>506203</v>
      </c>
      <c r="T131" s="11">
        <f t="shared" si="41"/>
        <v>263004</v>
      </c>
      <c r="U131" s="2">
        <v>3</v>
      </c>
      <c r="V131" s="14">
        <f t="shared" si="42"/>
        <v>263001</v>
      </c>
      <c r="W131" s="14">
        <f t="shared" si="43"/>
        <v>263002</v>
      </c>
      <c r="X131" s="14">
        <f t="shared" si="43"/>
        <v>263003</v>
      </c>
      <c r="Y131" s="2"/>
      <c r="Z131" s="2"/>
      <c r="AA131" s="2"/>
      <c r="AB131" s="2"/>
      <c r="AC131" s="2"/>
      <c r="AD131" s="2"/>
      <c r="AE131" s="2"/>
      <c r="AF131" s="2">
        <v>3</v>
      </c>
      <c r="AG131" s="2">
        <v>219</v>
      </c>
      <c r="AH131" s="2">
        <v>220</v>
      </c>
      <c r="AI131" s="2">
        <v>221</v>
      </c>
      <c r="AJ131" s="2"/>
      <c r="AK131" s="2"/>
      <c r="AL131" s="2"/>
      <c r="AM131" s="2"/>
      <c r="AN131" s="2"/>
      <c r="AO131" s="2"/>
      <c r="AP131" s="2"/>
      <c r="AQ131">
        <f t="shared" si="50"/>
        <v>0</v>
      </c>
      <c r="AR131">
        <f>IF(ISERROR(VLOOKUP(IF(O131=4,P131,IF(Q131=4,R131,0)),[4]D_任务!$A$2:$B$132,2,FALSE)),IF(O131=4,P131,IF(Q131=4,R131,0)),VLOOKUP(IF(O131=4,P131,IF(Q131=4,R131,0)),[4]D_任务!$A$2:$B$132,2,FALSE))</f>
        <v>0</v>
      </c>
      <c r="AS131" t="str">
        <f t="shared" ref="AS131:AS194" si="70">IF(ISERROR(VLOOKUP(IF(O131=3,P131,IF(Q131=3,R131,0)),$A$3:$D$220,4,FALSE)),IF(O131=3,P131,IF(Q131=3,R131,0)),VLOOKUP(IF(O131=3,P131,IF(Q131=3,R131,0)),$A$3:$D$220,4,FALSE))</f>
        <v>精英暗魔</v>
      </c>
      <c r="AT131">
        <f>VLOOKUP(A131,CHOOSE({1,2},[5]怪物信息表!$K$5:$K$76,[5]怪物信息表!$J$5:$J$76),2,FALSE)</f>
        <v>60</v>
      </c>
    </row>
    <row r="132" spans="1:46" x14ac:dyDescent="0.15">
      <c r="A132" s="2">
        <v>6204</v>
      </c>
      <c r="B132" s="2">
        <v>2</v>
      </c>
      <c r="C132" s="2">
        <v>6</v>
      </c>
      <c r="D132" s="9" t="s">
        <v>91</v>
      </c>
      <c r="E132" s="11">
        <f>IFERROR(VLOOKUP(C132,[3]副本规划!$W$20:$X$27,2,0),E131)</f>
        <v>14</v>
      </c>
      <c r="F132" s="2">
        <f>IFERROR(ROUNDUP(VLOOKUP(T132,CHOOSE({1,2},[5]D_怪物表!$I$1:$I$1120,[5]D_怪物表!$AH$1:$AH$1120),2,FALSE),0),0)</f>
        <v>80003</v>
      </c>
      <c r="G132" s="2">
        <v>1</v>
      </c>
      <c r="H132" s="2">
        <v>1</v>
      </c>
      <c r="I132" s="2">
        <v>6</v>
      </c>
      <c r="J132" s="2">
        <v>0</v>
      </c>
      <c r="K132" s="2">
        <v>0</v>
      </c>
      <c r="L132" s="2"/>
      <c r="M132" s="2">
        <f t="shared" si="51"/>
        <v>2</v>
      </c>
      <c r="N132" s="2">
        <v>1</v>
      </c>
      <c r="O132" s="2">
        <v>3</v>
      </c>
      <c r="P132" s="2">
        <f t="shared" si="53"/>
        <v>6203</v>
      </c>
      <c r="Q132" s="2">
        <v>3</v>
      </c>
      <c r="R132" s="2">
        <f t="shared" si="40"/>
        <v>6004</v>
      </c>
      <c r="S132" s="11">
        <f t="shared" si="57"/>
        <v>506204</v>
      </c>
      <c r="T132" s="11">
        <f t="shared" si="41"/>
        <v>264004</v>
      </c>
      <c r="U132" s="2">
        <v>3</v>
      </c>
      <c r="V132" s="14">
        <f t="shared" si="42"/>
        <v>264001</v>
      </c>
      <c r="W132" s="14">
        <f t="shared" si="43"/>
        <v>264002</v>
      </c>
      <c r="X132" s="14">
        <f t="shared" si="43"/>
        <v>264003</v>
      </c>
      <c r="Y132" s="2"/>
      <c r="Z132" s="2"/>
      <c r="AA132" s="2"/>
      <c r="AB132" s="2"/>
      <c r="AC132" s="2"/>
      <c r="AD132" s="2"/>
      <c r="AE132" s="2"/>
      <c r="AF132" s="2">
        <v>3</v>
      </c>
      <c r="AG132" s="2">
        <v>139</v>
      </c>
      <c r="AH132" s="2">
        <v>140</v>
      </c>
      <c r="AI132" s="2">
        <v>141</v>
      </c>
      <c r="AJ132" s="2"/>
      <c r="AK132" s="2"/>
      <c r="AL132" s="2"/>
      <c r="AM132" s="2"/>
      <c r="AN132" s="2"/>
      <c r="AO132" s="2"/>
      <c r="AP132" s="2"/>
      <c r="AQ132">
        <f t="shared" si="50"/>
        <v>0</v>
      </c>
      <c r="AR132">
        <f>IF(ISERROR(VLOOKUP(IF(O132=4,P132,IF(Q132=4,R132,0)),[4]D_任务!$A$2:$B$132,2,FALSE)),IF(O132=4,P132,IF(Q132=4,R132,0)),VLOOKUP(IF(O132=4,P132,IF(Q132=4,R132,0)),[4]D_任务!$A$2:$B$132,2,FALSE))</f>
        <v>0</v>
      </c>
      <c r="AS132" t="str">
        <f t="shared" si="70"/>
        <v>精英血狂</v>
      </c>
      <c r="AT132">
        <f>VLOOKUP(A132,CHOOSE({1,2},[5]怪物信息表!$K$5:$K$76,[5]怪物信息表!$J$5:$J$76),2,FALSE)</f>
        <v>61</v>
      </c>
    </row>
    <row r="133" spans="1:46" x14ac:dyDescent="0.15">
      <c r="A133" s="2">
        <v>6205</v>
      </c>
      <c r="B133" s="2">
        <v>2</v>
      </c>
      <c r="C133" s="2">
        <v>6</v>
      </c>
      <c r="D133" s="9" t="s">
        <v>571</v>
      </c>
      <c r="E133" s="11">
        <f>IFERROR(VLOOKUP(C133,[3]副本规划!$W$20:$X$27,2,0),E132)</f>
        <v>14</v>
      </c>
      <c r="F133" s="2">
        <f>IFERROR(ROUNDUP(VLOOKUP(T133,CHOOSE({1,2},[5]D_怪物表!$I$1:$I$1120,[5]D_怪物表!$AH$1:$AH$1120),2,FALSE),0),0)</f>
        <v>87006</v>
      </c>
      <c r="G133" s="2">
        <v>1</v>
      </c>
      <c r="H133" s="2">
        <v>1</v>
      </c>
      <c r="I133" s="2">
        <v>6</v>
      </c>
      <c r="J133" s="2">
        <v>0</v>
      </c>
      <c r="K133" s="2">
        <v>0</v>
      </c>
      <c r="L133" s="2"/>
      <c r="M133" s="2">
        <f t="shared" si="51"/>
        <v>2</v>
      </c>
      <c r="N133" s="2">
        <v>1</v>
      </c>
      <c r="O133" s="2">
        <v>3</v>
      </c>
      <c r="P133" s="2">
        <f t="shared" si="53"/>
        <v>6204</v>
      </c>
      <c r="Q133" s="2">
        <v>3</v>
      </c>
      <c r="R133" s="2">
        <f t="shared" si="40"/>
        <v>6005</v>
      </c>
      <c r="S133" s="11">
        <f t="shared" si="57"/>
        <v>506205</v>
      </c>
      <c r="T133" s="11">
        <f t="shared" si="41"/>
        <v>265004</v>
      </c>
      <c r="U133" s="2">
        <v>3</v>
      </c>
      <c r="V133" s="14">
        <f t="shared" si="42"/>
        <v>265001</v>
      </c>
      <c r="W133" s="14">
        <f t="shared" si="43"/>
        <v>265002</v>
      </c>
      <c r="X133" s="14">
        <f t="shared" si="43"/>
        <v>265003</v>
      </c>
      <c r="Y133" s="2"/>
      <c r="Z133" s="2"/>
      <c r="AA133" s="2"/>
      <c r="AB133" s="2"/>
      <c r="AC133" s="2"/>
      <c r="AD133" s="2"/>
      <c r="AE133" s="2"/>
      <c r="AF133" s="2">
        <v>3</v>
      </c>
      <c r="AG133" s="2">
        <v>173</v>
      </c>
      <c r="AH133" s="2">
        <v>174</v>
      </c>
      <c r="AI133" s="2">
        <v>175</v>
      </c>
      <c r="AJ133" s="2"/>
      <c r="AK133" s="2"/>
      <c r="AL133" s="2"/>
      <c r="AM133" s="2"/>
      <c r="AN133" s="2"/>
      <c r="AO133" s="2"/>
      <c r="AP133" s="2"/>
      <c r="AQ133">
        <f t="shared" si="50"/>
        <v>0</v>
      </c>
      <c r="AR133">
        <f>IF(ISERROR(VLOOKUP(IF(O133=4,P133,IF(Q133=4,R133,0)),[4]D_任务!$A$2:$B$132,2,FALSE)),IF(O133=4,P133,IF(Q133=4,R133,0)),VLOOKUP(IF(O133=4,P133,IF(Q133=4,R133,0)),[4]D_任务!$A$2:$B$132,2,FALSE))</f>
        <v>0</v>
      </c>
      <c r="AS133" t="str">
        <f t="shared" si="70"/>
        <v>精英獠牙</v>
      </c>
      <c r="AT133">
        <f>VLOOKUP(A133,CHOOSE({1,2},[5]怪物信息表!$K$5:$K$76,[5]怪物信息表!$J$5:$J$76),2,FALSE)</f>
        <v>62</v>
      </c>
    </row>
    <row r="134" spans="1:46" x14ac:dyDescent="0.15">
      <c r="A134" s="2">
        <v>6206</v>
      </c>
      <c r="B134" s="2">
        <v>2</v>
      </c>
      <c r="C134" s="2">
        <v>6</v>
      </c>
      <c r="D134" s="9" t="s">
        <v>572</v>
      </c>
      <c r="E134" s="11">
        <f>IFERROR(VLOOKUP(C134,[3]副本规划!$W$20:$X$27,2,0),E133)</f>
        <v>14</v>
      </c>
      <c r="F134" s="2">
        <f>IFERROR(ROUNDUP(VLOOKUP(T134,CHOOSE({1,2},[5]D_怪物表!$I$1:$I$1120,[5]D_怪物表!$AH$1:$AH$1120),2,FALSE),0),0)</f>
        <v>94586</v>
      </c>
      <c r="G134" s="2">
        <v>1</v>
      </c>
      <c r="H134" s="2">
        <v>1</v>
      </c>
      <c r="I134" s="2">
        <v>6</v>
      </c>
      <c r="J134" s="2">
        <v>0</v>
      </c>
      <c r="K134" s="2">
        <v>0</v>
      </c>
      <c r="L134" s="2"/>
      <c r="M134" s="2">
        <f t="shared" si="51"/>
        <v>2</v>
      </c>
      <c r="N134" s="2">
        <v>1</v>
      </c>
      <c r="O134" s="2">
        <v>3</v>
      </c>
      <c r="P134" s="2">
        <f t="shared" si="53"/>
        <v>6205</v>
      </c>
      <c r="Q134" s="2">
        <v>3</v>
      </c>
      <c r="R134" s="2">
        <f t="shared" si="40"/>
        <v>6006</v>
      </c>
      <c r="S134" s="11">
        <f t="shared" si="57"/>
        <v>506206</v>
      </c>
      <c r="T134" s="11">
        <f t="shared" si="41"/>
        <v>266004</v>
      </c>
      <c r="U134" s="2">
        <v>3</v>
      </c>
      <c r="V134" s="14">
        <f t="shared" si="42"/>
        <v>266001</v>
      </c>
      <c r="W134" s="14">
        <f t="shared" si="43"/>
        <v>266002</v>
      </c>
      <c r="X134" s="14">
        <f t="shared" si="43"/>
        <v>266003</v>
      </c>
      <c r="Y134" s="2"/>
      <c r="Z134" s="2"/>
      <c r="AA134" s="2"/>
      <c r="AB134" s="2"/>
      <c r="AC134" s="2"/>
      <c r="AD134" s="2"/>
      <c r="AE134" s="2"/>
      <c r="AF134" s="2">
        <v>3</v>
      </c>
      <c r="AG134" s="2">
        <v>112</v>
      </c>
      <c r="AH134" s="2">
        <v>113</v>
      </c>
      <c r="AI134" s="2">
        <v>114</v>
      </c>
      <c r="AJ134" s="2"/>
      <c r="AK134" s="2"/>
      <c r="AL134" s="2"/>
      <c r="AM134" s="2"/>
      <c r="AN134" s="2"/>
      <c r="AO134" s="2"/>
      <c r="AP134" s="2"/>
      <c r="AQ134">
        <f t="shared" si="50"/>
        <v>0</v>
      </c>
      <c r="AR134">
        <f>IF(ISERROR(VLOOKUP(IF(O134=4,P134,IF(Q134=4,R134,0)),[4]D_任务!$A$2:$B$132,2,FALSE)),IF(O134=4,P134,IF(Q134=4,R134,0)),VLOOKUP(IF(O134=4,P134,IF(Q134=4,R134,0)),[4]D_任务!$A$2:$B$132,2,FALSE))</f>
        <v>0</v>
      </c>
      <c r="AS134" t="str">
        <f t="shared" si="70"/>
        <v>精英陈浩南</v>
      </c>
      <c r="AT134">
        <f>VLOOKUP(A134,CHOOSE({1,2},[5]怪物信息表!$K$5:$K$76,[5]怪物信息表!$J$5:$J$76),2,FALSE)</f>
        <v>63</v>
      </c>
    </row>
    <row r="135" spans="1:46" x14ac:dyDescent="0.15">
      <c r="A135" s="2">
        <v>6207</v>
      </c>
      <c r="B135" s="2">
        <v>2</v>
      </c>
      <c r="C135" s="2">
        <v>6</v>
      </c>
      <c r="D135" s="9" t="s">
        <v>573</v>
      </c>
      <c r="E135" s="11">
        <f>IFERROR(VLOOKUP(C135,[3]副本规划!$W$20:$X$27,2,0),E134)</f>
        <v>14</v>
      </c>
      <c r="F135" s="2">
        <f>IFERROR(ROUNDUP(VLOOKUP(T135,CHOOSE({1,2},[5]D_怪物表!$I$1:$I$1120,[5]D_怪物表!$AH$1:$AH$1120),2,FALSE),0),0)</f>
        <v>102129</v>
      </c>
      <c r="G135" s="2">
        <v>1</v>
      </c>
      <c r="H135" s="2">
        <v>1</v>
      </c>
      <c r="I135" s="2">
        <v>6</v>
      </c>
      <c r="J135" s="2">
        <v>0</v>
      </c>
      <c r="K135" s="2">
        <v>0</v>
      </c>
      <c r="L135" s="2"/>
      <c r="M135" s="2">
        <f t="shared" ref="M135:M137" si="71">SUM(O135&gt;0,Q135&gt;0)</f>
        <v>2</v>
      </c>
      <c r="N135" s="2">
        <v>1</v>
      </c>
      <c r="O135" s="2">
        <v>3</v>
      </c>
      <c r="P135" s="2">
        <f t="shared" si="53"/>
        <v>6206</v>
      </c>
      <c r="Q135" s="2">
        <v>3</v>
      </c>
      <c r="R135" s="2">
        <f t="shared" ref="R135:R137" si="72">A135-200</f>
        <v>6007</v>
      </c>
      <c r="S135" s="11">
        <f t="shared" ref="S135:S137" si="73">50*10000+A135</f>
        <v>506207</v>
      </c>
      <c r="T135" s="11">
        <f t="shared" si="41"/>
        <v>267004</v>
      </c>
      <c r="U135" s="2">
        <v>3</v>
      </c>
      <c r="V135" s="14">
        <f t="shared" si="42"/>
        <v>267001</v>
      </c>
      <c r="W135" s="14">
        <f t="shared" si="43"/>
        <v>267002</v>
      </c>
      <c r="X135" s="14">
        <f t="shared" si="43"/>
        <v>267003</v>
      </c>
      <c r="Y135" s="2"/>
      <c r="Z135" s="2"/>
      <c r="AA135" s="2"/>
      <c r="AB135" s="2"/>
      <c r="AC135" s="2"/>
      <c r="AD135" s="2"/>
      <c r="AE135" s="2"/>
      <c r="AF135" s="2">
        <v>3</v>
      </c>
      <c r="AG135" s="2">
        <v>219</v>
      </c>
      <c r="AH135" s="2">
        <v>220</v>
      </c>
      <c r="AI135" s="2">
        <v>221</v>
      </c>
      <c r="AJ135" s="2"/>
      <c r="AK135" s="2"/>
      <c r="AL135" s="2"/>
      <c r="AM135" s="2"/>
      <c r="AN135" s="2"/>
      <c r="AO135" s="2"/>
      <c r="AP135" s="2"/>
      <c r="AQ135">
        <f t="shared" ref="AQ135:AQ137" si="74">IF(O135=1,P135,IF(Q135=1,R135,0))</f>
        <v>0</v>
      </c>
      <c r="AR135">
        <f>IF(ISERROR(VLOOKUP(IF(O135=4,P135,IF(Q135=4,R135,0)),[4]D_任务!$A$2:$B$132,2,FALSE)),IF(O135=4,P135,IF(Q135=4,R135,0)),VLOOKUP(IF(O135=4,P135,IF(Q135=4,R135,0)),[4]D_任务!$A$2:$B$132,2,FALSE))</f>
        <v>0</v>
      </c>
      <c r="AS135" t="str">
        <f t="shared" si="70"/>
        <v>精英毒牙</v>
      </c>
      <c r="AT135">
        <f>VLOOKUP(A135,CHOOSE({1,2},[5]怪物信息表!$K$5:$K$76,[5]怪物信息表!$J$5:$J$76),2,FALSE)</f>
        <v>64</v>
      </c>
    </row>
    <row r="136" spans="1:46" x14ac:dyDescent="0.15">
      <c r="A136" s="2">
        <v>6208</v>
      </c>
      <c r="B136" s="2">
        <v>2</v>
      </c>
      <c r="C136" s="2">
        <v>6</v>
      </c>
      <c r="D136" s="9" t="s">
        <v>574</v>
      </c>
      <c r="E136" s="11">
        <f>IFERROR(VLOOKUP(C136,[3]副本规划!$W$20:$X$27,2,0),E135)</f>
        <v>14</v>
      </c>
      <c r="F136" s="2">
        <f>IFERROR(ROUNDUP(VLOOKUP(T136,CHOOSE({1,2},[5]D_怪物表!$I$1:$I$1120,[5]D_怪物表!$AH$1:$AH$1120),2,FALSE),0),0)</f>
        <v>112880</v>
      </c>
      <c r="G136" s="2">
        <v>1</v>
      </c>
      <c r="H136" s="2">
        <v>1</v>
      </c>
      <c r="I136" s="2">
        <v>6</v>
      </c>
      <c r="J136" s="2">
        <v>0</v>
      </c>
      <c r="K136" s="2">
        <v>0</v>
      </c>
      <c r="L136" s="2"/>
      <c r="M136" s="2">
        <f t="shared" si="71"/>
        <v>2</v>
      </c>
      <c r="N136" s="2">
        <v>1</v>
      </c>
      <c r="O136" s="2">
        <v>3</v>
      </c>
      <c r="P136" s="2">
        <f t="shared" si="53"/>
        <v>6207</v>
      </c>
      <c r="Q136" s="2">
        <v>3</v>
      </c>
      <c r="R136" s="2">
        <f t="shared" si="72"/>
        <v>6008</v>
      </c>
      <c r="S136" s="11">
        <f t="shared" si="73"/>
        <v>506208</v>
      </c>
      <c r="T136" s="11">
        <f t="shared" si="41"/>
        <v>268004</v>
      </c>
      <c r="U136" s="2">
        <v>3</v>
      </c>
      <c r="V136" s="14">
        <f t="shared" si="42"/>
        <v>268001</v>
      </c>
      <c r="W136" s="14">
        <f t="shared" si="43"/>
        <v>268002</v>
      </c>
      <c r="X136" s="14">
        <f t="shared" si="43"/>
        <v>268003</v>
      </c>
      <c r="Y136" s="2"/>
      <c r="Z136" s="2"/>
      <c r="AA136" s="2"/>
      <c r="AB136" s="2"/>
      <c r="AC136" s="2"/>
      <c r="AD136" s="2"/>
      <c r="AE136" s="2"/>
      <c r="AF136" s="2">
        <v>3</v>
      </c>
      <c r="AG136" s="2">
        <v>219</v>
      </c>
      <c r="AH136" s="2">
        <v>220</v>
      </c>
      <c r="AI136" s="2">
        <v>221</v>
      </c>
      <c r="AJ136" s="2"/>
      <c r="AK136" s="2"/>
      <c r="AL136" s="2"/>
      <c r="AM136" s="2"/>
      <c r="AN136" s="2"/>
      <c r="AO136" s="2"/>
      <c r="AP136" s="2"/>
      <c r="AQ136">
        <f t="shared" si="74"/>
        <v>0</v>
      </c>
      <c r="AR136">
        <f>IF(ISERROR(VLOOKUP(IF(O136=4,P136,IF(Q136=4,R136,0)),[4]D_任务!$A$2:$B$132,2,FALSE)),IF(O136=4,P136,IF(Q136=4,R136,0)),VLOOKUP(IF(O136=4,P136,IF(Q136=4,R136,0)),[4]D_任务!$A$2:$B$132,2,FALSE))</f>
        <v>0</v>
      </c>
      <c r="AS136" t="str">
        <f t="shared" si="70"/>
        <v>精英织田</v>
      </c>
      <c r="AT136">
        <f>VLOOKUP(A136,CHOOSE({1,2},[5]怪物信息表!$K$5:$K$76,[5]怪物信息表!$J$5:$J$76),2,FALSE)</f>
        <v>65</v>
      </c>
    </row>
    <row r="137" spans="1:46" x14ac:dyDescent="0.15">
      <c r="A137" s="2">
        <v>6209</v>
      </c>
      <c r="B137" s="2">
        <v>2</v>
      </c>
      <c r="C137" s="2">
        <v>6</v>
      </c>
      <c r="D137" s="9" t="s">
        <v>92</v>
      </c>
      <c r="E137" s="11">
        <f>IFERROR(VLOOKUP(C137,[3]副本规划!$W$20:$X$27,2,0),E136)</f>
        <v>14</v>
      </c>
      <c r="F137" s="2">
        <f>IFERROR(ROUNDUP(VLOOKUP(T137,CHOOSE({1,2},[5]D_怪物表!$I$1:$I$1120,[5]D_怪物表!$AH$1:$AH$1120),2,FALSE),0),0)</f>
        <v>121562</v>
      </c>
      <c r="G137" s="2">
        <v>1</v>
      </c>
      <c r="H137" s="2">
        <v>1</v>
      </c>
      <c r="I137" s="2">
        <v>6</v>
      </c>
      <c r="J137" s="2">
        <v>0</v>
      </c>
      <c r="K137" s="2">
        <v>0</v>
      </c>
      <c r="L137" s="2"/>
      <c r="M137" s="2">
        <f t="shared" si="71"/>
        <v>2</v>
      </c>
      <c r="N137" s="2">
        <v>1</v>
      </c>
      <c r="O137" s="2">
        <v>3</v>
      </c>
      <c r="P137" s="2">
        <f t="shared" si="53"/>
        <v>6208</v>
      </c>
      <c r="Q137" s="2">
        <v>3</v>
      </c>
      <c r="R137" s="2">
        <f t="shared" si="72"/>
        <v>6009</v>
      </c>
      <c r="S137" s="11">
        <f t="shared" si="73"/>
        <v>506209</v>
      </c>
      <c r="T137" s="11">
        <f t="shared" si="41"/>
        <v>269004</v>
      </c>
      <c r="U137" s="2">
        <v>3</v>
      </c>
      <c r="V137" s="14">
        <f t="shared" si="42"/>
        <v>269001</v>
      </c>
      <c r="W137" s="14">
        <f t="shared" si="43"/>
        <v>269002</v>
      </c>
      <c r="X137" s="14">
        <f t="shared" si="43"/>
        <v>269003</v>
      </c>
      <c r="Y137" s="2"/>
      <c r="Z137" s="2"/>
      <c r="AA137" s="2"/>
      <c r="AB137" s="2"/>
      <c r="AC137" s="2"/>
      <c r="AD137" s="2"/>
      <c r="AE137" s="2"/>
      <c r="AF137" s="2">
        <v>3</v>
      </c>
      <c r="AG137" s="2">
        <v>219</v>
      </c>
      <c r="AH137" s="2">
        <v>220</v>
      </c>
      <c r="AI137" s="2">
        <v>221</v>
      </c>
      <c r="AJ137" s="2"/>
      <c r="AK137" s="2"/>
      <c r="AL137" s="2"/>
      <c r="AM137" s="2"/>
      <c r="AN137" s="2"/>
      <c r="AO137" s="2"/>
      <c r="AP137" s="2"/>
      <c r="AQ137">
        <f t="shared" si="74"/>
        <v>0</v>
      </c>
      <c r="AR137">
        <f>IF(ISERROR(VLOOKUP(IF(O137=4,P137,IF(Q137=4,R137,0)),[4]D_任务!$A$2:$B$132,2,FALSE)),IF(O137=4,P137,IF(Q137=4,R137,0)),VLOOKUP(IF(O137=4,P137,IF(Q137=4,R137,0)),[4]D_任务!$A$2:$B$132,2,FALSE))</f>
        <v>0</v>
      </c>
      <c r="AS137" t="str">
        <f t="shared" si="70"/>
        <v>精英太乙部下</v>
      </c>
      <c r="AT137">
        <f>VLOOKUP(A137,CHOOSE({1,2},[5]怪物信息表!$K$5:$K$76,[5]怪物信息表!$J$5:$J$76),2,FALSE)</f>
        <v>66</v>
      </c>
    </row>
    <row r="138" spans="1:46" x14ac:dyDescent="0.15">
      <c r="A138" s="2">
        <v>7201</v>
      </c>
      <c r="B138" s="2">
        <v>2</v>
      </c>
      <c r="C138" s="2">
        <v>7</v>
      </c>
      <c r="D138" s="9" t="s">
        <v>575</v>
      </c>
      <c r="E138" s="11">
        <f>IFERROR(VLOOKUP(C138,[3]副本规划!$W$20:$X$27,2,0),E137)</f>
        <v>14</v>
      </c>
      <c r="F138" s="2">
        <f>IFERROR(ROUNDUP(VLOOKUP(T138,CHOOSE({1,2},[5]D_怪物表!$I$1:$I$1120,[5]D_怪物表!$AH$1:$AH$1120),2,FALSE),0),0)</f>
        <v>113170</v>
      </c>
      <c r="G138" s="2">
        <v>1</v>
      </c>
      <c r="H138" s="2">
        <v>1</v>
      </c>
      <c r="I138" s="2">
        <v>6</v>
      </c>
      <c r="J138" s="2">
        <v>0</v>
      </c>
      <c r="K138" s="2">
        <v>0</v>
      </c>
      <c r="L138" s="2"/>
      <c r="M138" s="2">
        <f t="shared" si="51"/>
        <v>2</v>
      </c>
      <c r="N138" s="2">
        <v>1</v>
      </c>
      <c r="O138" s="2">
        <v>3</v>
      </c>
      <c r="P138" s="2">
        <f t="shared" si="53"/>
        <v>6209</v>
      </c>
      <c r="Q138" s="2">
        <v>3</v>
      </c>
      <c r="R138" s="2">
        <f t="shared" si="40"/>
        <v>7001</v>
      </c>
      <c r="S138" s="11">
        <f t="shared" si="57"/>
        <v>507201</v>
      </c>
      <c r="T138" s="11">
        <f t="shared" si="41"/>
        <v>271004</v>
      </c>
      <c r="U138" s="2">
        <v>3</v>
      </c>
      <c r="V138" s="14">
        <f t="shared" si="42"/>
        <v>271001</v>
      </c>
      <c r="W138" s="14">
        <f t="shared" si="43"/>
        <v>271002</v>
      </c>
      <c r="X138" s="14">
        <f t="shared" si="43"/>
        <v>271003</v>
      </c>
      <c r="Y138" s="2"/>
      <c r="Z138" s="2"/>
      <c r="AA138" s="2"/>
      <c r="AB138" s="2"/>
      <c r="AC138" s="2"/>
      <c r="AD138" s="2"/>
      <c r="AE138" s="2"/>
      <c r="AF138" s="2">
        <v>3</v>
      </c>
      <c r="AG138" s="2">
        <v>428</v>
      </c>
      <c r="AH138" s="2">
        <v>429</v>
      </c>
      <c r="AI138" s="2">
        <v>448</v>
      </c>
      <c r="AJ138" s="2"/>
      <c r="AK138" s="2"/>
      <c r="AL138" s="2"/>
      <c r="AM138" s="2"/>
      <c r="AN138" s="2"/>
      <c r="AO138" s="2"/>
      <c r="AP138" s="2"/>
      <c r="AQ138">
        <f t="shared" si="50"/>
        <v>0</v>
      </c>
      <c r="AR138">
        <f>IF(ISERROR(VLOOKUP(IF(O138=4,P138,IF(Q138=4,R138,0)),[4]D_任务!$A$2:$B$132,2,FALSE)),IF(O138=4,P138,IF(Q138=4,R138,0)),VLOOKUP(IF(O138=4,P138,IF(Q138=4,R138,0)),[4]D_任务!$A$2:$B$132,2,FALSE))</f>
        <v>0</v>
      </c>
      <c r="AS138" t="str">
        <f t="shared" si="70"/>
        <v>精英太乙</v>
      </c>
      <c r="AT138">
        <f>VLOOKUP(A138,CHOOSE({1,2},[5]怪物信息表!$K$5:$K$76,[5]怪物信息表!$J$5:$J$76),2,FALSE)</f>
        <v>67</v>
      </c>
    </row>
    <row r="139" spans="1:46" x14ac:dyDescent="0.15">
      <c r="A139" s="2">
        <v>7202</v>
      </c>
      <c r="B139" s="2">
        <v>2</v>
      </c>
      <c r="C139" s="2">
        <v>7</v>
      </c>
      <c r="D139" s="9" t="s">
        <v>576</v>
      </c>
      <c r="E139" s="11">
        <f>IFERROR(VLOOKUP(C139,[3]副本规划!$W$20:$X$27,2,0),E138)</f>
        <v>14</v>
      </c>
      <c r="F139" s="2">
        <f>IFERROR(ROUNDUP(VLOOKUP(T139,CHOOSE({1,2},[5]D_怪物表!$I$1:$I$1120,[5]D_怪物表!$AH$1:$AH$1120),2,FALSE),0),0)</f>
        <v>121970</v>
      </c>
      <c r="G139" s="2">
        <v>1</v>
      </c>
      <c r="H139" s="2">
        <v>1</v>
      </c>
      <c r="I139" s="2">
        <v>6</v>
      </c>
      <c r="J139" s="2">
        <v>0</v>
      </c>
      <c r="K139" s="2">
        <v>0</v>
      </c>
      <c r="L139" s="2"/>
      <c r="M139" s="2">
        <f t="shared" si="51"/>
        <v>2</v>
      </c>
      <c r="N139" s="2">
        <v>1</v>
      </c>
      <c r="O139" s="2">
        <v>3</v>
      </c>
      <c r="P139" s="2">
        <f t="shared" si="53"/>
        <v>7201</v>
      </c>
      <c r="Q139" s="2">
        <v>3</v>
      </c>
      <c r="R139" s="2">
        <f t="shared" si="40"/>
        <v>7002</v>
      </c>
      <c r="S139" s="11">
        <f t="shared" si="57"/>
        <v>507202</v>
      </c>
      <c r="T139" s="11">
        <f t="shared" si="41"/>
        <v>272004</v>
      </c>
      <c r="U139" s="2">
        <v>3</v>
      </c>
      <c r="V139" s="14">
        <f t="shared" si="42"/>
        <v>272001</v>
      </c>
      <c r="W139" s="14">
        <f t="shared" si="43"/>
        <v>272002</v>
      </c>
      <c r="X139" s="14">
        <f t="shared" si="43"/>
        <v>272003</v>
      </c>
      <c r="Y139" s="2"/>
      <c r="Z139" s="2"/>
      <c r="AA139" s="2"/>
      <c r="AB139" s="2"/>
      <c r="AC139" s="2"/>
      <c r="AD139" s="2"/>
      <c r="AE139" s="2"/>
      <c r="AF139" s="2">
        <v>3</v>
      </c>
      <c r="AG139" s="2">
        <v>410</v>
      </c>
      <c r="AH139" s="2">
        <v>411</v>
      </c>
      <c r="AI139" s="2">
        <v>412</v>
      </c>
      <c r="AJ139" s="2"/>
      <c r="AK139" s="2"/>
      <c r="AL139" s="2"/>
      <c r="AM139" s="2"/>
      <c r="AN139" s="2"/>
      <c r="AO139" s="2"/>
      <c r="AP139" s="2"/>
      <c r="AQ139">
        <f t="shared" si="50"/>
        <v>0</v>
      </c>
      <c r="AR139">
        <f>IF(ISERROR(VLOOKUP(IF(O139=4,P139,IF(Q139=4,R139,0)),[4]D_任务!$A$2:$B$132,2,FALSE)),IF(O139=4,P139,IF(Q139=4,R139,0)),VLOOKUP(IF(O139=4,P139,IF(Q139=4,R139,0)),[4]D_任务!$A$2:$B$132,2,FALSE))</f>
        <v>0</v>
      </c>
      <c r="AS139" t="str">
        <f t="shared" si="70"/>
        <v>精英白虎堂</v>
      </c>
      <c r="AT139">
        <f>VLOOKUP(A139,CHOOSE({1,2},[5]怪物信息表!$K$5:$K$76,[5]怪物信息表!$J$5:$J$76),2,FALSE)</f>
        <v>68</v>
      </c>
    </row>
    <row r="140" spans="1:46" x14ac:dyDescent="0.15">
      <c r="A140" s="2">
        <v>7203</v>
      </c>
      <c r="B140" s="2">
        <v>2</v>
      </c>
      <c r="C140" s="2">
        <v>7</v>
      </c>
      <c r="D140" s="9" t="s">
        <v>577</v>
      </c>
      <c r="E140" s="11">
        <f>IFERROR(VLOOKUP(C140,[3]副本规划!$W$20:$X$27,2,0),E139)</f>
        <v>14</v>
      </c>
      <c r="F140" s="2">
        <f>IFERROR(ROUNDUP(VLOOKUP(T140,CHOOSE({1,2},[5]D_怪物表!$I$1:$I$1120,[5]D_怪物表!$AH$1:$AH$1120),2,FALSE),0),0)</f>
        <v>131338</v>
      </c>
      <c r="G140" s="2">
        <v>1</v>
      </c>
      <c r="H140" s="2">
        <v>1</v>
      </c>
      <c r="I140" s="2">
        <v>6</v>
      </c>
      <c r="J140" s="2">
        <v>0</v>
      </c>
      <c r="K140" s="2">
        <v>0</v>
      </c>
      <c r="L140" s="2"/>
      <c r="M140" s="2">
        <f t="shared" si="51"/>
        <v>2</v>
      </c>
      <c r="N140" s="2">
        <v>1</v>
      </c>
      <c r="O140" s="2">
        <v>3</v>
      </c>
      <c r="P140" s="2">
        <f t="shared" si="53"/>
        <v>7202</v>
      </c>
      <c r="Q140" s="2">
        <v>3</v>
      </c>
      <c r="R140" s="2">
        <f t="shared" si="40"/>
        <v>7003</v>
      </c>
      <c r="S140" s="11">
        <f t="shared" si="57"/>
        <v>507203</v>
      </c>
      <c r="T140" s="11">
        <f t="shared" si="41"/>
        <v>273004</v>
      </c>
      <c r="U140" s="2">
        <v>3</v>
      </c>
      <c r="V140" s="14">
        <f t="shared" si="42"/>
        <v>273001</v>
      </c>
      <c r="W140" s="14">
        <f t="shared" si="43"/>
        <v>273002</v>
      </c>
      <c r="X140" s="14">
        <f t="shared" si="43"/>
        <v>273003</v>
      </c>
      <c r="Y140" s="2"/>
      <c r="Z140" s="2"/>
      <c r="AA140" s="2"/>
      <c r="AB140" s="2"/>
      <c r="AC140" s="2"/>
      <c r="AD140" s="2"/>
      <c r="AE140" s="2"/>
      <c r="AF140" s="2">
        <v>3</v>
      </c>
      <c r="AG140" s="2">
        <v>366</v>
      </c>
      <c r="AH140" s="2">
        <v>367</v>
      </c>
      <c r="AI140" s="2">
        <v>368</v>
      </c>
      <c r="AJ140" s="2"/>
      <c r="AK140" s="2"/>
      <c r="AL140" s="2"/>
      <c r="AM140" s="2"/>
      <c r="AN140" s="2"/>
      <c r="AO140" s="2"/>
      <c r="AP140" s="2"/>
      <c r="AQ140">
        <f t="shared" si="50"/>
        <v>0</v>
      </c>
      <c r="AR140">
        <f>IF(ISERROR(VLOOKUP(IF(O140=4,P140,IF(Q140=4,R140,0)),[4]D_任务!$A$2:$B$132,2,FALSE)),IF(O140=4,P140,IF(Q140=4,R140,0)),VLOOKUP(IF(O140=4,P140,IF(Q140=4,R140,0)),[4]D_任务!$A$2:$B$132,2,FALSE))</f>
        <v>0</v>
      </c>
      <c r="AS140" t="str">
        <f t="shared" si="70"/>
        <v>精英玄武堂</v>
      </c>
      <c r="AT140">
        <f>VLOOKUP(A140,CHOOSE({1,2},[5]怪物信息表!$K$5:$K$76,[5]怪物信息表!$J$5:$J$76),2,FALSE)</f>
        <v>69</v>
      </c>
    </row>
    <row r="141" spans="1:46" x14ac:dyDescent="0.15">
      <c r="A141" s="2">
        <v>7204</v>
      </c>
      <c r="B141" s="2">
        <v>2</v>
      </c>
      <c r="C141" s="2">
        <v>7</v>
      </c>
      <c r="D141" s="9" t="s">
        <v>578</v>
      </c>
      <c r="E141" s="11">
        <f>IFERROR(VLOOKUP(C141,[3]副本规划!$W$20:$X$27,2,0),E140)</f>
        <v>14</v>
      </c>
      <c r="F141" s="2">
        <f>IFERROR(ROUNDUP(VLOOKUP(T141,CHOOSE({1,2},[5]D_怪物表!$I$1:$I$1120,[5]D_怪物表!$AH$1:$AH$1120),2,FALSE),0),0)</f>
        <v>141853</v>
      </c>
      <c r="G141" s="2">
        <v>1</v>
      </c>
      <c r="H141" s="2">
        <v>1</v>
      </c>
      <c r="I141" s="2">
        <v>6</v>
      </c>
      <c r="J141" s="2">
        <v>0</v>
      </c>
      <c r="K141" s="2">
        <v>0</v>
      </c>
      <c r="L141" s="2"/>
      <c r="M141" s="2">
        <f t="shared" si="51"/>
        <v>2</v>
      </c>
      <c r="N141" s="2">
        <v>1</v>
      </c>
      <c r="O141" s="2">
        <v>3</v>
      </c>
      <c r="P141" s="2">
        <f t="shared" si="53"/>
        <v>7203</v>
      </c>
      <c r="Q141" s="2">
        <v>3</v>
      </c>
      <c r="R141" s="2">
        <f t="shared" si="40"/>
        <v>7004</v>
      </c>
      <c r="S141" s="11">
        <f t="shared" si="57"/>
        <v>507204</v>
      </c>
      <c r="T141" s="11">
        <f t="shared" si="41"/>
        <v>274004</v>
      </c>
      <c r="U141" s="2">
        <v>3</v>
      </c>
      <c r="V141" s="14">
        <f t="shared" si="42"/>
        <v>274001</v>
      </c>
      <c r="W141" s="14">
        <f t="shared" si="43"/>
        <v>274002</v>
      </c>
      <c r="X141" s="14">
        <f t="shared" si="43"/>
        <v>274003</v>
      </c>
      <c r="Y141" s="2"/>
      <c r="Z141" s="2"/>
      <c r="AA141" s="2"/>
      <c r="AB141" s="2"/>
      <c r="AC141" s="2"/>
      <c r="AD141" s="2"/>
      <c r="AE141" s="2"/>
      <c r="AF141" s="2">
        <v>3</v>
      </c>
      <c r="AG141" s="2">
        <v>366</v>
      </c>
      <c r="AH141" s="2">
        <v>367</v>
      </c>
      <c r="AI141" s="2">
        <v>368</v>
      </c>
      <c r="AJ141" s="2"/>
      <c r="AK141" s="2"/>
      <c r="AL141" s="2"/>
      <c r="AM141" s="2"/>
      <c r="AN141" s="2"/>
      <c r="AO141" s="2"/>
      <c r="AP141" s="2"/>
      <c r="AQ141">
        <f t="shared" si="50"/>
        <v>0</v>
      </c>
      <c r="AR141">
        <f>IF(ISERROR(VLOOKUP(IF(O141=4,P141,IF(Q141=4,R141,0)),[4]D_任务!$A$2:$B$132,2,FALSE)),IF(O141=4,P141,IF(Q141=4,R141,0)),VLOOKUP(IF(O141=4,P141,IF(Q141=4,R141,0)),[4]D_任务!$A$2:$B$132,2,FALSE))</f>
        <v>0</v>
      </c>
      <c r="AS141" t="str">
        <f t="shared" si="70"/>
        <v>精英朱雀堂</v>
      </c>
      <c r="AT141">
        <f>VLOOKUP(A141,CHOOSE({1,2},[5]怪物信息表!$K$5:$K$76,[5]怪物信息表!$J$5:$J$76),2,FALSE)</f>
        <v>70</v>
      </c>
    </row>
    <row r="142" spans="1:46" x14ac:dyDescent="0.15">
      <c r="A142" s="2">
        <v>7205</v>
      </c>
      <c r="B142" s="2">
        <v>2</v>
      </c>
      <c r="C142" s="2">
        <v>7</v>
      </c>
      <c r="D142" s="9" t="s">
        <v>93</v>
      </c>
      <c r="E142" s="11">
        <f>IFERROR(VLOOKUP(C142,[3]副本规划!$W$20:$X$27,2,0),E141)</f>
        <v>14</v>
      </c>
      <c r="F142" s="2">
        <f>IFERROR(ROUNDUP(VLOOKUP(T142,CHOOSE({1,2},[5]D_怪物表!$I$1:$I$1120,[5]D_怪物表!$AH$1:$AH$1120),2,FALSE),0),0)</f>
        <v>152838</v>
      </c>
      <c r="G142" s="2">
        <v>1</v>
      </c>
      <c r="H142" s="2">
        <v>1</v>
      </c>
      <c r="I142" s="2">
        <v>6</v>
      </c>
      <c r="J142" s="2">
        <v>0</v>
      </c>
      <c r="K142" s="2">
        <v>0</v>
      </c>
      <c r="L142" s="2"/>
      <c r="M142" s="2">
        <f t="shared" si="51"/>
        <v>2</v>
      </c>
      <c r="N142" s="2">
        <v>1</v>
      </c>
      <c r="O142" s="2">
        <v>3</v>
      </c>
      <c r="P142" s="2">
        <f t="shared" si="53"/>
        <v>7204</v>
      </c>
      <c r="Q142" s="2">
        <v>3</v>
      </c>
      <c r="R142" s="2">
        <f t="shared" si="40"/>
        <v>7005</v>
      </c>
      <c r="S142" s="11">
        <f t="shared" si="57"/>
        <v>507205</v>
      </c>
      <c r="T142" s="11">
        <f t="shared" si="41"/>
        <v>275004</v>
      </c>
      <c r="U142" s="2">
        <v>3</v>
      </c>
      <c r="V142" s="14">
        <f t="shared" si="42"/>
        <v>275001</v>
      </c>
      <c r="W142" s="14">
        <f t="shared" si="43"/>
        <v>275002</v>
      </c>
      <c r="X142" s="14">
        <f t="shared" si="43"/>
        <v>275003</v>
      </c>
      <c r="Y142" s="2"/>
      <c r="Z142" s="2"/>
      <c r="AA142" s="2"/>
      <c r="AB142" s="2"/>
      <c r="AC142" s="2"/>
      <c r="AD142" s="2"/>
      <c r="AE142" s="2"/>
      <c r="AF142" s="2">
        <v>3</v>
      </c>
      <c r="AG142" s="2">
        <v>274</v>
      </c>
      <c r="AH142" s="2">
        <v>275</v>
      </c>
      <c r="AI142" s="2">
        <v>276</v>
      </c>
      <c r="AJ142" s="2"/>
      <c r="AK142" s="2"/>
      <c r="AL142" s="2"/>
      <c r="AM142" s="2"/>
      <c r="AN142" s="2"/>
      <c r="AO142" s="2"/>
      <c r="AP142" s="2"/>
      <c r="AQ142">
        <f t="shared" si="50"/>
        <v>0</v>
      </c>
      <c r="AR142">
        <f>IF(ISERROR(VLOOKUP(IF(O142=4,P142,IF(Q142=4,R142,0)),[4]D_任务!$A$2:$B$132,2,FALSE)),IF(O142=4,P142,IF(Q142=4,R142,0)),VLOOKUP(IF(O142=4,P142,IF(Q142=4,R142,0)),[4]D_任务!$A$2:$B$132,2,FALSE))</f>
        <v>0</v>
      </c>
      <c r="AS142" t="str">
        <f t="shared" si="70"/>
        <v>精英青龙堂</v>
      </c>
      <c r="AT142">
        <f>VLOOKUP(A142,CHOOSE({1,2},[5]怪物信息表!$K$5:$K$76,[5]怪物信息表!$J$5:$J$76),2,FALSE)</f>
        <v>71</v>
      </c>
    </row>
    <row r="143" spans="1:46" x14ac:dyDescent="0.15">
      <c r="A143" s="2">
        <v>7206</v>
      </c>
      <c r="B143" s="2">
        <v>2</v>
      </c>
      <c r="C143" s="2">
        <v>7</v>
      </c>
      <c r="D143" s="9" t="s">
        <v>579</v>
      </c>
      <c r="E143" s="11">
        <f>IFERROR(VLOOKUP(C143,[3]副本规划!$W$20:$X$27,2,0),E142)</f>
        <v>14</v>
      </c>
      <c r="F143" s="2">
        <f>IFERROR(ROUNDUP(VLOOKUP(T143,CHOOSE({1,2},[5]D_怪物表!$I$1:$I$1120,[5]D_怪物表!$AH$1:$AH$1120),2,FALSE),0),0)</f>
        <v>164598</v>
      </c>
      <c r="G143" s="2">
        <v>1</v>
      </c>
      <c r="H143" s="2">
        <v>1</v>
      </c>
      <c r="I143" s="2">
        <v>6</v>
      </c>
      <c r="J143" s="2">
        <v>0</v>
      </c>
      <c r="K143" s="2">
        <v>0</v>
      </c>
      <c r="L143" s="2"/>
      <c r="M143" s="2">
        <f t="shared" si="51"/>
        <v>2</v>
      </c>
      <c r="N143" s="2">
        <v>1</v>
      </c>
      <c r="O143" s="2">
        <v>3</v>
      </c>
      <c r="P143" s="2">
        <f t="shared" si="53"/>
        <v>7205</v>
      </c>
      <c r="Q143" s="2">
        <v>3</v>
      </c>
      <c r="R143" s="2">
        <f t="shared" si="40"/>
        <v>7006</v>
      </c>
      <c r="S143" s="11">
        <f t="shared" si="57"/>
        <v>507206</v>
      </c>
      <c r="T143" s="11">
        <f t="shared" si="41"/>
        <v>276004</v>
      </c>
      <c r="U143" s="2">
        <v>3</v>
      </c>
      <c r="V143" s="14">
        <f t="shared" si="42"/>
        <v>276001</v>
      </c>
      <c r="W143" s="14">
        <f t="shared" si="43"/>
        <v>276002</v>
      </c>
      <c r="X143" s="14">
        <f t="shared" si="43"/>
        <v>276003</v>
      </c>
      <c r="Y143" s="2"/>
      <c r="Z143" s="2"/>
      <c r="AA143" s="2"/>
      <c r="AB143" s="2"/>
      <c r="AC143" s="2"/>
      <c r="AD143" s="2"/>
      <c r="AE143" s="2"/>
      <c r="AF143" s="2">
        <v>3</v>
      </c>
      <c r="AG143" s="2">
        <v>246</v>
      </c>
      <c r="AH143" s="2">
        <v>247</v>
      </c>
      <c r="AI143" s="2">
        <v>248</v>
      </c>
      <c r="AJ143" s="2"/>
      <c r="AK143" s="2"/>
      <c r="AL143" s="2"/>
      <c r="AM143" s="2"/>
      <c r="AN143" s="2"/>
      <c r="AO143" s="2"/>
      <c r="AP143" s="2"/>
      <c r="AQ143">
        <f t="shared" si="50"/>
        <v>0</v>
      </c>
      <c r="AR143">
        <f>IF(ISERROR(VLOOKUP(IF(O143=4,P143,IF(Q143=4,R143,0)),[4]D_任务!$A$2:$B$132,2,FALSE)),IF(O143=4,P143,IF(Q143=4,R143,0)),VLOOKUP(IF(O143=4,P143,IF(Q143=4,R143,0)),[4]D_任务!$A$2:$B$132,2,FALSE))</f>
        <v>0</v>
      </c>
      <c r="AS143" t="str">
        <f t="shared" si="70"/>
        <v>精英佐维</v>
      </c>
      <c r="AT143">
        <f>VLOOKUP(A143,CHOOSE({1,2},[5]怪物信息表!$K$5:$K$76,[5]怪物信息表!$J$5:$J$76),2,FALSE)</f>
        <v>72</v>
      </c>
    </row>
    <row r="144" spans="1:46" x14ac:dyDescent="0.15">
      <c r="A144" s="2">
        <v>7207</v>
      </c>
      <c r="B144" s="2">
        <v>2</v>
      </c>
      <c r="C144" s="2">
        <v>7</v>
      </c>
      <c r="D144" s="9" t="s">
        <v>580</v>
      </c>
      <c r="E144" s="11">
        <f>IFERROR(VLOOKUP(C144,[3]副本规划!$W$20:$X$27,2,0),E143)</f>
        <v>14</v>
      </c>
      <c r="F144" s="2">
        <f>IFERROR(ROUNDUP(VLOOKUP(T144,CHOOSE({1,2},[5]D_怪物表!$I$1:$I$1120,[5]D_怪物表!$AH$1:$AH$1120),2,FALSE),0),0)</f>
        <v>176268</v>
      </c>
      <c r="G144" s="2">
        <v>1</v>
      </c>
      <c r="H144" s="2">
        <v>1</v>
      </c>
      <c r="I144" s="2">
        <v>6</v>
      </c>
      <c r="J144" s="2">
        <v>0</v>
      </c>
      <c r="K144" s="2">
        <v>0</v>
      </c>
      <c r="L144" s="2"/>
      <c r="M144" s="2">
        <f t="shared" ref="M144:M146" si="75">SUM(O144&gt;0,Q144&gt;0)</f>
        <v>2</v>
      </c>
      <c r="N144" s="2">
        <v>1</v>
      </c>
      <c r="O144" s="2">
        <v>3</v>
      </c>
      <c r="P144" s="2">
        <f t="shared" si="53"/>
        <v>7206</v>
      </c>
      <c r="Q144" s="2">
        <v>3</v>
      </c>
      <c r="R144" s="2">
        <f t="shared" ref="R144:R146" si="76">A144-200</f>
        <v>7007</v>
      </c>
      <c r="S144" s="11">
        <f t="shared" ref="S144:S146" si="77">50*10000+A144</f>
        <v>507207</v>
      </c>
      <c r="T144" s="11">
        <f t="shared" si="41"/>
        <v>277004</v>
      </c>
      <c r="U144" s="2">
        <v>3</v>
      </c>
      <c r="V144" s="14">
        <f t="shared" si="42"/>
        <v>277001</v>
      </c>
      <c r="W144" s="14">
        <f t="shared" si="43"/>
        <v>277002</v>
      </c>
      <c r="X144" s="14">
        <f t="shared" si="43"/>
        <v>277003</v>
      </c>
      <c r="Y144" s="2"/>
      <c r="Z144" s="2"/>
      <c r="AA144" s="2"/>
      <c r="AB144" s="2"/>
      <c r="AC144" s="2"/>
      <c r="AD144" s="2"/>
      <c r="AE144" s="2"/>
      <c r="AF144" s="2">
        <v>3</v>
      </c>
      <c r="AG144" s="2">
        <v>428</v>
      </c>
      <c r="AH144" s="2">
        <v>429</v>
      </c>
      <c r="AI144" s="2">
        <v>448</v>
      </c>
      <c r="AJ144" s="2"/>
      <c r="AK144" s="2"/>
      <c r="AL144" s="2"/>
      <c r="AM144" s="2"/>
      <c r="AN144" s="2"/>
      <c r="AO144" s="2"/>
      <c r="AP144" s="2"/>
      <c r="AQ144">
        <f t="shared" ref="AQ144:AQ146" si="78">IF(O144=1,P144,IF(Q144=1,R144,0))</f>
        <v>0</v>
      </c>
      <c r="AR144">
        <f>IF(ISERROR(VLOOKUP(IF(O144=4,P144,IF(Q144=4,R144,0)),[4]D_任务!$A$2:$B$132,2,FALSE)),IF(O144=4,P144,IF(Q144=4,R144,0)),VLOOKUP(IF(O144=4,P144,IF(Q144=4,R144,0)),[4]D_任务!$A$2:$B$132,2,FALSE))</f>
        <v>0</v>
      </c>
      <c r="AS144" t="str">
        <f t="shared" si="70"/>
        <v>精英傲虎</v>
      </c>
      <c r="AT144">
        <f>VLOOKUP(A144,CHOOSE({1,2},[5]怪物信息表!$K$5:$K$76,[5]怪物信息表!$J$5:$J$76),2,FALSE)</f>
        <v>73</v>
      </c>
    </row>
    <row r="145" spans="1:46" x14ac:dyDescent="0.15">
      <c r="A145" s="2">
        <v>7208</v>
      </c>
      <c r="B145" s="2">
        <v>2</v>
      </c>
      <c r="C145" s="2">
        <v>7</v>
      </c>
      <c r="D145" s="9" t="s">
        <v>581</v>
      </c>
      <c r="E145" s="11">
        <f>IFERROR(VLOOKUP(C145,[3]副本规划!$W$20:$X$27,2,0),E144)</f>
        <v>14</v>
      </c>
      <c r="F145" s="2">
        <f>IFERROR(ROUNDUP(VLOOKUP(T145,CHOOSE({1,2},[5]D_怪物表!$I$1:$I$1120,[5]D_怪物表!$AH$1:$AH$1120),2,FALSE),0),0)</f>
        <v>193195</v>
      </c>
      <c r="G145" s="2">
        <v>1</v>
      </c>
      <c r="H145" s="2">
        <v>1</v>
      </c>
      <c r="I145" s="2">
        <v>6</v>
      </c>
      <c r="J145" s="2">
        <v>0</v>
      </c>
      <c r="K145" s="2">
        <v>0</v>
      </c>
      <c r="L145" s="2"/>
      <c r="M145" s="2">
        <f t="shared" si="75"/>
        <v>2</v>
      </c>
      <c r="N145" s="2">
        <v>1</v>
      </c>
      <c r="O145" s="2">
        <v>3</v>
      </c>
      <c r="P145" s="2">
        <f t="shared" si="53"/>
        <v>7207</v>
      </c>
      <c r="Q145" s="2">
        <v>3</v>
      </c>
      <c r="R145" s="2">
        <f t="shared" si="76"/>
        <v>7008</v>
      </c>
      <c r="S145" s="11">
        <f t="shared" si="77"/>
        <v>507208</v>
      </c>
      <c r="T145" s="11">
        <f t="shared" si="41"/>
        <v>278004</v>
      </c>
      <c r="U145" s="2">
        <v>3</v>
      </c>
      <c r="V145" s="14">
        <f t="shared" si="42"/>
        <v>278001</v>
      </c>
      <c r="W145" s="14">
        <f t="shared" si="43"/>
        <v>278002</v>
      </c>
      <c r="X145" s="14">
        <f t="shared" si="43"/>
        <v>278003</v>
      </c>
      <c r="Y145" s="2"/>
      <c r="Z145" s="2"/>
      <c r="AA145" s="2"/>
      <c r="AB145" s="2"/>
      <c r="AC145" s="2"/>
      <c r="AD145" s="2"/>
      <c r="AE145" s="2"/>
      <c r="AF145" s="2">
        <v>3</v>
      </c>
      <c r="AG145" s="2">
        <v>410</v>
      </c>
      <c r="AH145" s="2">
        <v>411</v>
      </c>
      <c r="AI145" s="2">
        <v>412</v>
      </c>
      <c r="AJ145" s="2"/>
      <c r="AK145" s="2"/>
      <c r="AL145" s="2"/>
      <c r="AM145" s="2"/>
      <c r="AN145" s="2"/>
      <c r="AO145" s="2"/>
      <c r="AP145" s="2"/>
      <c r="AQ145">
        <f t="shared" si="78"/>
        <v>0</v>
      </c>
      <c r="AR145">
        <f>IF(ISERROR(VLOOKUP(IF(O145=4,P145,IF(Q145=4,R145,0)),[4]D_任务!$A$2:$B$132,2,FALSE)),IF(O145=4,P145,IF(Q145=4,R145,0)),VLOOKUP(IF(O145=4,P145,IF(Q145=4,R145,0)),[4]D_任务!$A$2:$B$132,2,FALSE))</f>
        <v>0</v>
      </c>
      <c r="AS145" t="str">
        <f t="shared" si="70"/>
        <v>精英狂龙</v>
      </c>
      <c r="AT145">
        <f>VLOOKUP(A145,CHOOSE({1,2},[5]怪物信息表!$K$5:$K$76,[5]怪物信息表!$J$5:$J$76),2,FALSE)</f>
        <v>74</v>
      </c>
    </row>
    <row r="146" spans="1:46" x14ac:dyDescent="0.15">
      <c r="A146" s="2">
        <v>7209</v>
      </c>
      <c r="B146" s="2">
        <v>2</v>
      </c>
      <c r="C146" s="2">
        <v>7</v>
      </c>
      <c r="D146" s="9" t="s">
        <v>94</v>
      </c>
      <c r="E146" s="11">
        <f>IFERROR(VLOOKUP(C146,[3]副本规划!$W$20:$X$27,2,0),E145)</f>
        <v>14</v>
      </c>
      <c r="F146" s="2">
        <f>IFERROR(ROUNDUP(VLOOKUP(T146,CHOOSE({1,2},[5]D_怪物表!$I$1:$I$1120,[5]D_怪物表!$AH$1:$AH$1120),2,FALSE),0),0)</f>
        <v>206312</v>
      </c>
      <c r="G146" s="2">
        <v>1</v>
      </c>
      <c r="H146" s="2">
        <v>1</v>
      </c>
      <c r="I146" s="2">
        <v>6</v>
      </c>
      <c r="J146" s="2">
        <v>0</v>
      </c>
      <c r="K146" s="2">
        <v>0</v>
      </c>
      <c r="L146" s="2"/>
      <c r="M146" s="2">
        <f t="shared" si="75"/>
        <v>2</v>
      </c>
      <c r="N146" s="2">
        <v>1</v>
      </c>
      <c r="O146" s="2">
        <v>3</v>
      </c>
      <c r="P146" s="2">
        <f t="shared" si="53"/>
        <v>7208</v>
      </c>
      <c r="Q146" s="2">
        <v>3</v>
      </c>
      <c r="R146" s="2">
        <f t="shared" si="76"/>
        <v>7009</v>
      </c>
      <c r="S146" s="11">
        <f t="shared" si="77"/>
        <v>507209</v>
      </c>
      <c r="T146" s="11">
        <f t="shared" si="41"/>
        <v>279004</v>
      </c>
      <c r="U146" s="2">
        <v>3</v>
      </c>
      <c r="V146" s="14">
        <f t="shared" si="42"/>
        <v>279001</v>
      </c>
      <c r="W146" s="14">
        <f t="shared" si="43"/>
        <v>279002</v>
      </c>
      <c r="X146" s="14">
        <f t="shared" si="43"/>
        <v>279003</v>
      </c>
      <c r="Y146" s="2"/>
      <c r="Z146" s="2"/>
      <c r="AA146" s="2"/>
      <c r="AB146" s="2"/>
      <c r="AC146" s="2"/>
      <c r="AD146" s="2"/>
      <c r="AE146" s="2"/>
      <c r="AF146" s="2">
        <v>3</v>
      </c>
      <c r="AG146" s="2">
        <v>366</v>
      </c>
      <c r="AH146" s="2">
        <v>367</v>
      </c>
      <c r="AI146" s="2">
        <v>368</v>
      </c>
      <c r="AJ146" s="2"/>
      <c r="AK146" s="2"/>
      <c r="AL146" s="2"/>
      <c r="AM146" s="2"/>
      <c r="AN146" s="2"/>
      <c r="AO146" s="2"/>
      <c r="AP146" s="2"/>
      <c r="AQ146">
        <f t="shared" si="78"/>
        <v>0</v>
      </c>
      <c r="AR146">
        <f>IF(ISERROR(VLOOKUP(IF(O146=4,P146,IF(Q146=4,R146,0)),[4]D_任务!$A$2:$B$132,2,FALSE)),IF(O146=4,P146,IF(Q146=4,R146,0)),VLOOKUP(IF(O146=4,P146,IF(Q146=4,R146,0)),[4]D_任务!$A$2:$B$132,2,FALSE))</f>
        <v>0</v>
      </c>
      <c r="AS146" t="str">
        <f t="shared" si="70"/>
        <v>精英山崎</v>
      </c>
      <c r="AT146">
        <f>VLOOKUP(A146,CHOOSE({1,2},[5]怪物信息表!$K$5:$K$76,[5]怪物信息表!$J$5:$J$76),2,FALSE)</f>
        <v>75</v>
      </c>
    </row>
    <row r="147" spans="1:46" x14ac:dyDescent="0.15">
      <c r="A147" s="2">
        <v>8201</v>
      </c>
      <c r="B147" s="2">
        <v>2</v>
      </c>
      <c r="C147" s="2">
        <v>8</v>
      </c>
      <c r="D147" s="9" t="s">
        <v>582</v>
      </c>
      <c r="E147" s="11">
        <f>IFERROR(VLOOKUP(C147,[3]副本规划!$W$20:$X$27,2,0),E146)</f>
        <v>14</v>
      </c>
      <c r="F147" s="2">
        <f>IFERROR(ROUNDUP(VLOOKUP(T147,CHOOSE({1,2},[5]D_怪物表!$I$1:$I$1120,[5]D_怪物表!$AH$1:$AH$1120),2,FALSE),0),0)</f>
        <v>190924</v>
      </c>
      <c r="G147" s="2">
        <v>1</v>
      </c>
      <c r="H147" s="2">
        <v>1</v>
      </c>
      <c r="I147" s="2">
        <v>6</v>
      </c>
      <c r="J147" s="2">
        <v>0</v>
      </c>
      <c r="K147" s="2">
        <v>0</v>
      </c>
      <c r="L147" s="2"/>
      <c r="M147" s="2">
        <f t="shared" si="51"/>
        <v>2</v>
      </c>
      <c r="N147" s="2">
        <v>1</v>
      </c>
      <c r="O147" s="2">
        <v>3</v>
      </c>
      <c r="P147" s="2">
        <f t="shared" si="53"/>
        <v>7209</v>
      </c>
      <c r="Q147" s="2">
        <v>3</v>
      </c>
      <c r="R147" s="2">
        <f t="shared" si="40"/>
        <v>8001</v>
      </c>
      <c r="S147" s="11">
        <f t="shared" si="57"/>
        <v>508201</v>
      </c>
      <c r="T147" s="11">
        <f t="shared" si="41"/>
        <v>281004</v>
      </c>
      <c r="U147" s="2">
        <v>3</v>
      </c>
      <c r="V147" s="14">
        <f t="shared" si="42"/>
        <v>281001</v>
      </c>
      <c r="W147" s="14">
        <f t="shared" si="43"/>
        <v>281002</v>
      </c>
      <c r="X147" s="14">
        <f t="shared" si="43"/>
        <v>281003</v>
      </c>
      <c r="Y147" s="2"/>
      <c r="Z147" s="2"/>
      <c r="AA147" s="2"/>
      <c r="AB147" s="2"/>
      <c r="AC147" s="2"/>
      <c r="AD147" s="2"/>
      <c r="AE147" s="2"/>
      <c r="AF147" s="2">
        <v>3</v>
      </c>
      <c r="AG147" s="2">
        <v>920</v>
      </c>
      <c r="AH147" s="2">
        <v>921</v>
      </c>
      <c r="AI147" s="2">
        <v>922</v>
      </c>
      <c r="AJ147" s="2"/>
      <c r="AK147" s="2"/>
      <c r="AL147" s="2"/>
      <c r="AM147" s="2"/>
      <c r="AN147" s="2"/>
      <c r="AO147" s="2"/>
      <c r="AP147" s="2"/>
      <c r="AQ147">
        <f t="shared" si="50"/>
        <v>0</v>
      </c>
      <c r="AR147">
        <f>IF(ISERROR(VLOOKUP(IF(O147=4,P147,IF(Q147=4,R147,0)),[4]D_任务!$A$2:$B$132,2,FALSE)),IF(O147=4,P147,IF(Q147=4,R147,0)),VLOOKUP(IF(O147=4,P147,IF(Q147=4,R147,0)),[4]D_任务!$A$2:$B$132,2,FALSE))</f>
        <v>0</v>
      </c>
      <c r="AS147" t="str">
        <f t="shared" si="70"/>
        <v>精英杀手首领</v>
      </c>
      <c r="AT147">
        <f>VLOOKUP(A147,CHOOSE({1,2},[5]怪物信息表!$K$5:$K$76,[5]怪物信息表!$J$5:$J$76),2,FALSE)</f>
        <v>76</v>
      </c>
    </row>
    <row r="148" spans="1:46" x14ac:dyDescent="0.15">
      <c r="A148" s="2">
        <v>8202</v>
      </c>
      <c r="B148" s="2">
        <v>2</v>
      </c>
      <c r="C148" s="2">
        <v>8</v>
      </c>
      <c r="D148" s="9" t="s">
        <v>583</v>
      </c>
      <c r="E148" s="11">
        <f>IFERROR(VLOOKUP(C148,[3]副本规划!$W$20:$X$27,2,0),E147)</f>
        <v>14</v>
      </c>
      <c r="F148" s="2">
        <f>IFERROR(ROUNDUP(VLOOKUP(T148,CHOOSE({1,2},[5]D_怪物表!$I$1:$I$1120,[5]D_怪物表!$AH$1:$AH$1120),2,FALSE),0),0)</f>
        <v>204662</v>
      </c>
      <c r="G148" s="2">
        <v>1</v>
      </c>
      <c r="H148" s="2">
        <v>1</v>
      </c>
      <c r="I148" s="2">
        <v>6</v>
      </c>
      <c r="J148" s="2">
        <v>0</v>
      </c>
      <c r="K148" s="2">
        <v>0</v>
      </c>
      <c r="L148" s="2"/>
      <c r="M148" s="2">
        <f t="shared" si="51"/>
        <v>2</v>
      </c>
      <c r="N148" s="2">
        <v>1</v>
      </c>
      <c r="O148" s="2">
        <v>3</v>
      </c>
      <c r="P148" s="2">
        <f t="shared" si="53"/>
        <v>8201</v>
      </c>
      <c r="Q148" s="2">
        <v>3</v>
      </c>
      <c r="R148" s="2">
        <f t="shared" si="40"/>
        <v>8002</v>
      </c>
      <c r="S148" s="11">
        <f t="shared" si="57"/>
        <v>508202</v>
      </c>
      <c r="T148" s="11">
        <f t="shared" si="41"/>
        <v>282004</v>
      </c>
      <c r="U148" s="2">
        <v>3</v>
      </c>
      <c r="V148" s="14">
        <f t="shared" si="42"/>
        <v>282001</v>
      </c>
      <c r="W148" s="14">
        <f t="shared" si="43"/>
        <v>282002</v>
      </c>
      <c r="X148" s="14">
        <f t="shared" si="43"/>
        <v>282003</v>
      </c>
      <c r="Y148" s="2"/>
      <c r="Z148" s="2"/>
      <c r="AA148" s="2"/>
      <c r="AB148" s="2"/>
      <c r="AC148" s="2"/>
      <c r="AD148" s="2"/>
      <c r="AE148" s="2"/>
      <c r="AF148" s="2">
        <v>3</v>
      </c>
      <c r="AG148" s="2">
        <v>513</v>
      </c>
      <c r="AH148" s="2">
        <v>514</v>
      </c>
      <c r="AI148" s="2">
        <v>515</v>
      </c>
      <c r="AJ148" s="2"/>
      <c r="AK148" s="2"/>
      <c r="AL148" s="2"/>
      <c r="AM148" s="2"/>
      <c r="AN148" s="2"/>
      <c r="AO148" s="2"/>
      <c r="AP148" s="2"/>
      <c r="AQ148">
        <f t="shared" si="50"/>
        <v>0</v>
      </c>
      <c r="AR148">
        <f>IF(ISERROR(VLOOKUP(IF(O148=4,P148,IF(Q148=4,R148,0)),[4]D_任务!$A$2:$B$132,2,FALSE)),IF(O148=4,P148,IF(Q148=4,R148,0)),VLOOKUP(IF(O148=4,P148,IF(Q148=4,R148,0)),[4]D_任务!$A$2:$B$132,2,FALSE))</f>
        <v>0</v>
      </c>
      <c r="AS148" t="str">
        <f t="shared" si="70"/>
        <v>精英复仇靓坤</v>
      </c>
      <c r="AT148">
        <f>VLOOKUP(A148,CHOOSE({1,2},[5]怪物信息表!$K$5:$K$76,[5]怪物信息表!$J$5:$J$76),2,FALSE)</f>
        <v>77</v>
      </c>
    </row>
    <row r="149" spans="1:46" x14ac:dyDescent="0.15">
      <c r="A149" s="2">
        <v>8203</v>
      </c>
      <c r="B149" s="2">
        <v>2</v>
      </c>
      <c r="C149" s="2">
        <v>8</v>
      </c>
      <c r="D149" s="9" t="s">
        <v>584</v>
      </c>
      <c r="E149" s="11">
        <f>IFERROR(VLOOKUP(C149,[3]副本规划!$W$20:$X$27,2,0),E148)</f>
        <v>14</v>
      </c>
      <c r="F149" s="2">
        <f>IFERROR(ROUNDUP(VLOOKUP(T149,CHOOSE({1,2},[5]D_怪物表!$I$1:$I$1120,[5]D_怪物表!$AH$1:$AH$1120),2,FALSE),0),0)</f>
        <v>219484</v>
      </c>
      <c r="G149" s="2">
        <v>1</v>
      </c>
      <c r="H149" s="2">
        <v>1</v>
      </c>
      <c r="I149" s="2">
        <v>6</v>
      </c>
      <c r="J149" s="2">
        <v>0</v>
      </c>
      <c r="K149" s="2">
        <v>0</v>
      </c>
      <c r="L149" s="2"/>
      <c r="M149" s="2">
        <f t="shared" si="51"/>
        <v>2</v>
      </c>
      <c r="N149" s="2">
        <v>1</v>
      </c>
      <c r="O149" s="2">
        <v>3</v>
      </c>
      <c r="P149" s="2">
        <f t="shared" si="53"/>
        <v>8202</v>
      </c>
      <c r="Q149" s="2">
        <v>3</v>
      </c>
      <c r="R149" s="2">
        <f t="shared" si="40"/>
        <v>8003</v>
      </c>
      <c r="S149" s="11">
        <f t="shared" si="57"/>
        <v>508203</v>
      </c>
      <c r="T149" s="11">
        <f t="shared" ref="T149:T155" si="79">200004+MOD(A149,100)*1000+INT(A149/1000)*10000</f>
        <v>283004</v>
      </c>
      <c r="U149" s="2">
        <v>3</v>
      </c>
      <c r="V149" s="14">
        <f t="shared" ref="V149:V155" si="80">200001+MOD(A149,100)*1000+INT(A149/1000)*10000</f>
        <v>283001</v>
      </c>
      <c r="W149" s="14">
        <f t="shared" ref="W149:X155" si="81">V149+1</f>
        <v>283002</v>
      </c>
      <c r="X149" s="14">
        <f t="shared" si="81"/>
        <v>283003</v>
      </c>
      <c r="Y149" s="2"/>
      <c r="Z149" s="2"/>
      <c r="AA149" s="2"/>
      <c r="AB149" s="2"/>
      <c r="AC149" s="2"/>
      <c r="AD149" s="2"/>
      <c r="AE149" s="2"/>
      <c r="AF149" s="2">
        <v>3</v>
      </c>
      <c r="AG149" s="2">
        <v>366</v>
      </c>
      <c r="AH149" s="2">
        <v>367</v>
      </c>
      <c r="AI149" s="2">
        <v>368</v>
      </c>
      <c r="AJ149" s="2"/>
      <c r="AK149" s="2"/>
      <c r="AL149" s="2"/>
      <c r="AM149" s="2"/>
      <c r="AN149" s="2"/>
      <c r="AO149" s="2"/>
      <c r="AP149" s="2"/>
      <c r="AQ149">
        <f t="shared" si="50"/>
        <v>0</v>
      </c>
      <c r="AR149">
        <f>IF(ISERROR(VLOOKUP(IF(O149=4,P149,IF(Q149=4,R149,0)),[4]D_任务!$A$2:$B$132,2,FALSE)),IF(O149=4,P149,IF(Q149=4,R149,0)),VLOOKUP(IF(O149=4,P149,IF(Q149=4,R149,0)),[4]D_任务!$A$2:$B$132,2,FALSE))</f>
        <v>0</v>
      </c>
      <c r="AS149" t="str">
        <f t="shared" si="70"/>
        <v>精英复仇乌鸦</v>
      </c>
      <c r="AT149">
        <f>VLOOKUP(A149,CHOOSE({1,2},[5]怪物信息表!$K$5:$K$76,[5]怪物信息表!$J$5:$J$76),2,FALSE)</f>
        <v>78</v>
      </c>
    </row>
    <row r="150" spans="1:46" x14ac:dyDescent="0.15">
      <c r="A150" s="2">
        <v>8204</v>
      </c>
      <c r="B150" s="2">
        <v>2</v>
      </c>
      <c r="C150" s="2">
        <v>8</v>
      </c>
      <c r="D150" s="9" t="s">
        <v>563</v>
      </c>
      <c r="E150" s="11">
        <f>IFERROR(VLOOKUP(C150,[3]副本规划!$W$20:$X$27,2,0),E149)</f>
        <v>14</v>
      </c>
      <c r="F150" s="2">
        <f>IFERROR(ROUNDUP(VLOOKUP(T150,CHOOSE({1,2},[5]D_怪物表!$I$1:$I$1120,[5]D_怪物表!$AH$1:$AH$1120),2,FALSE),0),0)</f>
        <v>235432</v>
      </c>
      <c r="G150" s="2">
        <v>1</v>
      </c>
      <c r="H150" s="2">
        <v>1</v>
      </c>
      <c r="I150" s="2">
        <v>6</v>
      </c>
      <c r="J150" s="2">
        <v>0</v>
      </c>
      <c r="K150" s="2">
        <v>0</v>
      </c>
      <c r="L150" s="2"/>
      <c r="M150" s="2">
        <f t="shared" si="51"/>
        <v>2</v>
      </c>
      <c r="N150" s="2">
        <v>1</v>
      </c>
      <c r="O150" s="2">
        <v>3</v>
      </c>
      <c r="P150" s="2">
        <f t="shared" si="53"/>
        <v>8203</v>
      </c>
      <c r="Q150" s="2">
        <v>3</v>
      </c>
      <c r="R150" s="2">
        <f t="shared" si="40"/>
        <v>8004</v>
      </c>
      <c r="S150" s="11">
        <f t="shared" si="57"/>
        <v>508204</v>
      </c>
      <c r="T150" s="11">
        <f t="shared" si="79"/>
        <v>284004</v>
      </c>
      <c r="U150" s="2">
        <v>3</v>
      </c>
      <c r="V150" s="14">
        <f t="shared" si="80"/>
        <v>284001</v>
      </c>
      <c r="W150" s="14">
        <f t="shared" si="81"/>
        <v>284002</v>
      </c>
      <c r="X150" s="14">
        <f t="shared" si="81"/>
        <v>284003</v>
      </c>
      <c r="Y150" s="2"/>
      <c r="Z150" s="2"/>
      <c r="AA150" s="2"/>
      <c r="AB150" s="2"/>
      <c r="AC150" s="2"/>
      <c r="AD150" s="2"/>
      <c r="AE150" s="2"/>
      <c r="AF150" s="2">
        <v>3</v>
      </c>
      <c r="AG150" s="2">
        <v>198</v>
      </c>
      <c r="AH150" s="2">
        <v>199</v>
      </c>
      <c r="AI150" s="2">
        <v>200</v>
      </c>
      <c r="AJ150" s="2"/>
      <c r="AK150" s="2"/>
      <c r="AL150" s="2"/>
      <c r="AM150" s="2"/>
      <c r="AN150" s="2"/>
      <c r="AO150" s="2"/>
      <c r="AP150" s="2"/>
      <c r="AQ150">
        <f t="shared" si="50"/>
        <v>0</v>
      </c>
      <c r="AR150">
        <f>IF(ISERROR(VLOOKUP(IF(O150=4,P150,IF(Q150=4,R150,0)),[4]D_任务!$A$2:$B$132,2,FALSE)),IF(O150=4,P150,IF(Q150=4,R150,0)),VLOOKUP(IF(O150=4,P150,IF(Q150=4,R150,0)),[4]D_任务!$A$2:$B$132,2,FALSE))</f>
        <v>0</v>
      </c>
      <c r="AS150" t="str">
        <f t="shared" si="70"/>
        <v>精英复仇司徒</v>
      </c>
      <c r="AT150">
        <f>VLOOKUP(A150,CHOOSE({1,2},[5]怪物信息表!$K$5:$K$76,[5]怪物信息表!$J$5:$J$76),2,FALSE)</f>
        <v>79</v>
      </c>
    </row>
    <row r="151" spans="1:46" x14ac:dyDescent="0.15">
      <c r="A151" s="2">
        <v>8205</v>
      </c>
      <c r="B151" s="2">
        <v>2</v>
      </c>
      <c r="C151" s="2">
        <v>8</v>
      </c>
      <c r="D151" s="9" t="s">
        <v>564</v>
      </c>
      <c r="E151" s="11">
        <f>IFERROR(VLOOKUP(C151,[3]副本规划!$W$20:$X$27,2,0),E150)</f>
        <v>14</v>
      </c>
      <c r="F151" s="2">
        <f>IFERROR(ROUNDUP(VLOOKUP(T151,CHOOSE({1,2},[5]D_怪物表!$I$1:$I$1120,[5]D_怪物表!$AH$1:$AH$1120),2,FALSE),0),0)</f>
        <v>252122</v>
      </c>
      <c r="G151" s="2">
        <v>1</v>
      </c>
      <c r="H151" s="2">
        <v>1</v>
      </c>
      <c r="I151" s="2">
        <v>6</v>
      </c>
      <c r="J151" s="2">
        <v>0</v>
      </c>
      <c r="K151" s="2">
        <v>0</v>
      </c>
      <c r="L151" s="2"/>
      <c r="M151" s="2">
        <f t="shared" si="51"/>
        <v>2</v>
      </c>
      <c r="N151" s="2">
        <v>1</v>
      </c>
      <c r="O151" s="2">
        <v>3</v>
      </c>
      <c r="P151" s="2">
        <f t="shared" si="53"/>
        <v>8204</v>
      </c>
      <c r="Q151" s="2">
        <v>3</v>
      </c>
      <c r="R151" s="2">
        <f t="shared" si="40"/>
        <v>8005</v>
      </c>
      <c r="S151" s="11">
        <f t="shared" si="57"/>
        <v>508205</v>
      </c>
      <c r="T151" s="11">
        <f t="shared" si="79"/>
        <v>285004</v>
      </c>
      <c r="U151" s="2">
        <v>3</v>
      </c>
      <c r="V151" s="14">
        <f t="shared" si="80"/>
        <v>285001</v>
      </c>
      <c r="W151" s="14">
        <f t="shared" si="81"/>
        <v>285002</v>
      </c>
      <c r="X151" s="14">
        <f t="shared" si="81"/>
        <v>285003</v>
      </c>
      <c r="Y151" s="2"/>
      <c r="Z151" s="2"/>
      <c r="AA151" s="2"/>
      <c r="AB151" s="2"/>
      <c r="AC151" s="2"/>
      <c r="AD151" s="2"/>
      <c r="AE151" s="2"/>
      <c r="AF151" s="2">
        <v>3</v>
      </c>
      <c r="AG151" s="2">
        <v>274</v>
      </c>
      <c r="AH151" s="2">
        <v>275</v>
      </c>
      <c r="AI151" s="2">
        <v>276</v>
      </c>
      <c r="AJ151" s="2"/>
      <c r="AK151" s="2"/>
      <c r="AL151" s="2"/>
      <c r="AM151" s="2"/>
      <c r="AN151" s="2"/>
      <c r="AO151" s="2"/>
      <c r="AP151" s="2"/>
      <c r="AQ151">
        <f t="shared" si="50"/>
        <v>0</v>
      </c>
      <c r="AR151">
        <f>IF(ISERROR(VLOOKUP(IF(O151=4,P151,IF(Q151=4,R151,0)),[4]D_任务!$A$2:$B$132,2,FALSE)),IF(O151=4,P151,IF(Q151=4,R151,0)),VLOOKUP(IF(O151=4,P151,IF(Q151=4,R151,0)),[4]D_任务!$A$2:$B$132,2,FALSE))</f>
        <v>0</v>
      </c>
      <c r="AS151" t="str">
        <f t="shared" si="70"/>
        <v>精英生番</v>
      </c>
      <c r="AT151">
        <f>VLOOKUP(A151,CHOOSE({1,2},[5]怪物信息表!$K$5:$K$76,[5]怪物信息表!$J$5:$J$76),2,FALSE)</f>
        <v>80</v>
      </c>
    </row>
    <row r="152" spans="1:46" x14ac:dyDescent="0.15">
      <c r="A152" s="2">
        <v>8206</v>
      </c>
      <c r="B152" s="2">
        <v>2</v>
      </c>
      <c r="C152" s="2">
        <v>8</v>
      </c>
      <c r="D152" s="9" t="s">
        <v>585</v>
      </c>
      <c r="E152" s="11">
        <f>IFERROR(VLOOKUP(C152,[3]副本规划!$W$20:$X$27,2,0),E151)</f>
        <v>14</v>
      </c>
      <c r="F152" s="2">
        <f>IFERROR(ROUNDUP(VLOOKUP(T152,CHOOSE({1,2},[5]D_怪物表!$I$1:$I$1120,[5]D_怪物表!$AH$1:$AH$1120),2,FALSE),0),0)</f>
        <v>286675</v>
      </c>
      <c r="G152" s="2">
        <v>1</v>
      </c>
      <c r="H152" s="2">
        <v>1</v>
      </c>
      <c r="I152" s="2">
        <v>6</v>
      </c>
      <c r="J152" s="2">
        <v>0</v>
      </c>
      <c r="K152" s="2">
        <v>0</v>
      </c>
      <c r="L152" s="2"/>
      <c r="M152" s="2">
        <f t="shared" si="51"/>
        <v>2</v>
      </c>
      <c r="N152" s="2">
        <v>1</v>
      </c>
      <c r="O152" s="2">
        <v>3</v>
      </c>
      <c r="P152" s="2">
        <f t="shared" si="53"/>
        <v>8205</v>
      </c>
      <c r="Q152" s="2">
        <v>3</v>
      </c>
      <c r="R152" s="2">
        <f t="shared" si="40"/>
        <v>8006</v>
      </c>
      <c r="S152" s="11">
        <f t="shared" si="57"/>
        <v>508206</v>
      </c>
      <c r="T152" s="11">
        <f t="shared" si="79"/>
        <v>286004</v>
      </c>
      <c r="U152" s="2">
        <v>3</v>
      </c>
      <c r="V152" s="14">
        <f t="shared" si="80"/>
        <v>286001</v>
      </c>
      <c r="W152" s="14">
        <f t="shared" si="81"/>
        <v>286002</v>
      </c>
      <c r="X152" s="14">
        <f t="shared" si="81"/>
        <v>286003</v>
      </c>
      <c r="Y152" s="2"/>
      <c r="Z152" s="2"/>
      <c r="AA152" s="2"/>
      <c r="AB152" s="2"/>
      <c r="AC152" s="2"/>
      <c r="AD152" s="2"/>
      <c r="AE152" s="2"/>
      <c r="AF152" s="2">
        <v>3</v>
      </c>
      <c r="AG152" s="2">
        <v>246</v>
      </c>
      <c r="AH152" s="2">
        <v>247</v>
      </c>
      <c r="AI152" s="2">
        <v>248</v>
      </c>
      <c r="AJ152" s="2"/>
      <c r="AK152" s="2"/>
      <c r="AL152" s="2"/>
      <c r="AM152" s="2"/>
      <c r="AN152" s="2"/>
      <c r="AO152" s="2"/>
      <c r="AP152" s="2"/>
      <c r="AQ152">
        <f t="shared" si="50"/>
        <v>0</v>
      </c>
      <c r="AR152">
        <f>IF(ISERROR(VLOOKUP(IF(O152=4,P152,IF(Q152=4,R152,0)),[4]D_任务!$A$2:$B$132,2,FALSE)),IF(O152=4,P152,IF(Q152=4,R152,0)),VLOOKUP(IF(O152=4,P152,IF(Q152=4,R152,0)),[4]D_任务!$A$2:$B$132,2,FALSE))</f>
        <v>0</v>
      </c>
      <c r="AS152" t="str">
        <f t="shared" si="70"/>
        <v>精英耀阳</v>
      </c>
      <c r="AT152">
        <f>VLOOKUP(A152,CHOOSE({1,2},[5]怪物信息表!$K$5:$K$76,[5]怪物信息表!$J$5:$J$76),2,FALSE)</f>
        <v>81</v>
      </c>
    </row>
    <row r="153" spans="1:46" x14ac:dyDescent="0.15">
      <c r="A153" s="2">
        <v>8207</v>
      </c>
      <c r="B153" s="2">
        <v>2</v>
      </c>
      <c r="C153" s="2">
        <v>8</v>
      </c>
      <c r="D153" s="9" t="s">
        <v>586</v>
      </c>
      <c r="E153" s="11">
        <f>IFERROR(VLOOKUP(C153,[3]副本规划!$W$20:$X$27,2,0),E152)</f>
        <v>14</v>
      </c>
      <c r="F153" s="2">
        <f>IFERROR(ROUNDUP(VLOOKUP(T153,CHOOSE({1,2},[5]D_怪物表!$I$1:$I$1120,[5]D_怪物表!$AH$1:$AH$1120),2,FALSE),0),0)</f>
        <v>305992</v>
      </c>
      <c r="G153" s="2">
        <v>1</v>
      </c>
      <c r="H153" s="2">
        <v>1</v>
      </c>
      <c r="I153" s="2">
        <v>6</v>
      </c>
      <c r="J153" s="2">
        <v>0</v>
      </c>
      <c r="K153" s="2">
        <v>0</v>
      </c>
      <c r="L153" s="2"/>
      <c r="M153" s="2">
        <f t="shared" ref="M153:M155" si="82">SUM(O153&gt;0,Q153&gt;0)</f>
        <v>2</v>
      </c>
      <c r="N153" s="2">
        <v>1</v>
      </c>
      <c r="O153" s="2">
        <v>3</v>
      </c>
      <c r="P153" s="2">
        <f t="shared" si="53"/>
        <v>8206</v>
      </c>
      <c r="Q153" s="2">
        <v>3</v>
      </c>
      <c r="R153" s="2">
        <f t="shared" ref="R153:R155" si="83">A153-200</f>
        <v>8007</v>
      </c>
      <c r="S153" s="11">
        <f t="shared" ref="S153:S155" si="84">50*10000+A153</f>
        <v>508207</v>
      </c>
      <c r="T153" s="11">
        <f t="shared" si="79"/>
        <v>287004</v>
      </c>
      <c r="U153" s="2">
        <v>3</v>
      </c>
      <c r="V153" s="14">
        <f t="shared" si="80"/>
        <v>287001</v>
      </c>
      <c r="W153" s="14">
        <f t="shared" si="81"/>
        <v>287002</v>
      </c>
      <c r="X153" s="14">
        <f t="shared" si="81"/>
        <v>287003</v>
      </c>
      <c r="Y153" s="2"/>
      <c r="Z153" s="2"/>
      <c r="AA153" s="2"/>
      <c r="AB153" s="2"/>
      <c r="AC153" s="2"/>
      <c r="AD153" s="2"/>
      <c r="AE153" s="2"/>
      <c r="AF153" s="2">
        <v>3</v>
      </c>
      <c r="AG153" s="2">
        <v>920</v>
      </c>
      <c r="AH153" s="2">
        <v>921</v>
      </c>
      <c r="AI153" s="2">
        <v>922</v>
      </c>
      <c r="AJ153" s="2"/>
      <c r="AK153" s="2"/>
      <c r="AL153" s="2"/>
      <c r="AM153" s="2"/>
      <c r="AN153" s="2"/>
      <c r="AO153" s="2"/>
      <c r="AP153" s="2"/>
      <c r="AQ153">
        <f t="shared" ref="AQ153:AQ155" si="85">IF(O153=1,P153,IF(Q153=1,R153,0))</f>
        <v>0</v>
      </c>
      <c r="AR153">
        <f>IF(ISERROR(VLOOKUP(IF(O153=4,P153,IF(Q153=4,R153,0)),[4]D_任务!$A$2:$B$132,2,FALSE)),IF(O153=4,P153,IF(Q153=4,R153,0)),VLOOKUP(IF(O153=4,P153,IF(Q153=4,R153,0)),[4]D_任务!$A$2:$B$132,2,FALSE))</f>
        <v>0</v>
      </c>
      <c r="AS153" t="str">
        <f t="shared" si="70"/>
        <v>精英赌王</v>
      </c>
      <c r="AT153">
        <f>VLOOKUP(A153,CHOOSE({1,2},[5]怪物信息表!$K$5:$K$76,[5]怪物信息表!$J$5:$J$76),2,FALSE)</f>
        <v>82</v>
      </c>
    </row>
    <row r="154" spans="1:46" x14ac:dyDescent="0.15">
      <c r="A154" s="2">
        <v>8208</v>
      </c>
      <c r="B154" s="2">
        <v>2</v>
      </c>
      <c r="C154" s="2">
        <v>8</v>
      </c>
      <c r="D154" s="9" t="s">
        <v>97</v>
      </c>
      <c r="E154" s="11">
        <f>IFERROR(VLOOKUP(C154,[3]副本规划!$W$20:$X$27,2,0),E153)</f>
        <v>14</v>
      </c>
      <c r="F154" s="2">
        <f>IFERROR(ROUNDUP(VLOOKUP(T154,CHOOSE({1,2},[5]D_怪物表!$I$1:$I$1120,[5]D_怪物表!$AH$1:$AH$1120),2,FALSE),0),0)</f>
        <v>336618</v>
      </c>
      <c r="G154" s="2">
        <v>1</v>
      </c>
      <c r="H154" s="2">
        <v>1</v>
      </c>
      <c r="I154" s="2">
        <v>6</v>
      </c>
      <c r="J154" s="2">
        <v>0</v>
      </c>
      <c r="K154" s="2">
        <v>0</v>
      </c>
      <c r="L154" s="2"/>
      <c r="M154" s="2">
        <f t="shared" si="82"/>
        <v>2</v>
      </c>
      <c r="N154" s="2">
        <v>1</v>
      </c>
      <c r="O154" s="2">
        <v>3</v>
      </c>
      <c r="P154" s="2">
        <f t="shared" si="53"/>
        <v>8207</v>
      </c>
      <c r="Q154" s="2">
        <v>3</v>
      </c>
      <c r="R154" s="2">
        <f t="shared" si="83"/>
        <v>8008</v>
      </c>
      <c r="S154" s="11">
        <f t="shared" si="84"/>
        <v>508208</v>
      </c>
      <c r="T154" s="11">
        <f t="shared" si="79"/>
        <v>288004</v>
      </c>
      <c r="U154" s="2">
        <v>3</v>
      </c>
      <c r="V154" s="14">
        <f t="shared" si="80"/>
        <v>288001</v>
      </c>
      <c r="W154" s="14">
        <f t="shared" si="81"/>
        <v>288002</v>
      </c>
      <c r="X154" s="14">
        <f t="shared" si="81"/>
        <v>288003</v>
      </c>
      <c r="Y154" s="2"/>
      <c r="Z154" s="2"/>
      <c r="AA154" s="2"/>
      <c r="AB154" s="2"/>
      <c r="AC154" s="2"/>
      <c r="AD154" s="2"/>
      <c r="AE154" s="2"/>
      <c r="AF154" s="2">
        <v>3</v>
      </c>
      <c r="AG154" s="2">
        <v>513</v>
      </c>
      <c r="AH154" s="2">
        <v>514</v>
      </c>
      <c r="AI154" s="2">
        <v>515</v>
      </c>
      <c r="AJ154" s="2"/>
      <c r="AK154" s="2"/>
      <c r="AL154" s="2"/>
      <c r="AM154" s="2"/>
      <c r="AN154" s="2"/>
      <c r="AO154" s="2"/>
      <c r="AP154" s="2"/>
      <c r="AQ154">
        <f t="shared" si="85"/>
        <v>0</v>
      </c>
      <c r="AR154">
        <f>IF(ISERROR(VLOOKUP(IF(O154=4,P154,IF(Q154=4,R154,0)),[4]D_任务!$A$2:$B$132,2,FALSE)),IF(O154=4,P154,IF(Q154=4,R154,0)),VLOOKUP(IF(O154=4,P154,IF(Q154=4,R154,0)),[4]D_任务!$A$2:$B$132,2,FALSE))</f>
        <v>0</v>
      </c>
      <c r="AS154" t="str">
        <f t="shared" si="70"/>
        <v>精英地中海</v>
      </c>
      <c r="AT154">
        <f>VLOOKUP(A154,CHOOSE({1,2},[5]怪物信息表!$K$5:$K$76,[5]怪物信息表!$J$5:$J$76),2,FALSE)</f>
        <v>83</v>
      </c>
    </row>
    <row r="155" spans="1:46" x14ac:dyDescent="0.15">
      <c r="A155" s="2">
        <v>8209</v>
      </c>
      <c r="B155" s="2">
        <v>2</v>
      </c>
      <c r="C155" s="2">
        <v>8</v>
      </c>
      <c r="D155" s="9" t="s">
        <v>587</v>
      </c>
      <c r="E155" s="11">
        <f>IFERROR(VLOOKUP(C155,[3]副本规划!$W$20:$X$27,2,0),E154)</f>
        <v>14</v>
      </c>
      <c r="F155" s="2">
        <f>IFERROR(ROUNDUP(VLOOKUP(T155,CHOOSE({1,2},[5]D_怪物表!$I$1:$I$1120,[5]D_怪物表!$AH$1:$AH$1120),2,FALSE),0),0)</f>
        <v>358836</v>
      </c>
      <c r="G155" s="2">
        <v>1</v>
      </c>
      <c r="H155" s="2">
        <v>1</v>
      </c>
      <c r="I155" s="2">
        <v>6</v>
      </c>
      <c r="J155" s="2">
        <v>0</v>
      </c>
      <c r="K155" s="2">
        <v>0</v>
      </c>
      <c r="L155" s="2"/>
      <c r="M155" s="2">
        <f t="shared" si="82"/>
        <v>2</v>
      </c>
      <c r="N155" s="2">
        <v>1</v>
      </c>
      <c r="O155" s="2">
        <v>3</v>
      </c>
      <c r="P155" s="2">
        <f t="shared" si="53"/>
        <v>8208</v>
      </c>
      <c r="Q155" s="2">
        <v>3</v>
      </c>
      <c r="R155" s="2">
        <f t="shared" si="83"/>
        <v>8009</v>
      </c>
      <c r="S155" s="11">
        <f t="shared" si="84"/>
        <v>508209</v>
      </c>
      <c r="T155" s="11">
        <f t="shared" si="79"/>
        <v>289004</v>
      </c>
      <c r="U155" s="2">
        <v>3</v>
      </c>
      <c r="V155" s="14">
        <f t="shared" si="80"/>
        <v>289001</v>
      </c>
      <c r="W155" s="14">
        <f t="shared" si="81"/>
        <v>289002</v>
      </c>
      <c r="X155" s="14">
        <f t="shared" si="81"/>
        <v>289003</v>
      </c>
      <c r="Y155" s="2"/>
      <c r="Z155" s="2"/>
      <c r="AA155" s="2"/>
      <c r="AB155" s="2"/>
      <c r="AC155" s="2"/>
      <c r="AD155" s="2"/>
      <c r="AE155" s="2"/>
      <c r="AF155" s="2">
        <v>3</v>
      </c>
      <c r="AG155" s="2">
        <v>366</v>
      </c>
      <c r="AH155" s="2">
        <v>367</v>
      </c>
      <c r="AI155" s="2">
        <v>368</v>
      </c>
      <c r="AJ155" s="2"/>
      <c r="AK155" s="2"/>
      <c r="AL155" s="2"/>
      <c r="AM155" s="2"/>
      <c r="AN155" s="2"/>
      <c r="AO155" s="2"/>
      <c r="AP155" s="2"/>
      <c r="AQ155">
        <f t="shared" si="85"/>
        <v>0</v>
      </c>
      <c r="AR155">
        <f>IF(ISERROR(VLOOKUP(IF(O155=4,P155,IF(Q155=4,R155,0)),[4]D_任务!$A$2:$B$132,2,FALSE)),IF(O155=4,P155,IF(Q155=4,R155,0)),VLOOKUP(IF(O155=4,P155,IF(Q155=4,R155,0)),[4]D_任务!$A$2:$B$132,2,FALSE))</f>
        <v>0</v>
      </c>
      <c r="AS155" t="str">
        <f t="shared" si="70"/>
        <v>精英山鸡</v>
      </c>
      <c r="AT155">
        <f>VLOOKUP(A155,CHOOSE({1,2},[5]怪物信息表!$K$5:$K$76,[5]怪物信息表!$J$5:$J$76),2,FALSE)</f>
        <v>84</v>
      </c>
    </row>
    <row r="156" spans="1:46" x14ac:dyDescent="0.15">
      <c r="A156" s="2">
        <v>1301</v>
      </c>
      <c r="B156" s="2">
        <v>3</v>
      </c>
      <c r="C156" s="2">
        <v>1</v>
      </c>
      <c r="D156" s="2" t="s">
        <v>305</v>
      </c>
      <c r="E156" s="11">
        <f>IFERROR(VLOOKUP(C156,[3]副本规划!$AA$20:$AB$25,2,0),E155)</f>
        <v>12</v>
      </c>
      <c r="F156" s="2">
        <f>IFERROR(ROUNDUP(VLOOKUP(T156,CHOOSE({1,2},[5]D_怪物表!$I$1:$I$1120,[5]D_怪物表!$AH$1:$AH$1120),2,FALSE),0),0)</f>
        <v>2433</v>
      </c>
      <c r="G156" s="2">
        <v>1</v>
      </c>
      <c r="H156" s="2">
        <v>1</v>
      </c>
      <c r="I156" s="2">
        <v>2</v>
      </c>
      <c r="J156" s="2">
        <v>300</v>
      </c>
      <c r="K156" s="2">
        <v>0</v>
      </c>
      <c r="L156" s="2"/>
      <c r="M156" s="2">
        <f t="shared" si="51"/>
        <v>2</v>
      </c>
      <c r="N156" s="2">
        <v>1</v>
      </c>
      <c r="O156" s="2">
        <v>1</v>
      </c>
      <c r="P156" s="2">
        <f>[5]金币副本怪物!$C5</f>
        <v>17</v>
      </c>
      <c r="Q156" s="2">
        <v>4</v>
      </c>
      <c r="R156" s="2">
        <v>1015</v>
      </c>
      <c r="S156" s="11">
        <f t="shared" si="57"/>
        <v>501301</v>
      </c>
      <c r="T156" s="11">
        <v>301101</v>
      </c>
      <c r="U156" s="2">
        <v>0</v>
      </c>
      <c r="V156" s="14"/>
      <c r="W156" s="14"/>
      <c r="X156" s="14"/>
      <c r="Y156" s="2"/>
      <c r="Z156" s="2"/>
      <c r="AA156" s="2"/>
      <c r="AB156" s="2"/>
      <c r="AC156" s="2"/>
      <c r="AD156" s="2"/>
      <c r="AE156" s="2"/>
      <c r="AF156" s="2">
        <v>1</v>
      </c>
      <c r="AG156" s="2">
        <v>96</v>
      </c>
      <c r="AH156" s="2"/>
      <c r="AI156" s="2"/>
      <c r="AJ156" s="2"/>
      <c r="AK156" s="2"/>
      <c r="AL156" s="2"/>
      <c r="AM156" s="2"/>
      <c r="AN156" s="2"/>
      <c r="AO156" s="2"/>
      <c r="AP156" s="2"/>
      <c r="AQ156">
        <f t="shared" si="50"/>
        <v>17</v>
      </c>
      <c r="AR156" t="str">
        <f>IF(ISERROR(VLOOKUP(IF(O156=4,P156,IF(Q156=4,R156,0)),[4]D_任务!$A$2:$B$132,2,FALSE)),IF(O156=4,P156,IF(Q156=4,R156,0)),VLOOKUP(IF(O156=4,P156,IF(Q156=4,R156,0)),[4]D_任务!$A$2:$B$132,2,FALSE))</f>
        <v>伏击张议员</v>
      </c>
      <c r="AS156">
        <f t="shared" si="70"/>
        <v>0</v>
      </c>
      <c r="AT156">
        <f>AQ156</f>
        <v>17</v>
      </c>
    </row>
    <row r="157" spans="1:46" x14ac:dyDescent="0.15">
      <c r="A157" s="2">
        <v>1302</v>
      </c>
      <c r="B157" s="2">
        <v>3</v>
      </c>
      <c r="C157" s="2">
        <v>2</v>
      </c>
      <c r="D157" s="2" t="s">
        <v>306</v>
      </c>
      <c r="E157" s="11">
        <f>IFERROR(VLOOKUP(C157,[3]副本规划!$AA$20:$AB$25,2,0),E156)</f>
        <v>12</v>
      </c>
      <c r="F157" s="2">
        <f>IFERROR(ROUNDUP(VLOOKUP(T157,CHOOSE({1,2},[5]D_怪物表!$I$1:$I$1120,[5]D_怪物表!$AH$1:$AH$1120),2,FALSE),0),0)</f>
        <v>6472</v>
      </c>
      <c r="G157" s="2">
        <v>1</v>
      </c>
      <c r="H157" s="2">
        <v>1</v>
      </c>
      <c r="I157" s="2">
        <v>2</v>
      </c>
      <c r="J157" s="2">
        <v>300</v>
      </c>
      <c r="K157" s="2">
        <v>0</v>
      </c>
      <c r="L157" s="2"/>
      <c r="M157" s="2">
        <f t="shared" si="51"/>
        <v>2</v>
      </c>
      <c r="N157" s="2">
        <v>1</v>
      </c>
      <c r="O157" s="2">
        <v>1</v>
      </c>
      <c r="P157" s="2">
        <f>[5]金币副本怪物!$C6</f>
        <v>29</v>
      </c>
      <c r="Q157" s="2">
        <v>3</v>
      </c>
      <c r="R157" s="2">
        <f>A156</f>
        <v>1301</v>
      </c>
      <c r="S157" s="11">
        <f t="shared" si="57"/>
        <v>501302</v>
      </c>
      <c r="T157" s="11">
        <v>302101</v>
      </c>
      <c r="U157" s="2">
        <v>0</v>
      </c>
      <c r="V157" s="14"/>
      <c r="W157" s="14"/>
      <c r="X157" s="14"/>
      <c r="Y157" s="2"/>
      <c r="Z157" s="2"/>
      <c r="AA157" s="2"/>
      <c r="AB157" s="2"/>
      <c r="AC157" s="2"/>
      <c r="AD157" s="2"/>
      <c r="AE157" s="2"/>
      <c r="AF157" s="2">
        <v>1</v>
      </c>
      <c r="AG157" s="2">
        <v>99</v>
      </c>
      <c r="AH157" s="2"/>
      <c r="AI157" s="2"/>
      <c r="AJ157" s="2"/>
      <c r="AK157" s="2"/>
      <c r="AL157" s="2"/>
      <c r="AM157" s="2"/>
      <c r="AN157" s="2"/>
      <c r="AO157" s="2"/>
      <c r="AP157" s="2"/>
      <c r="AQ157">
        <f t="shared" si="50"/>
        <v>29</v>
      </c>
      <c r="AR157">
        <f>IF(ISERROR(VLOOKUP(IF(O157=4,P157,IF(Q157=4,R157,0)),[4]D_任务!$A$2:$B$132,2,FALSE)),IF(O157=4,P157,IF(Q157=4,R157,0)),VLOOKUP(IF(O157=4,P157,IF(Q157=4,R157,0)),[4]D_任务!$A$2:$B$132,2,FALSE))</f>
        <v>0</v>
      </c>
      <c r="AS157" t="str">
        <f t="shared" si="70"/>
        <v>难度1（金币）</v>
      </c>
      <c r="AT157">
        <f t="shared" ref="AT157:AT216" si="86">AQ157</f>
        <v>29</v>
      </c>
    </row>
    <row r="158" spans="1:46" x14ac:dyDescent="0.15">
      <c r="A158" s="2">
        <v>1303</v>
      </c>
      <c r="B158" s="2">
        <v>3</v>
      </c>
      <c r="C158" s="2">
        <v>3</v>
      </c>
      <c r="D158" s="2" t="s">
        <v>307</v>
      </c>
      <c r="E158" s="11">
        <f>IFERROR(VLOOKUP(C158,[3]副本规划!$AA$20:$AB$25,2,0),E157)</f>
        <v>12</v>
      </c>
      <c r="F158" s="2">
        <f>IFERROR(ROUNDUP(VLOOKUP(T158,CHOOSE({1,2},[5]D_怪物表!$I$1:$I$1120,[5]D_怪物表!$AH$1:$AH$1120),2,FALSE),0),0)</f>
        <v>15994</v>
      </c>
      <c r="G158" s="2">
        <v>1</v>
      </c>
      <c r="H158" s="2">
        <v>1</v>
      </c>
      <c r="I158" s="2">
        <v>2</v>
      </c>
      <c r="J158" s="2">
        <v>300</v>
      </c>
      <c r="K158" s="2">
        <v>0</v>
      </c>
      <c r="L158" s="2"/>
      <c r="M158" s="2">
        <f t="shared" si="51"/>
        <v>2</v>
      </c>
      <c r="N158" s="2">
        <v>1</v>
      </c>
      <c r="O158" s="2">
        <v>1</v>
      </c>
      <c r="P158" s="2">
        <f>[5]金币副本怪物!$C7</f>
        <v>39</v>
      </c>
      <c r="Q158" s="2">
        <v>3</v>
      </c>
      <c r="R158" s="2">
        <f t="shared" ref="R158:R161" si="87">A157</f>
        <v>1302</v>
      </c>
      <c r="S158" s="11">
        <f t="shared" si="57"/>
        <v>501303</v>
      </c>
      <c r="T158" s="11">
        <v>303101</v>
      </c>
      <c r="U158" s="2">
        <v>0</v>
      </c>
      <c r="V158" s="14"/>
      <c r="W158" s="14"/>
      <c r="X158" s="14"/>
      <c r="Y158" s="2"/>
      <c r="Z158" s="2"/>
      <c r="AA158" s="2"/>
      <c r="AB158" s="2"/>
      <c r="AC158" s="2"/>
      <c r="AD158" s="2"/>
      <c r="AE158" s="2"/>
      <c r="AF158" s="2">
        <v>1</v>
      </c>
      <c r="AG158" s="2">
        <v>100</v>
      </c>
      <c r="AH158" s="2"/>
      <c r="AI158" s="2"/>
      <c r="AJ158" s="2"/>
      <c r="AK158" s="2"/>
      <c r="AL158" s="2"/>
      <c r="AM158" s="2"/>
      <c r="AN158" s="2"/>
      <c r="AO158" s="2"/>
      <c r="AP158" s="2"/>
      <c r="AQ158">
        <f t="shared" si="50"/>
        <v>39</v>
      </c>
      <c r="AR158">
        <f>IF(ISERROR(VLOOKUP(IF(O158=4,P158,IF(Q158=4,R158,0)),[4]D_任务!$A$2:$B$132,2,FALSE)),IF(O158=4,P158,IF(Q158=4,R158,0)),VLOOKUP(IF(O158=4,P158,IF(Q158=4,R158,0)),[4]D_任务!$A$2:$B$132,2,FALSE))</f>
        <v>0</v>
      </c>
      <c r="AS158" t="str">
        <f t="shared" si="70"/>
        <v>难度2（金币）</v>
      </c>
      <c r="AT158">
        <f t="shared" si="86"/>
        <v>39</v>
      </c>
    </row>
    <row r="159" spans="1:46" x14ac:dyDescent="0.15">
      <c r="A159" s="2">
        <v>1304</v>
      </c>
      <c r="B159" s="2">
        <v>3</v>
      </c>
      <c r="C159" s="2">
        <v>4</v>
      </c>
      <c r="D159" s="2" t="s">
        <v>308</v>
      </c>
      <c r="E159" s="11">
        <f>IFERROR(VLOOKUP(C159,[3]副本规划!$AA$20:$AB$25,2,0),E158)</f>
        <v>12</v>
      </c>
      <c r="F159" s="2">
        <f>IFERROR(ROUNDUP(VLOOKUP(T159,CHOOSE({1,2},[5]D_怪物表!$I$1:$I$1120,[5]D_怪物表!$AH$1:$AH$1120),2,FALSE),0),0)</f>
        <v>43030</v>
      </c>
      <c r="G159" s="2">
        <v>1</v>
      </c>
      <c r="H159" s="2">
        <v>1</v>
      </c>
      <c r="I159" s="2">
        <v>2</v>
      </c>
      <c r="J159" s="2">
        <v>300</v>
      </c>
      <c r="K159" s="2">
        <v>0</v>
      </c>
      <c r="L159" s="2"/>
      <c r="M159" s="2">
        <f t="shared" si="51"/>
        <v>2</v>
      </c>
      <c r="N159" s="2">
        <v>1</v>
      </c>
      <c r="O159" s="2">
        <v>1</v>
      </c>
      <c r="P159" s="2">
        <f>[5]金币副本怪物!$C8</f>
        <v>49</v>
      </c>
      <c r="Q159" s="2">
        <v>3</v>
      </c>
      <c r="R159" s="2">
        <f t="shared" si="87"/>
        <v>1303</v>
      </c>
      <c r="S159" s="11">
        <f t="shared" si="57"/>
        <v>501304</v>
      </c>
      <c r="T159" s="11">
        <v>304101</v>
      </c>
      <c r="U159" s="2">
        <v>0</v>
      </c>
      <c r="V159" s="14"/>
      <c r="W159" s="14"/>
      <c r="X159" s="14"/>
      <c r="Y159" s="2"/>
      <c r="Z159" s="2"/>
      <c r="AA159" s="2"/>
      <c r="AB159" s="2"/>
      <c r="AC159" s="2"/>
      <c r="AD159" s="2"/>
      <c r="AE159" s="2"/>
      <c r="AF159" s="2">
        <v>1</v>
      </c>
      <c r="AG159" s="2">
        <v>101</v>
      </c>
      <c r="AH159" s="2"/>
      <c r="AI159" s="2"/>
      <c r="AJ159" s="2"/>
      <c r="AK159" s="2"/>
      <c r="AL159" s="2"/>
      <c r="AM159" s="2"/>
      <c r="AN159" s="2"/>
      <c r="AO159" s="2"/>
      <c r="AP159" s="2"/>
      <c r="AQ159">
        <f t="shared" si="50"/>
        <v>49</v>
      </c>
      <c r="AR159">
        <f>IF(ISERROR(VLOOKUP(IF(O159=4,P159,IF(Q159=4,R159,0)),[4]D_任务!$A$2:$B$132,2,FALSE)),IF(O159=4,P159,IF(Q159=4,R159,0)),VLOOKUP(IF(O159=4,P159,IF(Q159=4,R159,0)),[4]D_任务!$A$2:$B$132,2,FALSE))</f>
        <v>0</v>
      </c>
      <c r="AS159" t="str">
        <f t="shared" si="70"/>
        <v>难度3（金币）</v>
      </c>
      <c r="AT159">
        <f t="shared" si="86"/>
        <v>49</v>
      </c>
    </row>
    <row r="160" spans="1:46" x14ac:dyDescent="0.15">
      <c r="A160" s="2">
        <v>1305</v>
      </c>
      <c r="B160" s="2">
        <v>3</v>
      </c>
      <c r="C160" s="2">
        <v>5</v>
      </c>
      <c r="D160" s="2" t="s">
        <v>309</v>
      </c>
      <c r="E160" s="11">
        <f>IFERROR(VLOOKUP(C160,[3]副本规划!$AA$20:$AB$25,2,0),E159)</f>
        <v>12</v>
      </c>
      <c r="F160" s="2">
        <f>IFERROR(ROUNDUP(VLOOKUP(T160,CHOOSE({1,2},[5]D_怪物表!$I$1:$I$1120,[5]D_怪物表!$AH$1:$AH$1120),2,FALSE),0),0)</f>
        <v>114181</v>
      </c>
      <c r="G160" s="2">
        <v>1</v>
      </c>
      <c r="H160" s="2">
        <v>1</v>
      </c>
      <c r="I160" s="2">
        <v>2</v>
      </c>
      <c r="J160" s="2">
        <v>300</v>
      </c>
      <c r="K160" s="2">
        <v>0</v>
      </c>
      <c r="L160" s="2"/>
      <c r="M160" s="2">
        <f t="shared" si="51"/>
        <v>2</v>
      </c>
      <c r="N160" s="2">
        <v>1</v>
      </c>
      <c r="O160" s="2">
        <v>1</v>
      </c>
      <c r="P160" s="2">
        <f>[5]金币副本怪物!$C9</f>
        <v>59</v>
      </c>
      <c r="Q160" s="2">
        <v>3</v>
      </c>
      <c r="R160" s="2">
        <f t="shared" si="87"/>
        <v>1304</v>
      </c>
      <c r="S160" s="11">
        <f t="shared" si="57"/>
        <v>501305</v>
      </c>
      <c r="T160" s="11">
        <v>305101</v>
      </c>
      <c r="U160" s="2">
        <v>0</v>
      </c>
      <c r="V160" s="14"/>
      <c r="W160" s="14"/>
      <c r="X160" s="14"/>
      <c r="Y160" s="2"/>
      <c r="Z160" s="2"/>
      <c r="AA160" s="2"/>
      <c r="AB160" s="2"/>
      <c r="AC160" s="2"/>
      <c r="AD160" s="2"/>
      <c r="AE160" s="2"/>
      <c r="AF160" s="2">
        <v>1</v>
      </c>
      <c r="AG160" s="2">
        <v>102</v>
      </c>
      <c r="AH160" s="2"/>
      <c r="AI160" s="2"/>
      <c r="AJ160" s="2"/>
      <c r="AK160" s="2"/>
      <c r="AL160" s="2"/>
      <c r="AM160" s="2"/>
      <c r="AN160" s="2"/>
      <c r="AO160" s="2"/>
      <c r="AP160" s="2"/>
      <c r="AQ160">
        <f t="shared" si="50"/>
        <v>59</v>
      </c>
      <c r="AR160">
        <f>IF(ISERROR(VLOOKUP(IF(O160=4,P160,IF(Q160=4,R160,0)),[4]D_任务!$A$2:$B$132,2,FALSE)),IF(O160=4,P160,IF(Q160=4,R160,0)),VLOOKUP(IF(O160=4,P160,IF(Q160=4,R160,0)),[4]D_任务!$A$2:$B$132,2,FALSE))</f>
        <v>0</v>
      </c>
      <c r="AS160" t="str">
        <f t="shared" si="70"/>
        <v>难度4（金币）</v>
      </c>
      <c r="AT160">
        <f t="shared" si="86"/>
        <v>59</v>
      </c>
    </row>
    <row r="161" spans="1:46" x14ac:dyDescent="0.15">
      <c r="A161" s="2">
        <v>1306</v>
      </c>
      <c r="B161" s="2">
        <v>3</v>
      </c>
      <c r="C161" s="2">
        <v>6</v>
      </c>
      <c r="D161" s="2" t="s">
        <v>310</v>
      </c>
      <c r="E161" s="11">
        <f>IFERROR(VLOOKUP(C161,[3]副本规划!$AA$20:$AB$25,2,0),E160)</f>
        <v>12</v>
      </c>
      <c r="F161" s="2">
        <f>IFERROR(ROUNDUP(VLOOKUP(T161,CHOOSE({1,2},[5]D_怪物表!$I$1:$I$1120,[5]D_怪物表!$AH$1:$AH$1120),2,FALSE),0),0)</f>
        <v>287686</v>
      </c>
      <c r="G161" s="2">
        <v>1</v>
      </c>
      <c r="H161" s="2">
        <v>1</v>
      </c>
      <c r="I161" s="2">
        <v>2</v>
      </c>
      <c r="J161" s="2">
        <v>300</v>
      </c>
      <c r="K161" s="2">
        <v>0</v>
      </c>
      <c r="L161" s="2"/>
      <c r="M161" s="2">
        <f t="shared" si="51"/>
        <v>2</v>
      </c>
      <c r="N161" s="2">
        <v>1</v>
      </c>
      <c r="O161" s="2">
        <v>1</v>
      </c>
      <c r="P161" s="2">
        <f>[5]金币副本怪物!$C10</f>
        <v>69</v>
      </c>
      <c r="Q161" s="2">
        <v>3</v>
      </c>
      <c r="R161" s="2">
        <f t="shared" si="87"/>
        <v>1305</v>
      </c>
      <c r="S161" s="11">
        <f t="shared" si="57"/>
        <v>501306</v>
      </c>
      <c r="T161" s="11">
        <v>306101</v>
      </c>
      <c r="U161" s="2">
        <v>0</v>
      </c>
      <c r="V161" s="14"/>
      <c r="W161" s="14"/>
      <c r="X161" s="14"/>
      <c r="Y161" s="2"/>
      <c r="Z161" s="2"/>
      <c r="AA161" s="2"/>
      <c r="AB161" s="2"/>
      <c r="AC161" s="2"/>
      <c r="AD161" s="2"/>
      <c r="AE161" s="2"/>
      <c r="AF161" s="2">
        <v>1</v>
      </c>
      <c r="AG161" s="2">
        <v>103</v>
      </c>
      <c r="AH161" s="2"/>
      <c r="AI161" s="2"/>
      <c r="AJ161" s="2"/>
      <c r="AK161" s="2"/>
      <c r="AL161" s="2"/>
      <c r="AM161" s="2"/>
      <c r="AN161" s="2"/>
      <c r="AO161" s="2"/>
      <c r="AP161" s="2"/>
      <c r="AQ161">
        <f t="shared" si="50"/>
        <v>69</v>
      </c>
      <c r="AR161">
        <f>IF(ISERROR(VLOOKUP(IF(O161=4,P161,IF(Q161=4,R161,0)),[4]D_任务!$A$2:$B$132,2,FALSE)),IF(O161=4,P161,IF(Q161=4,R161,0)),VLOOKUP(IF(O161=4,P161,IF(Q161=4,R161,0)),[4]D_任务!$A$2:$B$132,2,FALSE))</f>
        <v>0</v>
      </c>
      <c r="AS161" t="str">
        <f t="shared" si="70"/>
        <v>难度5（金币）</v>
      </c>
      <c r="AT161">
        <f t="shared" si="86"/>
        <v>69</v>
      </c>
    </row>
    <row r="162" spans="1:46" x14ac:dyDescent="0.15">
      <c r="A162" s="2">
        <v>1401</v>
      </c>
      <c r="B162" s="2">
        <v>3</v>
      </c>
      <c r="C162" s="2">
        <v>1</v>
      </c>
      <c r="D162" s="2" t="s">
        <v>311</v>
      </c>
      <c r="E162" s="11">
        <f>E156</f>
        <v>12</v>
      </c>
      <c r="F162" s="2">
        <f>IFERROR(ROUNDUP(VLOOKUP(T162,CHOOSE({1,2},[5]D_怪物表!$I$1:$I$1120,[5]D_怪物表!$AH$1:$AH$1120),2,FALSE),0),0)</f>
        <v>7319</v>
      </c>
      <c r="G162" s="2">
        <v>1</v>
      </c>
      <c r="H162" s="2">
        <v>1</v>
      </c>
      <c r="I162" s="2">
        <v>2</v>
      </c>
      <c r="J162" s="2">
        <v>300</v>
      </c>
      <c r="K162" s="2">
        <v>0</v>
      </c>
      <c r="L162" s="2"/>
      <c r="M162" s="2">
        <f t="shared" si="51"/>
        <v>2</v>
      </c>
      <c r="N162" s="2">
        <v>1</v>
      </c>
      <c r="O162" s="2">
        <v>1</v>
      </c>
      <c r="P162" s="2">
        <f>[5]材料副本怪物!$C5</f>
        <v>35</v>
      </c>
      <c r="Q162" s="2">
        <v>4</v>
      </c>
      <c r="R162" s="2">
        <v>1015</v>
      </c>
      <c r="S162" s="11">
        <f t="shared" si="57"/>
        <v>501401</v>
      </c>
      <c r="T162" s="11">
        <v>401103</v>
      </c>
      <c r="U162" s="2">
        <v>0</v>
      </c>
      <c r="V162" s="14"/>
      <c r="W162" s="14"/>
      <c r="X162" s="14"/>
      <c r="Y162" s="2"/>
      <c r="Z162" s="2"/>
      <c r="AA162" s="2"/>
      <c r="AB162" s="2"/>
      <c r="AC162" s="2"/>
      <c r="AD162" s="2"/>
      <c r="AE162" s="2"/>
      <c r="AF162" s="2">
        <v>3</v>
      </c>
      <c r="AG162" s="2">
        <v>340</v>
      </c>
      <c r="AH162" s="2">
        <v>341</v>
      </c>
      <c r="AI162" s="2">
        <v>342</v>
      </c>
      <c r="AJ162" s="2"/>
      <c r="AK162" s="2"/>
      <c r="AL162" s="2"/>
      <c r="AM162" s="2"/>
      <c r="AN162" s="2"/>
      <c r="AO162" s="2"/>
      <c r="AP162" s="2"/>
      <c r="AQ162">
        <f t="shared" si="50"/>
        <v>35</v>
      </c>
      <c r="AR162" t="str">
        <f>IF(ISERROR(VLOOKUP(IF(O162=4,P162,IF(Q162=4,R162,0)),[4]D_任务!$A$2:$B$132,2,FALSE)),IF(O162=4,P162,IF(Q162=4,R162,0)),VLOOKUP(IF(O162=4,P162,IF(Q162=4,R162,0)),[4]D_任务!$A$2:$B$132,2,FALSE))</f>
        <v>伏击张议员</v>
      </c>
      <c r="AS162">
        <f t="shared" si="70"/>
        <v>0</v>
      </c>
      <c r="AT162">
        <f t="shared" si="86"/>
        <v>35</v>
      </c>
    </row>
    <row r="163" spans="1:46" x14ac:dyDescent="0.15">
      <c r="A163" s="2">
        <v>1402</v>
      </c>
      <c r="B163" s="2">
        <v>3</v>
      </c>
      <c r="C163" s="2">
        <v>2</v>
      </c>
      <c r="D163" s="2" t="s">
        <v>312</v>
      </c>
      <c r="E163" s="11">
        <f t="shared" ref="E163:E167" si="88">E157</f>
        <v>12</v>
      </c>
      <c r="F163" s="2">
        <f>IFERROR(ROUNDUP(VLOOKUP(T163,CHOOSE({1,2},[5]D_怪物表!$I$1:$I$1120,[5]D_怪物表!$AH$1:$AH$1120),2,FALSE),0),0)</f>
        <v>13029</v>
      </c>
      <c r="G163" s="2">
        <v>1</v>
      </c>
      <c r="H163" s="2">
        <v>1</v>
      </c>
      <c r="I163" s="2">
        <v>2</v>
      </c>
      <c r="J163" s="2">
        <v>300</v>
      </c>
      <c r="K163" s="2">
        <v>0</v>
      </c>
      <c r="L163" s="2"/>
      <c r="M163" s="2">
        <f t="shared" si="51"/>
        <v>2</v>
      </c>
      <c r="N163" s="2">
        <v>1</v>
      </c>
      <c r="O163" s="2">
        <v>1</v>
      </c>
      <c r="P163" s="2">
        <f>[5]材料副本怪物!$C6</f>
        <v>40</v>
      </c>
      <c r="Q163" s="2">
        <v>3</v>
      </c>
      <c r="R163" s="2">
        <f>A162</f>
        <v>1401</v>
      </c>
      <c r="S163" s="11">
        <f t="shared" si="57"/>
        <v>501402</v>
      </c>
      <c r="T163" s="11">
        <v>402103</v>
      </c>
      <c r="U163" s="2">
        <v>0</v>
      </c>
      <c r="V163" s="14"/>
      <c r="W163" s="14"/>
      <c r="X163" s="14"/>
      <c r="Y163" s="2"/>
      <c r="Z163" s="2"/>
      <c r="AA163" s="2"/>
      <c r="AB163" s="2"/>
      <c r="AC163" s="2"/>
      <c r="AD163" s="2"/>
      <c r="AE163" s="2"/>
      <c r="AF163" s="2">
        <v>3</v>
      </c>
      <c r="AG163" s="2">
        <v>146</v>
      </c>
      <c r="AH163" s="2">
        <v>147</v>
      </c>
      <c r="AI163" s="2">
        <v>148</v>
      </c>
      <c r="AJ163" s="2"/>
      <c r="AK163" s="2"/>
      <c r="AL163" s="2"/>
      <c r="AM163" s="2"/>
      <c r="AN163" s="2"/>
      <c r="AO163" s="2"/>
      <c r="AP163" s="2"/>
      <c r="AQ163">
        <f t="shared" si="50"/>
        <v>40</v>
      </c>
      <c r="AR163">
        <f>IF(ISERROR(VLOOKUP(IF(O163=4,P163,IF(Q163=4,R163,0)),[4]D_任务!$A$2:$B$132,2,FALSE)),IF(O163=4,P163,IF(Q163=4,R163,0)),VLOOKUP(IF(O163=4,P163,IF(Q163=4,R163,0)),[4]D_任务!$A$2:$B$132,2,FALSE))</f>
        <v>0</v>
      </c>
      <c r="AS163" t="str">
        <f t="shared" si="70"/>
        <v>难度1(材料）</v>
      </c>
      <c r="AT163">
        <f t="shared" si="86"/>
        <v>40</v>
      </c>
    </row>
    <row r="164" spans="1:46" x14ac:dyDescent="0.15">
      <c r="A164" s="2">
        <v>1403</v>
      </c>
      <c r="B164" s="2">
        <v>3</v>
      </c>
      <c r="C164" s="2">
        <v>3</v>
      </c>
      <c r="D164" s="2" t="s">
        <v>313</v>
      </c>
      <c r="E164" s="11">
        <f t="shared" si="88"/>
        <v>12</v>
      </c>
      <c r="F164" s="2">
        <f>IFERROR(ROUNDUP(VLOOKUP(T164,CHOOSE({1,2},[5]D_怪物表!$I$1:$I$1120,[5]D_怪物表!$AH$1:$AH$1120),2,FALSE),0),0)</f>
        <v>26515</v>
      </c>
      <c r="G164" s="2">
        <v>1</v>
      </c>
      <c r="H164" s="2">
        <v>1</v>
      </c>
      <c r="I164" s="2">
        <v>2</v>
      </c>
      <c r="J164" s="2">
        <v>300</v>
      </c>
      <c r="K164" s="2">
        <v>0</v>
      </c>
      <c r="L164" s="2"/>
      <c r="M164" s="2">
        <f t="shared" si="51"/>
        <v>2</v>
      </c>
      <c r="N164" s="2">
        <v>1</v>
      </c>
      <c r="O164" s="2">
        <v>1</v>
      </c>
      <c r="P164" s="2">
        <f>[5]材料副本怪物!$C7</f>
        <v>47</v>
      </c>
      <c r="Q164" s="2">
        <v>3</v>
      </c>
      <c r="R164" s="2">
        <f t="shared" ref="R164:R167" si="89">A163</f>
        <v>1402</v>
      </c>
      <c r="S164" s="11">
        <f t="shared" si="57"/>
        <v>501403</v>
      </c>
      <c r="T164" s="11">
        <v>403103</v>
      </c>
      <c r="U164" s="2">
        <v>0</v>
      </c>
      <c r="V164" s="14"/>
      <c r="W164" s="14"/>
      <c r="X164" s="14"/>
      <c r="Y164" s="2"/>
      <c r="Z164" s="2"/>
      <c r="AA164" s="2"/>
      <c r="AB164" s="2"/>
      <c r="AC164" s="2"/>
      <c r="AD164" s="2"/>
      <c r="AE164" s="2"/>
      <c r="AF164" s="2">
        <v>3</v>
      </c>
      <c r="AG164" s="2">
        <v>169</v>
      </c>
      <c r="AH164" s="2">
        <v>170</v>
      </c>
      <c r="AI164" s="2">
        <v>171</v>
      </c>
      <c r="AJ164" s="2"/>
      <c r="AK164" s="2"/>
      <c r="AL164" s="2"/>
      <c r="AM164" s="2"/>
      <c r="AN164" s="2"/>
      <c r="AO164" s="2"/>
      <c r="AP164" s="2"/>
      <c r="AQ164">
        <f t="shared" si="50"/>
        <v>47</v>
      </c>
      <c r="AR164">
        <f>IF(ISERROR(VLOOKUP(IF(O164=4,P164,IF(Q164=4,R164,0)),[4]D_任务!$A$2:$B$132,2,FALSE)),IF(O164=4,P164,IF(Q164=4,R164,0)),VLOOKUP(IF(O164=4,P164,IF(Q164=4,R164,0)),[4]D_任务!$A$2:$B$132,2,FALSE))</f>
        <v>0</v>
      </c>
      <c r="AS164" t="str">
        <f t="shared" si="70"/>
        <v>难度2(材料）</v>
      </c>
      <c r="AT164">
        <f t="shared" si="86"/>
        <v>47</v>
      </c>
    </row>
    <row r="165" spans="1:46" x14ac:dyDescent="0.15">
      <c r="A165" s="2">
        <v>1404</v>
      </c>
      <c r="B165" s="2">
        <v>3</v>
      </c>
      <c r="C165" s="2">
        <v>4</v>
      </c>
      <c r="D165" s="2" t="s">
        <v>314</v>
      </c>
      <c r="E165" s="11">
        <f t="shared" si="88"/>
        <v>12</v>
      </c>
      <c r="F165" s="2">
        <f>IFERROR(ROUNDUP(VLOOKUP(T165,CHOOSE({1,2},[5]D_怪物表!$I$1:$I$1120,[5]D_怪物表!$AH$1:$AH$1120),2,FALSE),0),0)</f>
        <v>48892</v>
      </c>
      <c r="G165" s="2">
        <v>1</v>
      </c>
      <c r="H165" s="2">
        <v>1</v>
      </c>
      <c r="I165" s="2">
        <v>2</v>
      </c>
      <c r="J165" s="2">
        <v>300</v>
      </c>
      <c r="K165" s="2">
        <v>0</v>
      </c>
      <c r="L165" s="2"/>
      <c r="M165" s="2">
        <f t="shared" si="51"/>
        <v>2</v>
      </c>
      <c r="N165" s="2">
        <v>1</v>
      </c>
      <c r="O165" s="2">
        <v>1</v>
      </c>
      <c r="P165" s="2">
        <f>[5]材料副本怪物!$C8</f>
        <v>55</v>
      </c>
      <c r="Q165" s="2">
        <v>3</v>
      </c>
      <c r="R165" s="2">
        <f t="shared" si="89"/>
        <v>1403</v>
      </c>
      <c r="S165" s="11">
        <f t="shared" si="57"/>
        <v>501404</v>
      </c>
      <c r="T165" s="11">
        <v>404103</v>
      </c>
      <c r="U165" s="2">
        <v>0</v>
      </c>
      <c r="V165" s="14"/>
      <c r="W165" s="14"/>
      <c r="X165" s="14"/>
      <c r="Y165" s="2"/>
      <c r="Z165" s="2"/>
      <c r="AA165" s="2"/>
      <c r="AB165" s="2"/>
      <c r="AC165" s="2"/>
      <c r="AD165" s="2"/>
      <c r="AE165" s="2"/>
      <c r="AF165" s="2">
        <v>3</v>
      </c>
      <c r="AG165" s="2">
        <v>211</v>
      </c>
      <c r="AH165" s="2">
        <v>212</v>
      </c>
      <c r="AI165" s="2">
        <v>213</v>
      </c>
      <c r="AJ165" s="2"/>
      <c r="AK165" s="2"/>
      <c r="AL165" s="2"/>
      <c r="AM165" s="2"/>
      <c r="AN165" s="2"/>
      <c r="AO165" s="2"/>
      <c r="AP165" s="2"/>
      <c r="AQ165">
        <f t="shared" si="50"/>
        <v>55</v>
      </c>
      <c r="AR165">
        <f>IF(ISERROR(VLOOKUP(IF(O165=4,P165,IF(Q165=4,R165,0)),[4]D_任务!$A$2:$B$132,2,FALSE)),IF(O165=4,P165,IF(Q165=4,R165,0)),VLOOKUP(IF(O165=4,P165,IF(Q165=4,R165,0)),[4]D_任务!$A$2:$B$132,2,FALSE))</f>
        <v>0</v>
      </c>
      <c r="AS165" t="str">
        <f t="shared" si="70"/>
        <v>难度3(材料）</v>
      </c>
      <c r="AT165">
        <f t="shared" si="86"/>
        <v>55</v>
      </c>
    </row>
    <row r="166" spans="1:46" x14ac:dyDescent="0.15">
      <c r="A166" s="2">
        <v>1405</v>
      </c>
      <c r="B166" s="2">
        <v>3</v>
      </c>
      <c r="C166" s="2">
        <v>5</v>
      </c>
      <c r="D166" s="2" t="s">
        <v>315</v>
      </c>
      <c r="E166" s="11">
        <f t="shared" si="88"/>
        <v>12</v>
      </c>
      <c r="F166" s="2">
        <f>IFERROR(ROUNDUP(VLOOKUP(T166,CHOOSE({1,2},[5]D_怪物表!$I$1:$I$1120,[5]D_怪物表!$AH$1:$AH$1120),2,FALSE),0),0)</f>
        <v>85209</v>
      </c>
      <c r="G166" s="2">
        <v>1</v>
      </c>
      <c r="H166" s="2">
        <v>1</v>
      </c>
      <c r="I166" s="2">
        <v>2</v>
      </c>
      <c r="J166" s="2">
        <v>300</v>
      </c>
      <c r="K166" s="2">
        <v>0</v>
      </c>
      <c r="L166" s="2"/>
      <c r="M166" s="2">
        <f t="shared" si="51"/>
        <v>2</v>
      </c>
      <c r="N166" s="2">
        <v>1</v>
      </c>
      <c r="O166" s="2">
        <v>1</v>
      </c>
      <c r="P166" s="2">
        <f>[5]材料副本怪物!$C9</f>
        <v>63</v>
      </c>
      <c r="Q166" s="2">
        <v>3</v>
      </c>
      <c r="R166" s="2">
        <f t="shared" si="89"/>
        <v>1404</v>
      </c>
      <c r="S166" s="11">
        <f t="shared" si="57"/>
        <v>501405</v>
      </c>
      <c r="T166" s="11">
        <v>405103</v>
      </c>
      <c r="U166" s="2">
        <v>0</v>
      </c>
      <c r="V166" s="14"/>
      <c r="W166" s="14"/>
      <c r="X166" s="14"/>
      <c r="Y166" s="2"/>
      <c r="Z166" s="2"/>
      <c r="AA166" s="2"/>
      <c r="AB166" s="2"/>
      <c r="AC166" s="2"/>
      <c r="AD166" s="2"/>
      <c r="AE166" s="2"/>
      <c r="AF166" s="2">
        <v>3</v>
      </c>
      <c r="AG166" s="2">
        <v>176</v>
      </c>
      <c r="AH166" s="2">
        <v>177</v>
      </c>
      <c r="AI166" s="2">
        <v>178</v>
      </c>
      <c r="AJ166" s="2"/>
      <c r="AK166" s="2"/>
      <c r="AL166" s="2"/>
      <c r="AM166" s="2"/>
      <c r="AN166" s="2"/>
      <c r="AO166" s="2"/>
      <c r="AP166" s="2"/>
      <c r="AQ166">
        <f t="shared" si="50"/>
        <v>63</v>
      </c>
      <c r="AR166">
        <f>IF(ISERROR(VLOOKUP(IF(O166=4,P166,IF(Q166=4,R166,0)),[4]D_任务!$A$2:$B$132,2,FALSE)),IF(O166=4,P166,IF(Q166=4,R166,0)),VLOOKUP(IF(O166=4,P166,IF(Q166=4,R166,0)),[4]D_任务!$A$2:$B$132,2,FALSE))</f>
        <v>0</v>
      </c>
      <c r="AS166" t="str">
        <f t="shared" si="70"/>
        <v>难度4(材料）</v>
      </c>
      <c r="AT166">
        <f t="shared" si="86"/>
        <v>63</v>
      </c>
    </row>
    <row r="167" spans="1:46" x14ac:dyDescent="0.15">
      <c r="A167" s="2">
        <v>1406</v>
      </c>
      <c r="B167" s="2">
        <v>3</v>
      </c>
      <c r="C167" s="2">
        <v>6</v>
      </c>
      <c r="D167" s="2" t="s">
        <v>316</v>
      </c>
      <c r="E167" s="11">
        <f t="shared" si="88"/>
        <v>12</v>
      </c>
      <c r="F167" s="2">
        <f>IFERROR(ROUNDUP(VLOOKUP(T167,CHOOSE({1,2},[5]D_怪物表!$I$1:$I$1120,[5]D_怪物表!$AH$1:$AH$1120),2,FALSE),0),0)</f>
        <v>139365</v>
      </c>
      <c r="G167" s="2">
        <v>1</v>
      </c>
      <c r="H167" s="2">
        <v>1</v>
      </c>
      <c r="I167" s="2">
        <v>2</v>
      </c>
      <c r="J167" s="2">
        <v>300</v>
      </c>
      <c r="K167" s="2">
        <v>0</v>
      </c>
      <c r="L167" s="2"/>
      <c r="M167" s="2">
        <f t="shared" si="51"/>
        <v>2</v>
      </c>
      <c r="N167" s="2">
        <v>1</v>
      </c>
      <c r="O167" s="2">
        <v>1</v>
      </c>
      <c r="P167" s="2">
        <f>[5]材料副本怪物!$C10</f>
        <v>71</v>
      </c>
      <c r="Q167" s="2">
        <v>3</v>
      </c>
      <c r="R167" s="2">
        <f t="shared" si="89"/>
        <v>1405</v>
      </c>
      <c r="S167" s="11">
        <f t="shared" si="57"/>
        <v>501406</v>
      </c>
      <c r="T167" s="11">
        <v>406103</v>
      </c>
      <c r="U167" s="2">
        <v>0</v>
      </c>
      <c r="V167" s="14"/>
      <c r="W167" s="14"/>
      <c r="X167" s="14"/>
      <c r="Y167" s="2"/>
      <c r="Z167" s="2"/>
      <c r="AA167" s="2"/>
      <c r="AB167" s="2"/>
      <c r="AC167" s="2"/>
      <c r="AD167" s="2"/>
      <c r="AE167" s="2"/>
      <c r="AF167" s="2">
        <v>3</v>
      </c>
      <c r="AG167" s="2">
        <v>106</v>
      </c>
      <c r="AH167" s="2">
        <v>107</v>
      </c>
      <c r="AI167" s="2">
        <v>108</v>
      </c>
      <c r="AJ167" s="2"/>
      <c r="AK167" s="2"/>
      <c r="AL167" s="2"/>
      <c r="AM167" s="2"/>
      <c r="AN167" s="2"/>
      <c r="AO167" s="2"/>
      <c r="AP167" s="2"/>
      <c r="AQ167">
        <f t="shared" si="50"/>
        <v>71</v>
      </c>
      <c r="AR167">
        <f>IF(ISERROR(VLOOKUP(IF(O167=4,P167,IF(Q167=4,R167,0)),[4]D_任务!$A$2:$B$132,2,FALSE)),IF(O167=4,P167,IF(Q167=4,R167,0)),VLOOKUP(IF(O167=4,P167,IF(Q167=4,R167,0)),[4]D_任务!$A$2:$B$132,2,FALSE))</f>
        <v>0</v>
      </c>
      <c r="AS167" t="str">
        <f t="shared" si="70"/>
        <v>难度5(材料）</v>
      </c>
      <c r="AT167">
        <f t="shared" si="86"/>
        <v>71</v>
      </c>
    </row>
    <row r="168" spans="1:46" x14ac:dyDescent="0.15">
      <c r="A168" s="2">
        <v>1501</v>
      </c>
      <c r="B168" s="2">
        <v>3</v>
      </c>
      <c r="C168" s="2">
        <v>1</v>
      </c>
      <c r="D168" s="13" t="s">
        <v>699</v>
      </c>
      <c r="E168" s="11">
        <f>IFERROR(VLOOKUP(C168,[3]副本规划!$AC$20:$AD$23,2,0),E167)</f>
        <v>6</v>
      </c>
      <c r="F168" s="2">
        <f>IFERROR(ROUNDUP(VLOOKUP(T168,CHOOSE({1,2},[5]D_怪物表!$I$1:$I$1120,[5]D_怪物表!$AH$1:$AH$1120),2,FALSE),0),0)</f>
        <v>58</v>
      </c>
      <c r="G168" s="2">
        <v>1</v>
      </c>
      <c r="H168" s="2">
        <v>1</v>
      </c>
      <c r="I168" s="2">
        <v>1</v>
      </c>
      <c r="J168" s="2">
        <v>300</v>
      </c>
      <c r="K168" s="2">
        <v>2</v>
      </c>
      <c r="L168" s="2"/>
      <c r="M168" s="2">
        <f t="shared" si="51"/>
        <v>2</v>
      </c>
      <c r="N168" s="2">
        <v>0</v>
      </c>
      <c r="O168" s="2">
        <v>1</v>
      </c>
      <c r="P168" s="2">
        <f>[5]怪物信息表!$P83</f>
        <v>12</v>
      </c>
      <c r="Q168" s="2">
        <v>5</v>
      </c>
      <c r="R168" s="2">
        <v>101101</v>
      </c>
      <c r="S168" s="11">
        <f>500000+A168*10</f>
        <v>515010</v>
      </c>
      <c r="T168" s="11">
        <v>701101</v>
      </c>
      <c r="U168" s="2">
        <v>0</v>
      </c>
      <c r="V168" s="14"/>
      <c r="W168" s="14"/>
      <c r="X168" s="14"/>
      <c r="Y168" s="2"/>
      <c r="Z168" s="2"/>
      <c r="AA168" s="2"/>
      <c r="AB168" s="2"/>
      <c r="AC168" s="2"/>
      <c r="AD168" s="2"/>
      <c r="AE168" s="2"/>
      <c r="AF168" s="2">
        <v>1</v>
      </c>
      <c r="AG168" s="2">
        <v>146</v>
      </c>
      <c r="AH168" s="2"/>
      <c r="AI168" s="2"/>
      <c r="AJ168" s="2"/>
      <c r="AK168" s="2"/>
      <c r="AL168" s="2"/>
      <c r="AM168" s="2"/>
      <c r="AN168" s="2"/>
      <c r="AO168" s="2"/>
      <c r="AP168" s="2"/>
      <c r="AQ168">
        <f t="shared" ref="AQ168:AQ220" si="90">IF(O168=1,P168,IF(Q168=1,R168,0))</f>
        <v>12</v>
      </c>
      <c r="AR168">
        <f>IF(ISERROR(VLOOKUP(IF(O168=4,P168,IF(Q168=4,R168,0)),[4]D_任务!$A$2:$B$132,2,FALSE)),IF(O168=4,P168,IF(Q168=4,R168,0)),VLOOKUP(IF(O168=4,P168,IF(Q168=4,R168,0)),[4]D_任务!$A$2:$B$132,2,FALSE))</f>
        <v>0</v>
      </c>
      <c r="AS168">
        <f t="shared" si="70"/>
        <v>0</v>
      </c>
      <c r="AT168">
        <f t="shared" si="86"/>
        <v>12</v>
      </c>
    </row>
    <row r="169" spans="1:46" x14ac:dyDescent="0.15">
      <c r="A169" s="2">
        <v>1502</v>
      </c>
      <c r="B169" s="2">
        <v>3</v>
      </c>
      <c r="C169" s="2">
        <v>1</v>
      </c>
      <c r="D169" s="13" t="s">
        <v>317</v>
      </c>
      <c r="E169" s="11">
        <f>IFERROR(VLOOKUP(C169,[3]副本规划!$AC$20:$AD$23,2,0),E168)</f>
        <v>6</v>
      </c>
      <c r="F169" s="2">
        <f>IFERROR(ROUNDUP(VLOOKUP(T169,CHOOSE({1,2},[5]D_怪物表!$I$1:$I$1120,[5]D_怪物表!$AH$1:$AH$1120),2,FALSE),0),0)</f>
        <v>58</v>
      </c>
      <c r="G169" s="2">
        <v>1</v>
      </c>
      <c r="H169" s="2">
        <v>1</v>
      </c>
      <c r="I169" s="2">
        <v>1</v>
      </c>
      <c r="J169" s="2">
        <v>300</v>
      </c>
      <c r="K169" s="2">
        <v>2</v>
      </c>
      <c r="L169" s="2"/>
      <c r="M169" s="2">
        <f t="shared" ref="M169:M187" si="91">SUM(O169&gt;0,Q169&gt;0)</f>
        <v>2</v>
      </c>
      <c r="N169" s="2">
        <v>0</v>
      </c>
      <c r="O169" s="2">
        <v>1</v>
      </c>
      <c r="P169" s="2">
        <f>[5]怪物信息表!$P84</f>
        <v>12</v>
      </c>
      <c r="Q169" s="2">
        <v>5</v>
      </c>
      <c r="R169" s="2">
        <v>101103</v>
      </c>
      <c r="S169" s="11">
        <f t="shared" ref="S169:S181" si="92">500000+A169*10</f>
        <v>515020</v>
      </c>
      <c r="T169" s="11">
        <v>701202</v>
      </c>
      <c r="U169" s="2">
        <v>0</v>
      </c>
      <c r="V169" s="14"/>
      <c r="W169" s="14"/>
      <c r="X169" s="14"/>
      <c r="Y169" s="2"/>
      <c r="Z169" s="2"/>
      <c r="AA169" s="2"/>
      <c r="AB169" s="2"/>
      <c r="AC169" s="2"/>
      <c r="AD169" s="2"/>
      <c r="AE169" s="2"/>
      <c r="AF169" s="2">
        <v>1</v>
      </c>
      <c r="AG169" s="2">
        <v>148</v>
      </c>
      <c r="AH169" s="2"/>
      <c r="AI169" s="2"/>
      <c r="AJ169" s="2"/>
      <c r="AK169" s="2"/>
      <c r="AL169" s="2"/>
      <c r="AM169" s="2"/>
      <c r="AN169" s="2"/>
      <c r="AO169" s="2"/>
      <c r="AP169" s="2"/>
      <c r="AQ169">
        <f t="shared" si="90"/>
        <v>12</v>
      </c>
      <c r="AR169">
        <f>IF(ISERROR(VLOOKUP(IF(O169=4,P169,IF(Q169=4,R169,0)),[4]D_任务!$A$2:$B$132,2,FALSE)),IF(O169=4,P169,IF(Q169=4,R169,0)),VLOOKUP(IF(O169=4,P169,IF(Q169=4,R169,0)),[4]D_任务!$A$2:$B$132,2,FALSE))</f>
        <v>0</v>
      </c>
      <c r="AS169">
        <f t="shared" si="70"/>
        <v>0</v>
      </c>
      <c r="AT169">
        <f t="shared" si="86"/>
        <v>12</v>
      </c>
    </row>
    <row r="170" spans="1:46" x14ac:dyDescent="0.15">
      <c r="A170" s="2">
        <v>1503</v>
      </c>
      <c r="B170" s="2">
        <v>3</v>
      </c>
      <c r="C170" s="2">
        <v>2</v>
      </c>
      <c r="D170" s="13" t="s">
        <v>318</v>
      </c>
      <c r="E170" s="11">
        <f>IFERROR(VLOOKUP(C170,[3]副本规划!$AC$20:$AD$23,2,0),E169)</f>
        <v>12</v>
      </c>
      <c r="F170" s="2">
        <f>IFERROR(ROUNDUP(VLOOKUP(T170,CHOOSE({1,2},[5]D_怪物表!$I$1:$I$1120,[5]D_怪物表!$AH$1:$AH$1120),2,FALSE),0),0)</f>
        <v>58</v>
      </c>
      <c r="G170" s="2">
        <v>1</v>
      </c>
      <c r="H170" s="2">
        <v>1</v>
      </c>
      <c r="I170" s="2">
        <v>1</v>
      </c>
      <c r="J170" s="2">
        <v>300</v>
      </c>
      <c r="K170" s="2">
        <v>2</v>
      </c>
      <c r="L170" s="2"/>
      <c r="M170" s="2">
        <f t="shared" si="91"/>
        <v>2</v>
      </c>
      <c r="N170" s="2">
        <v>0</v>
      </c>
      <c r="O170" s="2">
        <v>1</v>
      </c>
      <c r="P170" s="2">
        <f>[5]怪物信息表!$P85</f>
        <v>24</v>
      </c>
      <c r="Q170" s="2">
        <v>5</v>
      </c>
      <c r="R170" s="2">
        <v>101106</v>
      </c>
      <c r="S170" s="11">
        <f t="shared" si="92"/>
        <v>515030</v>
      </c>
      <c r="T170" s="11">
        <v>701303</v>
      </c>
      <c r="U170" s="2">
        <v>0</v>
      </c>
      <c r="V170" s="14"/>
      <c r="W170" s="14"/>
      <c r="X170" s="14"/>
      <c r="Y170" s="2"/>
      <c r="Z170" s="2"/>
      <c r="AA170" s="2"/>
      <c r="AB170" s="2"/>
      <c r="AC170" s="2"/>
      <c r="AD170" s="2"/>
      <c r="AE170" s="2"/>
      <c r="AF170" s="2">
        <v>1</v>
      </c>
      <c r="AG170" s="2">
        <v>149</v>
      </c>
      <c r="AH170" s="2"/>
      <c r="AI170" s="2"/>
      <c r="AJ170" s="2"/>
      <c r="AK170" s="2"/>
      <c r="AL170" s="2"/>
      <c r="AM170" s="2"/>
      <c r="AN170" s="2"/>
      <c r="AO170" s="2"/>
      <c r="AP170" s="2"/>
      <c r="AQ170">
        <f t="shared" si="90"/>
        <v>24</v>
      </c>
      <c r="AR170">
        <f>IF(ISERROR(VLOOKUP(IF(O170=4,P170,IF(Q170=4,R170,0)),[4]D_任务!$A$2:$B$132,2,FALSE)),IF(O170=4,P170,IF(Q170=4,R170,0)),VLOOKUP(IF(O170=4,P170,IF(Q170=4,R170,0)),[4]D_任务!$A$2:$B$132,2,FALSE))</f>
        <v>0</v>
      </c>
      <c r="AS170">
        <f t="shared" si="70"/>
        <v>0</v>
      </c>
      <c r="AT170">
        <f t="shared" si="86"/>
        <v>24</v>
      </c>
    </row>
    <row r="171" spans="1:46" x14ac:dyDescent="0.15">
      <c r="A171" s="2">
        <v>1504</v>
      </c>
      <c r="B171" s="2">
        <v>3</v>
      </c>
      <c r="C171" s="2">
        <v>2</v>
      </c>
      <c r="D171" s="13" t="s">
        <v>530</v>
      </c>
      <c r="E171" s="11">
        <f>IFERROR(VLOOKUP(C171,[3]副本规划!$AC$20:$AD$23,2,0),E170)</f>
        <v>12</v>
      </c>
      <c r="F171" s="2">
        <f>IFERROR(ROUNDUP(VLOOKUP(T171,CHOOSE({1,2},[5]D_怪物表!$I$1:$I$1120,[5]D_怪物表!$AH$1:$AH$1120),2,FALSE),0),0)</f>
        <v>58</v>
      </c>
      <c r="G171" s="2">
        <v>1</v>
      </c>
      <c r="H171" s="2">
        <v>1</v>
      </c>
      <c r="I171" s="2">
        <v>1</v>
      </c>
      <c r="J171" s="2">
        <v>300</v>
      </c>
      <c r="K171" s="2">
        <v>2</v>
      </c>
      <c r="L171" s="2"/>
      <c r="M171" s="2">
        <f t="shared" si="91"/>
        <v>2</v>
      </c>
      <c r="N171" s="2">
        <v>0</v>
      </c>
      <c r="O171" s="2">
        <v>1</v>
      </c>
      <c r="P171" s="2">
        <f>[5]怪物信息表!$P86</f>
        <v>24</v>
      </c>
      <c r="Q171" s="2">
        <v>5</v>
      </c>
      <c r="R171" s="2">
        <v>101107</v>
      </c>
      <c r="S171" s="11">
        <f t="shared" si="92"/>
        <v>515040</v>
      </c>
      <c r="T171" s="11">
        <v>701404</v>
      </c>
      <c r="U171" s="2">
        <v>0</v>
      </c>
      <c r="V171" s="14"/>
      <c r="W171" s="14"/>
      <c r="X171" s="14"/>
      <c r="Y171" s="2"/>
      <c r="Z171" s="2"/>
      <c r="AA171" s="2"/>
      <c r="AB171" s="2"/>
      <c r="AC171" s="2"/>
      <c r="AD171" s="2"/>
      <c r="AE171" s="2"/>
      <c r="AF171" s="2">
        <v>1</v>
      </c>
      <c r="AG171" s="2">
        <v>150</v>
      </c>
      <c r="AH171" s="2"/>
      <c r="AI171" s="2"/>
      <c r="AJ171" s="2"/>
      <c r="AK171" s="2"/>
      <c r="AL171" s="2"/>
      <c r="AM171" s="2"/>
      <c r="AN171" s="2"/>
      <c r="AO171" s="2"/>
      <c r="AP171" s="2"/>
      <c r="AQ171">
        <f t="shared" si="90"/>
        <v>24</v>
      </c>
      <c r="AR171">
        <f>IF(ISERROR(VLOOKUP(IF(O171=4,P171,IF(Q171=4,R171,0)),[4]D_任务!$A$2:$B$132,2,FALSE)),IF(O171=4,P171,IF(Q171=4,R171,0)),VLOOKUP(IF(O171=4,P171,IF(Q171=4,R171,0)),[4]D_任务!$A$2:$B$132,2,FALSE))</f>
        <v>0</v>
      </c>
      <c r="AS171">
        <f t="shared" si="70"/>
        <v>0</v>
      </c>
      <c r="AT171">
        <f t="shared" si="86"/>
        <v>24</v>
      </c>
    </row>
    <row r="172" spans="1:46" x14ac:dyDescent="0.15">
      <c r="A172" s="2">
        <v>1505</v>
      </c>
      <c r="B172" s="2">
        <v>3</v>
      </c>
      <c r="C172" s="2">
        <v>2</v>
      </c>
      <c r="D172" s="13" t="s">
        <v>319</v>
      </c>
      <c r="E172" s="11">
        <f>IFERROR(VLOOKUP(C172,[3]副本规划!$AC$20:$AD$23,2,0),E171)</f>
        <v>12</v>
      </c>
      <c r="F172" s="2">
        <f>IFERROR(ROUNDUP(VLOOKUP(T172,CHOOSE({1,2},[5]D_怪物表!$I$1:$I$1120,[5]D_怪物表!$AH$1:$AH$1120),2,FALSE),0),0)</f>
        <v>58</v>
      </c>
      <c r="G172" s="2">
        <v>1</v>
      </c>
      <c r="H172" s="2">
        <v>1</v>
      </c>
      <c r="I172" s="2">
        <v>1</v>
      </c>
      <c r="J172" s="2">
        <v>300</v>
      </c>
      <c r="K172" s="2">
        <v>2</v>
      </c>
      <c r="L172" s="2"/>
      <c r="M172" s="2">
        <f t="shared" si="91"/>
        <v>2</v>
      </c>
      <c r="N172" s="2">
        <v>0</v>
      </c>
      <c r="O172" s="2">
        <v>1</v>
      </c>
      <c r="P172" s="2">
        <f>[5]怪物信息表!$P87</f>
        <v>24</v>
      </c>
      <c r="Q172" s="2">
        <v>5</v>
      </c>
      <c r="R172" s="2">
        <v>101108</v>
      </c>
      <c r="S172" s="11">
        <f t="shared" si="92"/>
        <v>515050</v>
      </c>
      <c r="T172" s="11">
        <v>701505</v>
      </c>
      <c r="U172" s="2">
        <v>0</v>
      </c>
      <c r="V172" s="14"/>
      <c r="W172" s="14"/>
      <c r="X172" s="14"/>
      <c r="Y172" s="2"/>
      <c r="Z172" s="2"/>
      <c r="AA172" s="2"/>
      <c r="AB172" s="2"/>
      <c r="AC172" s="2"/>
      <c r="AD172" s="2"/>
      <c r="AE172" s="2"/>
      <c r="AF172" s="2">
        <v>1</v>
      </c>
      <c r="AG172" s="2">
        <v>151</v>
      </c>
      <c r="AH172" s="2"/>
      <c r="AI172" s="2"/>
      <c r="AJ172" s="2"/>
      <c r="AK172" s="2"/>
      <c r="AL172" s="2"/>
      <c r="AM172" s="2"/>
      <c r="AN172" s="2"/>
      <c r="AO172" s="2"/>
      <c r="AP172" s="2"/>
      <c r="AQ172">
        <f t="shared" si="90"/>
        <v>24</v>
      </c>
      <c r="AR172">
        <f>IF(ISERROR(VLOOKUP(IF(O172=4,P172,IF(Q172=4,R172,0)),[4]D_任务!$A$2:$B$132,2,FALSE)),IF(O172=4,P172,IF(Q172=4,R172,0)),VLOOKUP(IF(O172=4,P172,IF(Q172=4,R172,0)),[4]D_任务!$A$2:$B$132,2,FALSE))</f>
        <v>0</v>
      </c>
      <c r="AS172">
        <f t="shared" si="70"/>
        <v>0</v>
      </c>
      <c r="AT172">
        <f t="shared" si="86"/>
        <v>24</v>
      </c>
    </row>
    <row r="173" spans="1:46" x14ac:dyDescent="0.15">
      <c r="A173" s="2">
        <v>1506</v>
      </c>
      <c r="B173" s="2">
        <v>3</v>
      </c>
      <c r="C173" s="2">
        <v>2</v>
      </c>
      <c r="D173" s="13" t="s">
        <v>684</v>
      </c>
      <c r="E173" s="11">
        <f>IFERROR(VLOOKUP(C173,[3]副本规划!$AC$20:$AD$23,2,0),E172)</f>
        <v>12</v>
      </c>
      <c r="F173" s="2">
        <f>IFERROR(ROUNDUP(VLOOKUP(T173,CHOOSE({1,2},[5]D_怪物表!$I$1:$I$1120,[5]D_怪物表!$AH$1:$AH$1120),2,FALSE),0),0)</f>
        <v>58</v>
      </c>
      <c r="G173" s="2">
        <v>1</v>
      </c>
      <c r="H173" s="2">
        <v>1</v>
      </c>
      <c r="I173" s="2">
        <v>1</v>
      </c>
      <c r="J173" s="2">
        <v>300</v>
      </c>
      <c r="K173" s="2">
        <v>2</v>
      </c>
      <c r="L173" s="2"/>
      <c r="M173" s="2">
        <f t="shared" si="91"/>
        <v>2</v>
      </c>
      <c r="N173" s="2">
        <v>0</v>
      </c>
      <c r="O173" s="2">
        <v>1</v>
      </c>
      <c r="P173" s="2">
        <f>[5]怪物信息表!$P88</f>
        <v>24</v>
      </c>
      <c r="Q173" s="2">
        <v>5</v>
      </c>
      <c r="R173" s="2">
        <v>101117</v>
      </c>
      <c r="S173" s="11">
        <f t="shared" si="92"/>
        <v>515060</v>
      </c>
      <c r="T173" s="11">
        <v>701606</v>
      </c>
      <c r="U173" s="2">
        <v>0</v>
      </c>
      <c r="V173" s="14"/>
      <c r="W173" s="14"/>
      <c r="X173" s="14"/>
      <c r="Y173" s="2"/>
      <c r="Z173" s="2"/>
      <c r="AA173" s="2"/>
      <c r="AB173" s="2"/>
      <c r="AC173" s="2"/>
      <c r="AD173" s="2"/>
      <c r="AE173" s="2"/>
      <c r="AF173" s="2">
        <v>1</v>
      </c>
      <c r="AG173" s="2">
        <v>431</v>
      </c>
      <c r="AH173" s="2"/>
      <c r="AI173" s="2"/>
      <c r="AJ173" s="2"/>
      <c r="AK173" s="2"/>
      <c r="AL173" s="2"/>
      <c r="AM173" s="2"/>
      <c r="AN173" s="2"/>
      <c r="AO173" s="2"/>
      <c r="AP173" s="2"/>
      <c r="AQ173">
        <f t="shared" si="90"/>
        <v>24</v>
      </c>
      <c r="AR173">
        <f>IF(ISERROR(VLOOKUP(IF(O173=4,P173,IF(Q173=4,R173,0)),[4]D_任务!$A$2:$B$132,2,FALSE)),IF(O173=4,P173,IF(Q173=4,R173,0)),VLOOKUP(IF(O173=4,P173,IF(Q173=4,R173,0)),[4]D_任务!$A$2:$B$132,2,FALSE))</f>
        <v>0</v>
      </c>
      <c r="AS173">
        <f t="shared" si="70"/>
        <v>0</v>
      </c>
      <c r="AT173">
        <f t="shared" si="86"/>
        <v>24</v>
      </c>
    </row>
    <row r="174" spans="1:46" x14ac:dyDescent="0.15">
      <c r="A174" s="2">
        <v>1507</v>
      </c>
      <c r="B174" s="2">
        <v>3</v>
      </c>
      <c r="C174" s="2">
        <v>3</v>
      </c>
      <c r="D174" s="13" t="s">
        <v>320</v>
      </c>
      <c r="E174" s="11">
        <f>IFERROR(VLOOKUP(C174,[3]副本规划!$AC$20:$AD$23,2,0),E173)</f>
        <v>36</v>
      </c>
      <c r="F174" s="2">
        <f>IFERROR(ROUNDUP(VLOOKUP(T174,CHOOSE({1,2},[5]D_怪物表!$I$1:$I$1120,[5]D_怪物表!$AH$1:$AH$1120),2,FALSE),0),0)</f>
        <v>58</v>
      </c>
      <c r="G174" s="2">
        <v>1</v>
      </c>
      <c r="H174" s="2">
        <v>1</v>
      </c>
      <c r="I174" s="2">
        <v>1</v>
      </c>
      <c r="J174" s="2">
        <v>300</v>
      </c>
      <c r="K174" s="2">
        <v>2</v>
      </c>
      <c r="L174" s="2"/>
      <c r="M174" s="2">
        <f t="shared" si="91"/>
        <v>2</v>
      </c>
      <c r="N174" s="2">
        <v>0</v>
      </c>
      <c r="O174" s="2">
        <v>1</v>
      </c>
      <c r="P174" s="2">
        <f>[5]怪物信息表!$P89</f>
        <v>40</v>
      </c>
      <c r="Q174" s="2">
        <v>5</v>
      </c>
      <c r="R174" s="2">
        <v>101111</v>
      </c>
      <c r="S174" s="11">
        <f t="shared" si="92"/>
        <v>515070</v>
      </c>
      <c r="T174" s="11">
        <v>701707</v>
      </c>
      <c r="U174" s="2">
        <v>0</v>
      </c>
      <c r="V174" s="14"/>
      <c r="W174" s="14"/>
      <c r="X174" s="14"/>
      <c r="Y174" s="2"/>
      <c r="Z174" s="2"/>
      <c r="AA174" s="2"/>
      <c r="AB174" s="2"/>
      <c r="AC174" s="2"/>
      <c r="AD174" s="2"/>
      <c r="AE174" s="2"/>
      <c r="AF174" s="2">
        <v>1</v>
      </c>
      <c r="AG174" s="2">
        <v>432</v>
      </c>
      <c r="AH174" s="2"/>
      <c r="AI174" s="2"/>
      <c r="AJ174" s="2"/>
      <c r="AK174" s="2"/>
      <c r="AL174" s="2"/>
      <c r="AM174" s="2"/>
      <c r="AN174" s="2"/>
      <c r="AO174" s="2"/>
      <c r="AP174" s="2"/>
      <c r="AQ174">
        <f t="shared" si="90"/>
        <v>40</v>
      </c>
      <c r="AR174">
        <f>IF(ISERROR(VLOOKUP(IF(O174=4,P174,IF(Q174=4,R174,0)),[4]D_任务!$A$2:$B$132,2,FALSE)),IF(O174=4,P174,IF(Q174=4,R174,0)),VLOOKUP(IF(O174=4,P174,IF(Q174=4,R174,0)),[4]D_任务!$A$2:$B$132,2,FALSE))</f>
        <v>0</v>
      </c>
      <c r="AS174">
        <f t="shared" si="70"/>
        <v>0</v>
      </c>
      <c r="AT174">
        <f t="shared" si="86"/>
        <v>40</v>
      </c>
    </row>
    <row r="175" spans="1:46" x14ac:dyDescent="0.15">
      <c r="A175" s="2">
        <v>1508</v>
      </c>
      <c r="B175" s="2">
        <v>3</v>
      </c>
      <c r="C175" s="2">
        <v>3</v>
      </c>
      <c r="D175" s="13" t="s">
        <v>531</v>
      </c>
      <c r="E175" s="11">
        <f>IFERROR(VLOOKUP(C175,[3]副本规划!$AC$20:$AD$23,2,0),E174)</f>
        <v>36</v>
      </c>
      <c r="F175" s="2">
        <f>IFERROR(ROUNDUP(VLOOKUP(T175,CHOOSE({1,2},[5]D_怪物表!$I$1:$I$1120,[5]D_怪物表!$AH$1:$AH$1120),2,FALSE),0),0)</f>
        <v>58</v>
      </c>
      <c r="G175" s="2">
        <v>1</v>
      </c>
      <c r="H175" s="2">
        <v>1</v>
      </c>
      <c r="I175" s="2">
        <v>1</v>
      </c>
      <c r="J175" s="2">
        <v>300</v>
      </c>
      <c r="K175" s="2">
        <v>2</v>
      </c>
      <c r="L175" s="2"/>
      <c r="M175" s="2">
        <f t="shared" si="91"/>
        <v>2</v>
      </c>
      <c r="N175" s="2">
        <v>0</v>
      </c>
      <c r="O175" s="2">
        <v>1</v>
      </c>
      <c r="P175" s="2">
        <f>[5]怪物信息表!$P90</f>
        <v>40</v>
      </c>
      <c r="Q175" s="2">
        <v>5</v>
      </c>
      <c r="R175" s="2">
        <v>101110</v>
      </c>
      <c r="S175" s="11">
        <f t="shared" si="92"/>
        <v>515080</v>
      </c>
      <c r="T175" s="11">
        <v>701808</v>
      </c>
      <c r="U175" s="2">
        <v>0</v>
      </c>
      <c r="V175" s="14"/>
      <c r="W175" s="14"/>
      <c r="X175" s="14"/>
      <c r="Y175" s="2"/>
      <c r="Z175" s="2"/>
      <c r="AA175" s="2"/>
      <c r="AB175" s="2"/>
      <c r="AC175" s="2"/>
      <c r="AD175" s="2"/>
      <c r="AE175" s="2"/>
      <c r="AF175" s="2">
        <v>1</v>
      </c>
      <c r="AG175" s="2">
        <v>433</v>
      </c>
      <c r="AH175" s="2"/>
      <c r="AI175" s="2"/>
      <c r="AJ175" s="2"/>
      <c r="AK175" s="2"/>
      <c r="AL175" s="2"/>
      <c r="AM175" s="2"/>
      <c r="AN175" s="2"/>
      <c r="AO175" s="2"/>
      <c r="AP175" s="2"/>
      <c r="AQ175">
        <f t="shared" si="90"/>
        <v>40</v>
      </c>
      <c r="AR175">
        <f>IF(ISERROR(VLOOKUP(IF(O175=4,P175,IF(Q175=4,R175,0)),[4]D_任务!$A$2:$B$132,2,FALSE)),IF(O175=4,P175,IF(Q175=4,R175,0)),VLOOKUP(IF(O175=4,P175,IF(Q175=4,R175,0)),[4]D_任务!$A$2:$B$132,2,FALSE))</f>
        <v>0</v>
      </c>
      <c r="AS175">
        <f t="shared" si="70"/>
        <v>0</v>
      </c>
      <c r="AT175">
        <f t="shared" si="86"/>
        <v>40</v>
      </c>
    </row>
    <row r="176" spans="1:46" x14ac:dyDescent="0.15">
      <c r="A176" s="2">
        <v>1509</v>
      </c>
      <c r="B176" s="2">
        <v>3</v>
      </c>
      <c r="C176" s="2">
        <v>3</v>
      </c>
      <c r="D176" s="13" t="s">
        <v>321</v>
      </c>
      <c r="E176" s="11">
        <f>IFERROR(VLOOKUP(C176,[3]副本规划!$AC$20:$AD$23,2,0),E175)</f>
        <v>36</v>
      </c>
      <c r="F176" s="2">
        <f>IFERROR(ROUNDUP(VLOOKUP(T176,CHOOSE({1,2},[5]D_怪物表!$I$1:$I$1120,[5]D_怪物表!$AH$1:$AH$1120),2,FALSE),0),0)</f>
        <v>58</v>
      </c>
      <c r="G176" s="2">
        <v>1</v>
      </c>
      <c r="H176" s="2">
        <v>1</v>
      </c>
      <c r="I176" s="2">
        <v>1</v>
      </c>
      <c r="J176" s="2">
        <v>300</v>
      </c>
      <c r="K176" s="2">
        <v>2</v>
      </c>
      <c r="L176" s="2"/>
      <c r="M176" s="2">
        <f t="shared" si="91"/>
        <v>2</v>
      </c>
      <c r="N176" s="2">
        <v>0</v>
      </c>
      <c r="O176" s="2">
        <v>1</v>
      </c>
      <c r="P176" s="2">
        <f>[5]怪物信息表!$P91</f>
        <v>40</v>
      </c>
      <c r="Q176" s="2">
        <v>5</v>
      </c>
      <c r="R176" s="2">
        <v>101112</v>
      </c>
      <c r="S176" s="11">
        <f t="shared" si="92"/>
        <v>515090</v>
      </c>
      <c r="T176" s="11">
        <v>701909</v>
      </c>
      <c r="U176" s="2">
        <v>0</v>
      </c>
      <c r="V176" s="14"/>
      <c r="W176" s="14"/>
      <c r="X176" s="14"/>
      <c r="Y176" s="2"/>
      <c r="Z176" s="2"/>
      <c r="AA176" s="2"/>
      <c r="AB176" s="2"/>
      <c r="AC176" s="2"/>
      <c r="AD176" s="2"/>
      <c r="AE176" s="2"/>
      <c r="AF176" s="2">
        <v>1</v>
      </c>
      <c r="AG176" s="2">
        <v>434</v>
      </c>
      <c r="AH176" s="2"/>
      <c r="AI176" s="2"/>
      <c r="AJ176" s="2"/>
      <c r="AK176" s="2"/>
      <c r="AL176" s="2"/>
      <c r="AM176" s="2"/>
      <c r="AN176" s="2"/>
      <c r="AO176" s="2"/>
      <c r="AP176" s="2"/>
      <c r="AQ176">
        <f t="shared" si="90"/>
        <v>40</v>
      </c>
      <c r="AR176">
        <f>IF(ISERROR(VLOOKUP(IF(O176=4,P176,IF(Q176=4,R176,0)),[4]D_任务!$A$2:$B$132,2,FALSE)),IF(O176=4,P176,IF(Q176=4,R176,0)),VLOOKUP(IF(O176=4,P176,IF(Q176=4,R176,0)),[4]D_任务!$A$2:$B$132,2,FALSE))</f>
        <v>0</v>
      </c>
      <c r="AS176">
        <f t="shared" si="70"/>
        <v>0</v>
      </c>
      <c r="AT176">
        <f t="shared" si="86"/>
        <v>40</v>
      </c>
    </row>
    <row r="177" spans="1:46" x14ac:dyDescent="0.15">
      <c r="A177" s="2">
        <v>1510</v>
      </c>
      <c r="B177" s="2">
        <v>3</v>
      </c>
      <c r="C177" s="2">
        <v>3</v>
      </c>
      <c r="D177" s="13" t="s">
        <v>672</v>
      </c>
      <c r="E177" s="11">
        <f>IFERROR(VLOOKUP(C177,[3]副本规划!$AC$20:$AD$23,2,0),E176)</f>
        <v>36</v>
      </c>
      <c r="F177" s="2">
        <f>IFERROR(ROUNDUP(VLOOKUP(T177,CHOOSE({1,2},[5]D_怪物表!$I$1:$I$1120,[5]D_怪物表!$AH$1:$AH$1120),2,FALSE),0),0)</f>
        <v>58</v>
      </c>
      <c r="G177" s="2">
        <v>1</v>
      </c>
      <c r="H177" s="2">
        <v>1</v>
      </c>
      <c r="I177" s="2">
        <v>1</v>
      </c>
      <c r="J177" s="2">
        <v>300</v>
      </c>
      <c r="K177" s="2">
        <v>2</v>
      </c>
      <c r="L177" s="2"/>
      <c r="M177" s="2">
        <f t="shared" si="91"/>
        <v>2</v>
      </c>
      <c r="N177" s="2">
        <v>0</v>
      </c>
      <c r="O177" s="2">
        <v>1</v>
      </c>
      <c r="P177" s="2">
        <f>[5]怪物信息表!$P92</f>
        <v>40</v>
      </c>
      <c r="Q177" s="2">
        <v>5</v>
      </c>
      <c r="R177" s="2">
        <v>101113</v>
      </c>
      <c r="S177" s="11">
        <f t="shared" si="92"/>
        <v>515100</v>
      </c>
      <c r="T177" s="11">
        <v>702010</v>
      </c>
      <c r="U177" s="2">
        <v>0</v>
      </c>
      <c r="V177" s="14"/>
      <c r="W177" s="14"/>
      <c r="X177" s="14"/>
      <c r="Y177" s="2"/>
      <c r="Z177" s="2"/>
      <c r="AA177" s="2"/>
      <c r="AB177" s="2"/>
      <c r="AC177" s="2"/>
      <c r="AD177" s="2"/>
      <c r="AE177" s="2"/>
      <c r="AF177" s="2">
        <v>1</v>
      </c>
      <c r="AG177" s="2">
        <v>435</v>
      </c>
      <c r="AH177" s="2"/>
      <c r="AI177" s="2"/>
      <c r="AJ177" s="2"/>
      <c r="AK177" s="2"/>
      <c r="AL177" s="2"/>
      <c r="AM177" s="2"/>
      <c r="AN177" s="2"/>
      <c r="AO177" s="2"/>
      <c r="AP177" s="2"/>
      <c r="AQ177">
        <f t="shared" si="90"/>
        <v>40</v>
      </c>
      <c r="AR177">
        <f>IF(ISERROR(VLOOKUP(IF(O177=4,P177,IF(Q177=4,R177,0)),[4]D_任务!$A$2:$B$132,2,FALSE)),IF(O177=4,P177,IF(Q177=4,R177,0)),VLOOKUP(IF(O177=4,P177,IF(Q177=4,R177,0)),[4]D_任务!$A$2:$B$132,2,FALSE))</f>
        <v>0</v>
      </c>
      <c r="AS177">
        <f t="shared" si="70"/>
        <v>0</v>
      </c>
      <c r="AT177">
        <f t="shared" si="86"/>
        <v>40</v>
      </c>
    </row>
    <row r="178" spans="1:46" x14ac:dyDescent="0.15">
      <c r="A178" s="2">
        <v>1511</v>
      </c>
      <c r="B178" s="2">
        <v>3</v>
      </c>
      <c r="C178" s="2">
        <v>3</v>
      </c>
      <c r="D178" s="13" t="s">
        <v>673</v>
      </c>
      <c r="E178" s="11">
        <f>IFERROR(VLOOKUP(C178,[3]副本规划!$AC$20:$AD$23,2,0),E177)</f>
        <v>36</v>
      </c>
      <c r="F178" s="2">
        <f>IFERROR(ROUNDUP(VLOOKUP(T178,CHOOSE({1,2},[5]D_怪物表!$I$1:$I$1120,[5]D_怪物表!$AH$1:$AH$1120),2,FALSE),0),0)</f>
        <v>58</v>
      </c>
      <c r="G178" s="2">
        <v>1</v>
      </c>
      <c r="H178" s="2">
        <v>1</v>
      </c>
      <c r="I178" s="2">
        <v>1</v>
      </c>
      <c r="J178" s="2">
        <v>300</v>
      </c>
      <c r="K178" s="2">
        <v>2</v>
      </c>
      <c r="L178" s="2"/>
      <c r="M178" s="2">
        <f t="shared" si="91"/>
        <v>2</v>
      </c>
      <c r="N178" s="2">
        <v>0</v>
      </c>
      <c r="O178" s="2">
        <v>1</v>
      </c>
      <c r="P178" s="2">
        <f>[5]怪物信息表!$P93</f>
        <v>40</v>
      </c>
      <c r="Q178" s="2">
        <v>5</v>
      </c>
      <c r="R178" s="2">
        <v>101119</v>
      </c>
      <c r="S178" s="11">
        <f t="shared" si="92"/>
        <v>515110</v>
      </c>
      <c r="T178" s="11">
        <v>702111</v>
      </c>
      <c r="U178" s="2">
        <v>0</v>
      </c>
      <c r="V178" s="14"/>
      <c r="W178" s="14"/>
      <c r="X178" s="14"/>
      <c r="Y178" s="2"/>
      <c r="Z178" s="2"/>
      <c r="AA178" s="2"/>
      <c r="AB178" s="2"/>
      <c r="AC178" s="2"/>
      <c r="AD178" s="2"/>
      <c r="AE178" s="2"/>
      <c r="AF178" s="2">
        <v>1</v>
      </c>
      <c r="AG178" s="2">
        <v>436</v>
      </c>
      <c r="AH178" s="2"/>
      <c r="AI178" s="2"/>
      <c r="AJ178" s="2"/>
      <c r="AK178" s="2"/>
      <c r="AL178" s="2"/>
      <c r="AM178" s="2"/>
      <c r="AN178" s="2"/>
      <c r="AO178" s="2"/>
      <c r="AP178" s="2"/>
      <c r="AQ178">
        <f t="shared" si="90"/>
        <v>40</v>
      </c>
      <c r="AR178">
        <f>IF(ISERROR(VLOOKUP(IF(O178=4,P178,IF(Q178=4,R178,0)),[4]D_任务!$A$2:$B$132,2,FALSE)),IF(O178=4,P178,IF(Q178=4,R178,0)),VLOOKUP(IF(O178=4,P178,IF(Q178=4,R178,0)),[4]D_任务!$A$2:$B$132,2,FALSE))</f>
        <v>0</v>
      </c>
      <c r="AS178">
        <f t="shared" si="70"/>
        <v>0</v>
      </c>
      <c r="AT178">
        <f t="shared" si="86"/>
        <v>40</v>
      </c>
    </row>
    <row r="179" spans="1:46" x14ac:dyDescent="0.15">
      <c r="A179" s="2">
        <v>1512</v>
      </c>
      <c r="B179" s="2">
        <v>3</v>
      </c>
      <c r="C179" s="2">
        <v>4</v>
      </c>
      <c r="D179" s="13" t="s">
        <v>674</v>
      </c>
      <c r="E179" s="11">
        <f>IFERROR(VLOOKUP(C179,[3]副本规划!$AC$20:$AD$23,2,0),E178)</f>
        <v>60</v>
      </c>
      <c r="F179" s="2">
        <f>IFERROR(ROUNDUP(VLOOKUP(T179,CHOOSE({1,2},[5]D_怪物表!$I$1:$I$1120,[5]D_怪物表!$AH$1:$AH$1120),2,FALSE),0),0)</f>
        <v>58</v>
      </c>
      <c r="G179" s="2">
        <v>1</v>
      </c>
      <c r="H179" s="2">
        <v>1</v>
      </c>
      <c r="I179" s="2">
        <v>1</v>
      </c>
      <c r="J179" s="2">
        <v>300</v>
      </c>
      <c r="K179" s="2">
        <v>2</v>
      </c>
      <c r="L179" s="2"/>
      <c r="M179" s="2">
        <f t="shared" si="91"/>
        <v>1</v>
      </c>
      <c r="N179" s="2">
        <v>0</v>
      </c>
      <c r="O179" s="2">
        <v>5</v>
      </c>
      <c r="P179" s="2">
        <v>101114</v>
      </c>
      <c r="Q179" s="2">
        <v>0</v>
      </c>
      <c r="R179" s="2">
        <v>0</v>
      </c>
      <c r="S179" s="11">
        <f t="shared" si="92"/>
        <v>515120</v>
      </c>
      <c r="T179" s="11">
        <v>702212</v>
      </c>
      <c r="U179" s="2">
        <v>0</v>
      </c>
      <c r="V179" s="14"/>
      <c r="W179" s="14"/>
      <c r="X179" s="14"/>
      <c r="Y179" s="2"/>
      <c r="Z179" s="2"/>
      <c r="AA179" s="2"/>
      <c r="AB179" s="2"/>
      <c r="AC179" s="2"/>
      <c r="AD179" s="2"/>
      <c r="AE179" s="2"/>
      <c r="AF179" s="2">
        <v>1</v>
      </c>
      <c r="AG179" s="2">
        <v>437</v>
      </c>
      <c r="AH179" s="2"/>
      <c r="AI179" s="2"/>
      <c r="AJ179" s="2"/>
      <c r="AK179" s="2"/>
      <c r="AL179" s="2"/>
      <c r="AM179" s="2"/>
      <c r="AN179" s="2"/>
      <c r="AO179" s="2"/>
      <c r="AP179" s="2"/>
      <c r="AQ179">
        <f t="shared" si="90"/>
        <v>0</v>
      </c>
      <c r="AR179">
        <f>IF(ISERROR(VLOOKUP(IF(O179=4,P179,IF(Q179=4,R179,0)),[4]D_任务!$A$2:$B$132,2,FALSE)),IF(O179=4,P179,IF(Q179=4,R179,0)),VLOOKUP(IF(O179=4,P179,IF(Q179=4,R179,0)),[4]D_任务!$A$2:$B$132,2,FALSE))</f>
        <v>0</v>
      </c>
      <c r="AS179">
        <f t="shared" si="70"/>
        <v>0</v>
      </c>
      <c r="AT179">
        <f t="shared" si="86"/>
        <v>0</v>
      </c>
    </row>
    <row r="180" spans="1:46" x14ac:dyDescent="0.15">
      <c r="A180" s="2">
        <v>1513</v>
      </c>
      <c r="B180" s="2">
        <v>3</v>
      </c>
      <c r="C180" s="2">
        <v>4</v>
      </c>
      <c r="D180" s="13" t="s">
        <v>675</v>
      </c>
      <c r="E180" s="11">
        <f>IFERROR(VLOOKUP(C180,[3]副本规划!$AC$20:$AD$23,2,0),E179)</f>
        <v>60</v>
      </c>
      <c r="F180" s="2">
        <f>IFERROR(ROUNDUP(VLOOKUP(T180,CHOOSE({1,2},[5]D_怪物表!$I$1:$I$1120,[5]D_怪物表!$AH$1:$AH$1120),2,FALSE),0),0)</f>
        <v>58</v>
      </c>
      <c r="G180" s="2">
        <v>1</v>
      </c>
      <c r="H180" s="2">
        <v>1</v>
      </c>
      <c r="I180" s="2">
        <v>1</v>
      </c>
      <c r="J180" s="2">
        <v>300</v>
      </c>
      <c r="K180" s="2">
        <v>2</v>
      </c>
      <c r="L180" s="2"/>
      <c r="M180" s="2">
        <f t="shared" si="91"/>
        <v>1</v>
      </c>
      <c r="N180" s="2">
        <v>0</v>
      </c>
      <c r="O180" s="2">
        <v>5</v>
      </c>
      <c r="P180" s="2">
        <v>101115</v>
      </c>
      <c r="Q180" s="2">
        <v>0</v>
      </c>
      <c r="R180" s="2">
        <v>0</v>
      </c>
      <c r="S180" s="11">
        <f t="shared" si="92"/>
        <v>515130</v>
      </c>
      <c r="T180" s="11">
        <v>702313</v>
      </c>
      <c r="U180" s="2">
        <v>0</v>
      </c>
      <c r="V180" s="14"/>
      <c r="W180" s="14"/>
      <c r="X180" s="14"/>
      <c r="Y180" s="2"/>
      <c r="Z180" s="2"/>
      <c r="AA180" s="2"/>
      <c r="AB180" s="2"/>
      <c r="AC180" s="2"/>
      <c r="AD180" s="2"/>
      <c r="AE180" s="2"/>
      <c r="AF180" s="2">
        <v>1</v>
      </c>
      <c r="AG180" s="2">
        <v>438</v>
      </c>
      <c r="AH180" s="2"/>
      <c r="AI180" s="2"/>
      <c r="AJ180" s="2"/>
      <c r="AK180" s="2"/>
      <c r="AL180" s="2"/>
      <c r="AM180" s="2"/>
      <c r="AN180" s="2"/>
      <c r="AO180" s="2"/>
      <c r="AP180" s="2"/>
      <c r="AQ180">
        <f t="shared" si="90"/>
        <v>0</v>
      </c>
      <c r="AR180">
        <f>IF(ISERROR(VLOOKUP(IF(O180=4,P180,IF(Q180=4,R180,0)),[4]D_任务!$A$2:$B$132,2,FALSE)),IF(O180=4,P180,IF(Q180=4,R180,0)),VLOOKUP(IF(O180=4,P180,IF(Q180=4,R180,0)),[4]D_任务!$A$2:$B$132,2,FALSE))</f>
        <v>0</v>
      </c>
      <c r="AS180">
        <f t="shared" si="70"/>
        <v>0</v>
      </c>
      <c r="AT180">
        <f t="shared" si="86"/>
        <v>0</v>
      </c>
    </row>
    <row r="181" spans="1:46" x14ac:dyDescent="0.15">
      <c r="A181" s="2">
        <v>1514</v>
      </c>
      <c r="B181" s="2">
        <v>3</v>
      </c>
      <c r="C181" s="2">
        <v>4</v>
      </c>
      <c r="D181" s="13" t="s">
        <v>676</v>
      </c>
      <c r="E181" s="11">
        <f>IFERROR(VLOOKUP(C181,[3]副本规划!$AC$20:$AD$23,2,0),E180)</f>
        <v>60</v>
      </c>
      <c r="F181" s="2">
        <f>IFERROR(ROUNDUP(VLOOKUP(T181,CHOOSE({1,2},[5]D_怪物表!$I$1:$I$1120,[5]D_怪物表!$AH$1:$AH$1120),2,FALSE),0),0)</f>
        <v>58</v>
      </c>
      <c r="G181" s="2">
        <v>1</v>
      </c>
      <c r="H181" s="2">
        <v>1</v>
      </c>
      <c r="I181" s="2">
        <v>1</v>
      </c>
      <c r="J181" s="2">
        <v>300</v>
      </c>
      <c r="K181" s="2">
        <v>2</v>
      </c>
      <c r="L181" s="2"/>
      <c r="M181" s="2">
        <f t="shared" si="91"/>
        <v>1</v>
      </c>
      <c r="N181" s="2">
        <v>0</v>
      </c>
      <c r="O181" s="2">
        <v>5</v>
      </c>
      <c r="P181" s="2">
        <v>101116</v>
      </c>
      <c r="Q181" s="2">
        <v>0</v>
      </c>
      <c r="R181" s="2">
        <v>0</v>
      </c>
      <c r="S181" s="11">
        <f t="shared" si="92"/>
        <v>515140</v>
      </c>
      <c r="T181" s="11">
        <v>702414</v>
      </c>
      <c r="U181" s="2">
        <v>0</v>
      </c>
      <c r="V181" s="14"/>
      <c r="W181" s="14"/>
      <c r="X181" s="14"/>
      <c r="Y181" s="2"/>
      <c r="Z181" s="2"/>
      <c r="AA181" s="2"/>
      <c r="AB181" s="2"/>
      <c r="AC181" s="2"/>
      <c r="AD181" s="2"/>
      <c r="AE181" s="2"/>
      <c r="AF181" s="2">
        <v>1</v>
      </c>
      <c r="AG181" s="2">
        <v>439</v>
      </c>
      <c r="AH181" s="2"/>
      <c r="AI181" s="2"/>
      <c r="AJ181" s="2"/>
      <c r="AK181" s="2"/>
      <c r="AL181" s="2"/>
      <c r="AM181" s="2"/>
      <c r="AN181" s="2"/>
      <c r="AO181" s="2"/>
      <c r="AP181" s="2"/>
      <c r="AQ181">
        <f t="shared" si="90"/>
        <v>0</v>
      </c>
      <c r="AR181">
        <f>IF(ISERROR(VLOOKUP(IF(O181=4,P181,IF(Q181=4,R181,0)),[4]D_任务!$A$2:$B$132,2,FALSE)),IF(O181=4,P181,IF(Q181=4,R181,0)),VLOOKUP(IF(O181=4,P181,IF(Q181=4,R181,0)),[4]D_任务!$A$2:$B$132,2,FALSE))</f>
        <v>0</v>
      </c>
      <c r="AS181">
        <f t="shared" si="70"/>
        <v>0</v>
      </c>
      <c r="AT181">
        <f t="shared" si="86"/>
        <v>0</v>
      </c>
    </row>
    <row r="182" spans="1:46" x14ac:dyDescent="0.15">
      <c r="A182" s="2">
        <v>1601</v>
      </c>
      <c r="B182" s="2">
        <v>3</v>
      </c>
      <c r="C182" s="2">
        <v>1</v>
      </c>
      <c r="D182" s="2" t="s">
        <v>322</v>
      </c>
      <c r="E182" s="11">
        <f t="shared" ref="E182:E188" si="93">FLOOR(10+(A182/1000)*2,1)</f>
        <v>13</v>
      </c>
      <c r="F182" s="2">
        <f>IFERROR(ROUNDUP(VLOOKUP(T182,CHOOSE({1,2},[5]D_怪物表!$I$1:$I$1120,[5]D_怪物表!$AH$1:$AH$1120),2,FALSE),0),0)</f>
        <v>0</v>
      </c>
      <c r="G182" s="2">
        <v>3</v>
      </c>
      <c r="H182" s="2">
        <v>3</v>
      </c>
      <c r="I182" s="2">
        <v>3</v>
      </c>
      <c r="J182" s="2">
        <v>300</v>
      </c>
      <c r="K182" s="2">
        <v>2</v>
      </c>
      <c r="L182" s="2"/>
      <c r="M182" s="2">
        <f t="shared" si="91"/>
        <v>1</v>
      </c>
      <c r="N182" s="2">
        <v>1</v>
      </c>
      <c r="O182" s="2">
        <v>1</v>
      </c>
      <c r="P182" s="2">
        <v>100</v>
      </c>
      <c r="Q182" s="2">
        <v>0</v>
      </c>
      <c r="R182" s="2">
        <v>0</v>
      </c>
      <c r="S182" s="11">
        <f t="shared" ref="S182:S220" si="94">50*10000+A182</f>
        <v>501601</v>
      </c>
      <c r="T182" s="11"/>
      <c r="U182" s="2">
        <v>3</v>
      </c>
      <c r="V182" s="2">
        <v>160101</v>
      </c>
      <c r="W182" s="2">
        <v>160102</v>
      </c>
      <c r="X182" s="2">
        <v>160103</v>
      </c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>
        <f t="shared" si="90"/>
        <v>100</v>
      </c>
      <c r="AR182">
        <f>IF(ISERROR(VLOOKUP(IF(O182=4,P182,IF(Q182=4,R182,0)),[4]D_任务!$A$2:$B$132,2,FALSE)),IF(O182=4,P182,IF(Q182=4,R182,0)),VLOOKUP(IF(O182=4,P182,IF(Q182=4,R182,0)),[4]D_任务!$A$2:$B$132,2,FALSE))</f>
        <v>0</v>
      </c>
      <c r="AS182">
        <f t="shared" si="70"/>
        <v>0</v>
      </c>
      <c r="AT182">
        <f t="shared" si="86"/>
        <v>100</v>
      </c>
    </row>
    <row r="183" spans="1:46" x14ac:dyDescent="0.15">
      <c r="A183" s="2">
        <v>1602</v>
      </c>
      <c r="B183" s="2">
        <v>3</v>
      </c>
      <c r="C183" s="2">
        <v>1</v>
      </c>
      <c r="D183" s="2" t="s">
        <v>323</v>
      </c>
      <c r="E183" s="11">
        <f t="shared" si="93"/>
        <v>13</v>
      </c>
      <c r="F183" s="2">
        <f>IFERROR(ROUNDUP(VLOOKUP(T183,CHOOSE({1,2},[5]D_怪物表!$I$1:$I$1120,[5]D_怪物表!$AH$1:$AH$1120),2,FALSE),0),0)</f>
        <v>0</v>
      </c>
      <c r="G183" s="2">
        <v>3</v>
      </c>
      <c r="H183" s="2">
        <v>3</v>
      </c>
      <c r="I183" s="2">
        <v>3</v>
      </c>
      <c r="J183" s="2">
        <v>300</v>
      </c>
      <c r="K183" s="2">
        <v>2</v>
      </c>
      <c r="L183" s="2"/>
      <c r="M183" s="2">
        <f t="shared" si="91"/>
        <v>1</v>
      </c>
      <c r="N183" s="2">
        <v>1</v>
      </c>
      <c r="O183" s="2">
        <v>1</v>
      </c>
      <c r="P183" s="2">
        <v>100</v>
      </c>
      <c r="Q183" s="2">
        <v>0</v>
      </c>
      <c r="R183" s="2">
        <v>0</v>
      </c>
      <c r="S183" s="11">
        <f t="shared" si="94"/>
        <v>501602</v>
      </c>
      <c r="T183" s="11"/>
      <c r="U183" s="2">
        <v>3</v>
      </c>
      <c r="V183" s="2">
        <v>160201</v>
      </c>
      <c r="W183" s="2">
        <v>160202</v>
      </c>
      <c r="X183" s="2">
        <v>160203</v>
      </c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>
        <f t="shared" si="90"/>
        <v>100</v>
      </c>
      <c r="AR183">
        <f>IF(ISERROR(VLOOKUP(IF(O183=4,P183,IF(Q183=4,R183,0)),[4]D_任务!$A$2:$B$132,2,FALSE)),IF(O183=4,P183,IF(Q183=4,R183,0)),VLOOKUP(IF(O183=4,P183,IF(Q183=4,R183,0)),[4]D_任务!$A$2:$B$132,2,FALSE))</f>
        <v>0</v>
      </c>
      <c r="AS183">
        <f t="shared" si="70"/>
        <v>0</v>
      </c>
      <c r="AT183">
        <f t="shared" si="86"/>
        <v>100</v>
      </c>
    </row>
    <row r="184" spans="1:46" x14ac:dyDescent="0.15">
      <c r="A184" s="2">
        <v>1603</v>
      </c>
      <c r="B184" s="2">
        <v>3</v>
      </c>
      <c r="C184" s="2">
        <v>1</v>
      </c>
      <c r="D184" s="2" t="s">
        <v>324</v>
      </c>
      <c r="E184" s="11">
        <f t="shared" si="93"/>
        <v>13</v>
      </c>
      <c r="F184" s="2">
        <f>IFERROR(ROUNDUP(VLOOKUP(T184,CHOOSE({1,2},[5]D_怪物表!$I$1:$I$1120,[5]D_怪物表!$AH$1:$AH$1120),2,FALSE),0),0)</f>
        <v>0</v>
      </c>
      <c r="G184" s="2">
        <v>3</v>
      </c>
      <c r="H184" s="2">
        <v>3</v>
      </c>
      <c r="I184" s="2">
        <v>3</v>
      </c>
      <c r="J184" s="2">
        <v>300</v>
      </c>
      <c r="K184" s="2">
        <v>2</v>
      </c>
      <c r="L184" s="2"/>
      <c r="M184" s="2">
        <f t="shared" si="91"/>
        <v>1</v>
      </c>
      <c r="N184" s="2">
        <v>1</v>
      </c>
      <c r="O184" s="2">
        <v>1</v>
      </c>
      <c r="P184" s="2">
        <v>100</v>
      </c>
      <c r="Q184" s="2">
        <v>0</v>
      </c>
      <c r="R184" s="2">
        <v>0</v>
      </c>
      <c r="S184" s="11">
        <f t="shared" si="94"/>
        <v>501603</v>
      </c>
      <c r="T184" s="11"/>
      <c r="U184" s="2">
        <v>3</v>
      </c>
      <c r="V184" s="2">
        <v>160301</v>
      </c>
      <c r="W184" s="2">
        <v>160302</v>
      </c>
      <c r="X184" s="2">
        <v>160303</v>
      </c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>
        <f t="shared" si="90"/>
        <v>100</v>
      </c>
      <c r="AR184">
        <f>IF(ISERROR(VLOOKUP(IF(O184=4,P184,IF(Q184=4,R184,0)),[4]D_任务!$A$2:$B$132,2,FALSE)),IF(O184=4,P184,IF(Q184=4,R184,0)),VLOOKUP(IF(O184=4,P184,IF(Q184=4,R184,0)),[4]D_任务!$A$2:$B$132,2,FALSE))</f>
        <v>0</v>
      </c>
      <c r="AS184">
        <f t="shared" si="70"/>
        <v>0</v>
      </c>
      <c r="AT184">
        <f t="shared" si="86"/>
        <v>100</v>
      </c>
    </row>
    <row r="185" spans="1:46" x14ac:dyDescent="0.15">
      <c r="A185" s="2">
        <v>2401</v>
      </c>
      <c r="B185" s="2">
        <v>4</v>
      </c>
      <c r="C185" s="2">
        <v>1</v>
      </c>
      <c r="D185" s="2" t="s">
        <v>325</v>
      </c>
      <c r="E185" s="11">
        <f t="shared" si="93"/>
        <v>14</v>
      </c>
      <c r="F185" s="2">
        <f>IFERROR(ROUNDUP(VLOOKUP(T185,CHOOSE({1,2},[5]D_怪物表!$I$1:$I$1120,[5]D_怪物表!$AH$1:$AH$1120),2,FALSE),0),0)</f>
        <v>0</v>
      </c>
      <c r="G185" s="2">
        <v>2</v>
      </c>
      <c r="H185" s="2">
        <v>2</v>
      </c>
      <c r="I185" s="2">
        <v>5</v>
      </c>
      <c r="J185" s="2">
        <v>300</v>
      </c>
      <c r="K185" s="2">
        <v>0</v>
      </c>
      <c r="L185" s="2"/>
      <c r="M185" s="2">
        <f t="shared" si="91"/>
        <v>1</v>
      </c>
      <c r="N185" s="2">
        <v>1</v>
      </c>
      <c r="O185" s="2">
        <v>1</v>
      </c>
      <c r="P185" s="2">
        <v>20</v>
      </c>
      <c r="Q185" s="2">
        <v>0</v>
      </c>
      <c r="R185" s="2">
        <v>0</v>
      </c>
      <c r="S185" s="11">
        <f t="shared" si="94"/>
        <v>502401</v>
      </c>
      <c r="T185" s="11"/>
      <c r="U185" s="2">
        <v>0</v>
      </c>
      <c r="V185" s="2">
        <v>0</v>
      </c>
      <c r="W185" s="2">
        <v>0</v>
      </c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>
        <f t="shared" si="90"/>
        <v>20</v>
      </c>
      <c r="AR185">
        <f>IF(ISERROR(VLOOKUP(IF(O185=4,P185,IF(Q185=4,R185,0)),[4]D_任务!$A$2:$B$132,2,FALSE)),IF(O185=4,P185,IF(Q185=4,R185,0)),VLOOKUP(IF(O185=4,P185,IF(Q185=4,R185,0)),[4]D_任务!$A$2:$B$132,2,FALSE))</f>
        <v>0</v>
      </c>
      <c r="AS185">
        <f t="shared" si="70"/>
        <v>0</v>
      </c>
      <c r="AT185">
        <f t="shared" si="86"/>
        <v>20</v>
      </c>
    </row>
    <row r="186" spans="1:46" x14ac:dyDescent="0.15">
      <c r="A186" s="2">
        <v>2402</v>
      </c>
      <c r="B186" s="2">
        <v>4</v>
      </c>
      <c r="C186" s="2">
        <v>1</v>
      </c>
      <c r="D186" s="2" t="s">
        <v>326</v>
      </c>
      <c r="E186" s="11">
        <f t="shared" si="93"/>
        <v>14</v>
      </c>
      <c r="F186" s="2">
        <f>IFERROR(ROUNDUP(VLOOKUP(T186,CHOOSE({1,2},[5]D_怪物表!$I$1:$I$1120,[5]D_怪物表!$AH$1:$AH$1120),2,FALSE),0),0)</f>
        <v>0</v>
      </c>
      <c r="G186" s="2">
        <v>2</v>
      </c>
      <c r="H186" s="2">
        <v>2</v>
      </c>
      <c r="I186" s="2">
        <v>5</v>
      </c>
      <c r="J186" s="2">
        <v>300</v>
      </c>
      <c r="K186" s="2">
        <v>0</v>
      </c>
      <c r="L186" s="2"/>
      <c r="M186" s="2">
        <f t="shared" si="91"/>
        <v>1</v>
      </c>
      <c r="N186" s="2">
        <v>1</v>
      </c>
      <c r="O186" s="2">
        <v>1</v>
      </c>
      <c r="P186" s="2">
        <v>20</v>
      </c>
      <c r="Q186" s="2">
        <v>0</v>
      </c>
      <c r="R186" s="2">
        <v>0</v>
      </c>
      <c r="S186" s="11">
        <f t="shared" si="94"/>
        <v>502402</v>
      </c>
      <c r="T186" s="11"/>
      <c r="U186" s="2">
        <v>0</v>
      </c>
      <c r="V186" s="2">
        <v>0</v>
      </c>
      <c r="W186" s="2">
        <v>0</v>
      </c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>
        <f t="shared" si="90"/>
        <v>20</v>
      </c>
      <c r="AR186">
        <f>IF(ISERROR(VLOOKUP(IF(O186=4,P186,IF(Q186=4,R186,0)),[4]D_任务!$A$2:$B$132,2,FALSE)),IF(O186=4,P186,IF(Q186=4,R186,0)),VLOOKUP(IF(O186=4,P186,IF(Q186=4,R186,0)),[4]D_任务!$A$2:$B$132,2,FALSE))</f>
        <v>0</v>
      </c>
      <c r="AS186">
        <f t="shared" si="70"/>
        <v>0</v>
      </c>
      <c r="AT186">
        <f t="shared" si="86"/>
        <v>20</v>
      </c>
    </row>
    <row r="187" spans="1:46" x14ac:dyDescent="0.15">
      <c r="A187" s="2">
        <v>2403</v>
      </c>
      <c r="B187" s="2">
        <v>4</v>
      </c>
      <c r="C187" s="2">
        <v>1</v>
      </c>
      <c r="D187" s="2" t="s">
        <v>327</v>
      </c>
      <c r="E187" s="11">
        <f t="shared" si="93"/>
        <v>14</v>
      </c>
      <c r="F187" s="2">
        <f>IFERROR(ROUNDUP(VLOOKUP(T187,CHOOSE({1,2},[5]D_怪物表!$I$1:$I$1120,[5]D_怪物表!$AH$1:$AH$1120),2,FALSE),0),0)</f>
        <v>0</v>
      </c>
      <c r="G187" s="2">
        <v>2</v>
      </c>
      <c r="H187" s="2">
        <v>2</v>
      </c>
      <c r="I187" s="2">
        <v>5</v>
      </c>
      <c r="J187" s="2">
        <v>300</v>
      </c>
      <c r="K187" s="2">
        <v>0</v>
      </c>
      <c r="L187" s="2"/>
      <c r="M187" s="2">
        <f t="shared" si="91"/>
        <v>1</v>
      </c>
      <c r="N187" s="2">
        <v>1</v>
      </c>
      <c r="O187" s="2">
        <v>1</v>
      </c>
      <c r="P187" s="2">
        <v>20</v>
      </c>
      <c r="Q187" s="2">
        <v>0</v>
      </c>
      <c r="R187" s="2">
        <v>0</v>
      </c>
      <c r="S187" s="11">
        <f t="shared" si="94"/>
        <v>502403</v>
      </c>
      <c r="T187" s="11"/>
      <c r="U187" s="2">
        <v>0</v>
      </c>
      <c r="V187" s="2">
        <v>0</v>
      </c>
      <c r="W187" s="2">
        <v>0</v>
      </c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>
        <f t="shared" si="90"/>
        <v>20</v>
      </c>
      <c r="AR187">
        <f>IF(ISERROR(VLOOKUP(IF(O187=4,P187,IF(Q187=4,R187,0)),[4]D_任务!$A$2:$B$132,2,FALSE)),IF(O187=4,P187,IF(Q187=4,R187,0)),VLOOKUP(IF(O187=4,P187,IF(Q187=4,R187,0)),[4]D_任务!$A$2:$B$132,2,FALSE))</f>
        <v>0</v>
      </c>
      <c r="AS187">
        <f t="shared" si="70"/>
        <v>0</v>
      </c>
      <c r="AT187">
        <f t="shared" si="86"/>
        <v>20</v>
      </c>
    </row>
    <row r="188" spans="1:46" x14ac:dyDescent="0.15">
      <c r="A188" s="2">
        <v>999</v>
      </c>
      <c r="B188" s="2">
        <v>1</v>
      </c>
      <c r="C188" s="2">
        <v>9</v>
      </c>
      <c r="D188" s="2" t="s">
        <v>98</v>
      </c>
      <c r="E188" s="11">
        <f t="shared" si="93"/>
        <v>11</v>
      </c>
      <c r="F188" s="2">
        <f>IFERROR(ROUNDUP(VLOOKUP(T188,CHOOSE({1,2},[5]D_怪物表!$I$1:$I$1120,[5]D_怪物表!$AH$1:$AH$1120),2,FALSE),0),0)</f>
        <v>0</v>
      </c>
      <c r="G188" s="2">
        <v>1</v>
      </c>
      <c r="H188" s="2">
        <v>1</v>
      </c>
      <c r="I188" s="2">
        <v>0</v>
      </c>
      <c r="J188" s="2">
        <v>0</v>
      </c>
      <c r="K188" s="2">
        <v>0</v>
      </c>
      <c r="L188" s="2"/>
      <c r="M188" s="2">
        <f t="shared" ref="M188:M191" si="95">SUM(O188&gt;0,Q188&gt;0)</f>
        <v>0</v>
      </c>
      <c r="N188" s="2">
        <v>1</v>
      </c>
      <c r="O188" s="2">
        <v>0</v>
      </c>
      <c r="P188" s="2">
        <v>0</v>
      </c>
      <c r="Q188" s="2">
        <v>0</v>
      </c>
      <c r="R188" s="2">
        <v>0</v>
      </c>
      <c r="S188" s="11">
        <f t="shared" si="94"/>
        <v>500999</v>
      </c>
      <c r="T188" s="11"/>
      <c r="U188" s="2">
        <v>0</v>
      </c>
      <c r="V188" s="2">
        <v>0</v>
      </c>
      <c r="W188" s="2">
        <v>0</v>
      </c>
      <c r="X188" s="2">
        <v>0</v>
      </c>
      <c r="Y188" s="2"/>
      <c r="Z188" s="2"/>
      <c r="AA188" s="2"/>
      <c r="AB188" s="2"/>
      <c r="AC188" s="2"/>
      <c r="AD188" s="2"/>
      <c r="AE188" s="2"/>
      <c r="AF188" s="2">
        <v>1</v>
      </c>
      <c r="AG188" s="2">
        <v>185</v>
      </c>
      <c r="AH188" s="2"/>
      <c r="AI188" s="2"/>
      <c r="AJ188" s="2"/>
      <c r="AK188" s="2"/>
      <c r="AL188" s="2"/>
      <c r="AM188" s="2"/>
      <c r="AN188" s="2"/>
      <c r="AO188" s="2"/>
      <c r="AP188" s="2"/>
      <c r="AQ188">
        <f t="shared" si="90"/>
        <v>0</v>
      </c>
      <c r="AR188">
        <f>IF(ISERROR(VLOOKUP(IF(O188=4,P188,IF(Q188=4,R188,0)),[4]D_任务!$A$2:$B$132,2,FALSE)),IF(O188=4,P188,IF(Q188=4,R188,0)),VLOOKUP(IF(O188=4,P188,IF(Q188=4,R188,0)),[4]D_任务!$A$2:$B$132,2,FALSE))</f>
        <v>0</v>
      </c>
      <c r="AS188">
        <f t="shared" si="70"/>
        <v>0</v>
      </c>
      <c r="AT188">
        <f t="shared" si="86"/>
        <v>0</v>
      </c>
    </row>
    <row r="189" spans="1:46" x14ac:dyDescent="0.15">
      <c r="A189" s="2">
        <v>1901</v>
      </c>
      <c r="B189" s="2">
        <v>6</v>
      </c>
      <c r="C189" s="2">
        <v>1</v>
      </c>
      <c r="D189" s="2" t="s">
        <v>99</v>
      </c>
      <c r="E189" s="11">
        <v>0</v>
      </c>
      <c r="F189" s="2">
        <f>IFERROR(ROUNDUP(VLOOKUP(T189,CHOOSE({1,2},[5]D_怪物表!$I$1:$I$1120,[5]D_怪物表!$AH$1:$AH$1120),2,FALSE),0),0)</f>
        <v>0</v>
      </c>
      <c r="G189" s="2">
        <v>1</v>
      </c>
      <c r="H189" s="2">
        <v>1</v>
      </c>
      <c r="I189" s="2">
        <v>0</v>
      </c>
      <c r="J189" s="2">
        <v>0</v>
      </c>
      <c r="K189" s="2">
        <v>0</v>
      </c>
      <c r="L189" s="2"/>
      <c r="M189" s="2">
        <f t="shared" si="95"/>
        <v>0</v>
      </c>
      <c r="N189" s="2">
        <v>1</v>
      </c>
      <c r="O189" s="2">
        <v>0</v>
      </c>
      <c r="P189" s="2">
        <v>0</v>
      </c>
      <c r="Q189" s="2">
        <v>0</v>
      </c>
      <c r="R189" s="2">
        <v>0</v>
      </c>
      <c r="S189" s="11">
        <f t="shared" si="94"/>
        <v>501901</v>
      </c>
      <c r="T189" s="11"/>
      <c r="U189" s="2">
        <v>0</v>
      </c>
      <c r="V189" s="2">
        <v>0</v>
      </c>
      <c r="W189" s="2">
        <v>0</v>
      </c>
      <c r="X189" s="2">
        <v>0</v>
      </c>
      <c r="Y189" s="2"/>
      <c r="Z189" s="2"/>
      <c r="AA189" s="2"/>
      <c r="AB189" s="2"/>
      <c r="AC189" s="2"/>
      <c r="AD189" s="2"/>
      <c r="AE189" s="2"/>
      <c r="AF189" s="2">
        <v>10</v>
      </c>
      <c r="AG189" s="2">
        <v>14</v>
      </c>
      <c r="AH189" s="2">
        <v>15</v>
      </c>
      <c r="AI189" s="2">
        <v>16</v>
      </c>
      <c r="AJ189" s="2">
        <v>17</v>
      </c>
      <c r="AK189" s="2">
        <v>18</v>
      </c>
      <c r="AL189" s="2">
        <v>19</v>
      </c>
      <c r="AM189" s="2">
        <v>20</v>
      </c>
      <c r="AN189" s="2">
        <v>21</v>
      </c>
      <c r="AO189" s="2">
        <v>22</v>
      </c>
      <c r="AP189" s="2">
        <v>23</v>
      </c>
      <c r="AQ189">
        <f t="shared" si="90"/>
        <v>0</v>
      </c>
      <c r="AR189">
        <f>IF(ISERROR(VLOOKUP(IF(O189=4,P189,IF(Q189=4,R189,0)),[4]D_任务!$A$2:$B$132,2,FALSE)),IF(O189=4,P189,IF(Q189=4,R189,0)),VLOOKUP(IF(O189=4,P189,IF(Q189=4,R189,0)),[4]D_任务!$A$2:$B$132,2,FALSE))</f>
        <v>0</v>
      </c>
      <c r="AS189">
        <f t="shared" si="70"/>
        <v>0</v>
      </c>
      <c r="AT189">
        <f t="shared" si="86"/>
        <v>0</v>
      </c>
    </row>
    <row r="190" spans="1:46" x14ac:dyDescent="0.15">
      <c r="A190" s="2">
        <v>1902</v>
      </c>
      <c r="B190" s="2">
        <v>6</v>
      </c>
      <c r="C190" s="2">
        <v>1</v>
      </c>
      <c r="D190" s="2" t="s">
        <v>7</v>
      </c>
      <c r="E190" s="11">
        <v>0</v>
      </c>
      <c r="F190" s="2">
        <f>IFERROR(ROUNDUP(VLOOKUP(T190,CHOOSE({1,2},[5]D_怪物表!$I$1:$I$1120,[5]D_怪物表!$AH$1:$AH$1120),2,FALSE),0),0)</f>
        <v>0</v>
      </c>
      <c r="G190" s="2">
        <v>1</v>
      </c>
      <c r="H190" s="2">
        <v>1</v>
      </c>
      <c r="I190" s="2">
        <v>0</v>
      </c>
      <c r="J190" s="2">
        <v>0</v>
      </c>
      <c r="K190" s="2">
        <v>0</v>
      </c>
      <c r="L190" s="2"/>
      <c r="M190" s="2">
        <f t="shared" si="95"/>
        <v>0</v>
      </c>
      <c r="N190" s="2">
        <v>1</v>
      </c>
      <c r="O190" s="2">
        <v>0</v>
      </c>
      <c r="P190" s="2">
        <v>0</v>
      </c>
      <c r="Q190" s="2">
        <v>0</v>
      </c>
      <c r="R190" s="2">
        <v>0</v>
      </c>
      <c r="S190" s="11">
        <f t="shared" si="94"/>
        <v>501902</v>
      </c>
      <c r="T190" s="11"/>
      <c r="U190" s="2">
        <v>0</v>
      </c>
      <c r="V190" s="2">
        <v>0</v>
      </c>
      <c r="W190" s="2">
        <v>0</v>
      </c>
      <c r="X190" s="2">
        <v>0</v>
      </c>
      <c r="Y190" s="2"/>
      <c r="Z190" s="2"/>
      <c r="AA190" s="2"/>
      <c r="AB190" s="2"/>
      <c r="AC190" s="2"/>
      <c r="AD190" s="2"/>
      <c r="AE190" s="2"/>
      <c r="AF190" s="2">
        <v>4</v>
      </c>
      <c r="AG190" s="2">
        <v>248</v>
      </c>
      <c r="AH190" s="2">
        <v>249</v>
      </c>
      <c r="AI190" s="2">
        <v>250</v>
      </c>
      <c r="AJ190" s="2">
        <v>251</v>
      </c>
      <c r="AK190" s="2"/>
      <c r="AL190" s="2"/>
      <c r="AM190" s="2"/>
      <c r="AN190" s="2"/>
      <c r="AO190" s="2"/>
      <c r="AP190" s="2"/>
      <c r="AQ190">
        <f t="shared" si="90"/>
        <v>0</v>
      </c>
      <c r="AR190">
        <f>IF(ISERROR(VLOOKUP(IF(O190=4,P190,IF(Q190=4,R190,0)),[4]D_任务!$A$2:$B$132,2,FALSE)),IF(O190=4,P190,IF(Q190=4,R190,0)),VLOOKUP(IF(O190=4,P190,IF(Q190=4,R190,0)),[4]D_任务!$A$2:$B$132,2,FALSE))</f>
        <v>0</v>
      </c>
      <c r="AS190">
        <f t="shared" si="70"/>
        <v>0</v>
      </c>
      <c r="AT190">
        <f t="shared" si="86"/>
        <v>0</v>
      </c>
    </row>
    <row r="191" spans="1:46" x14ac:dyDescent="0.15">
      <c r="A191" s="2">
        <v>1903</v>
      </c>
      <c r="B191" s="2">
        <v>6</v>
      </c>
      <c r="C191" s="2">
        <v>1</v>
      </c>
      <c r="D191" s="2" t="s">
        <v>9</v>
      </c>
      <c r="E191" s="11">
        <v>0</v>
      </c>
      <c r="F191" s="2">
        <f>IFERROR(ROUNDUP(VLOOKUP(T191,CHOOSE({1,2},[5]D_怪物表!$I$1:$I$1120,[5]D_怪物表!$AH$1:$AH$1120),2,FALSE),0),0)</f>
        <v>0</v>
      </c>
      <c r="G191" s="2">
        <v>1</v>
      </c>
      <c r="H191" s="2">
        <v>1</v>
      </c>
      <c r="I191" s="2">
        <v>0</v>
      </c>
      <c r="J191" s="2">
        <v>0</v>
      </c>
      <c r="K191" s="2">
        <v>0</v>
      </c>
      <c r="L191" s="2"/>
      <c r="M191" s="2">
        <f t="shared" si="95"/>
        <v>0</v>
      </c>
      <c r="N191" s="2">
        <v>1</v>
      </c>
      <c r="O191" s="2">
        <v>0</v>
      </c>
      <c r="P191" s="2">
        <v>0</v>
      </c>
      <c r="Q191" s="2">
        <v>0</v>
      </c>
      <c r="R191" s="2">
        <v>0</v>
      </c>
      <c r="S191" s="11">
        <f t="shared" si="94"/>
        <v>501903</v>
      </c>
      <c r="T191" s="11"/>
      <c r="U191" s="2">
        <v>0</v>
      </c>
      <c r="V191" s="2">
        <v>0</v>
      </c>
      <c r="W191" s="2">
        <v>0</v>
      </c>
      <c r="X191" s="2">
        <v>0</v>
      </c>
      <c r="Y191" s="2"/>
      <c r="Z191" s="2"/>
      <c r="AA191" s="2"/>
      <c r="AB191" s="2"/>
      <c r="AC191" s="2"/>
      <c r="AD191" s="2"/>
      <c r="AE191" s="2"/>
      <c r="AF191" s="2">
        <v>1</v>
      </c>
      <c r="AG191" s="2">
        <v>180</v>
      </c>
      <c r="AH191" s="2"/>
      <c r="AI191" s="2"/>
      <c r="AJ191" s="2"/>
      <c r="AK191" s="2"/>
      <c r="AL191" s="2"/>
      <c r="AM191" s="2"/>
      <c r="AN191" s="2"/>
      <c r="AO191" s="2"/>
      <c r="AP191" s="2"/>
      <c r="AQ191">
        <f t="shared" si="90"/>
        <v>0</v>
      </c>
      <c r="AR191">
        <f>IF(ISERROR(VLOOKUP(IF(O191=4,P191,IF(Q191=4,R191,0)),[4]D_任务!$A$2:$B$132,2,FALSE)),IF(O191=4,P191,IF(Q191=4,R191,0)),VLOOKUP(IF(O191=4,P191,IF(Q191=4,R191,0)),[4]D_任务!$A$2:$B$132,2,FALSE))</f>
        <v>0</v>
      </c>
      <c r="AS191">
        <f t="shared" si="70"/>
        <v>0</v>
      </c>
      <c r="AT191">
        <f t="shared" si="86"/>
        <v>0</v>
      </c>
    </row>
    <row r="192" spans="1:46" x14ac:dyDescent="0.15">
      <c r="A192" s="2">
        <v>1904</v>
      </c>
      <c r="B192" s="2">
        <v>6</v>
      </c>
      <c r="C192" s="2">
        <v>1</v>
      </c>
      <c r="D192" s="2" t="s">
        <v>10</v>
      </c>
      <c r="E192" s="11">
        <v>0</v>
      </c>
      <c r="F192" s="2">
        <f>IFERROR(ROUNDUP(VLOOKUP(T192,CHOOSE({1,2},[5]D_怪物表!$I$1:$I$1120,[5]D_怪物表!$AH$1:$AH$1120),2,FALSE),0),0)</f>
        <v>0</v>
      </c>
      <c r="G192" s="2">
        <v>1</v>
      </c>
      <c r="H192" s="2">
        <v>1</v>
      </c>
      <c r="I192" s="2">
        <v>0</v>
      </c>
      <c r="J192" s="2">
        <v>0</v>
      </c>
      <c r="K192" s="2">
        <v>0</v>
      </c>
      <c r="L192" s="2"/>
      <c r="M192" s="2">
        <f>SUM(O192&gt;0,Q192&gt;0)</f>
        <v>0</v>
      </c>
      <c r="N192" s="2">
        <v>1</v>
      </c>
      <c r="O192" s="2">
        <v>0</v>
      </c>
      <c r="P192" s="2">
        <v>0</v>
      </c>
      <c r="Q192" s="2">
        <v>0</v>
      </c>
      <c r="R192" s="2">
        <v>0</v>
      </c>
      <c r="S192" s="11">
        <f t="shared" si="94"/>
        <v>501904</v>
      </c>
      <c r="T192" s="11"/>
      <c r="U192" s="2">
        <v>0</v>
      </c>
      <c r="V192" s="2">
        <v>0</v>
      </c>
      <c r="W192" s="2">
        <v>0</v>
      </c>
      <c r="X192" s="2">
        <v>0</v>
      </c>
      <c r="Y192" s="2"/>
      <c r="Z192" s="2"/>
      <c r="AA192" s="2"/>
      <c r="AB192" s="2"/>
      <c r="AC192" s="2"/>
      <c r="AD192" s="2"/>
      <c r="AE192" s="2"/>
      <c r="AF192" s="2">
        <v>1</v>
      </c>
      <c r="AG192" s="2">
        <v>181</v>
      </c>
      <c r="AH192" s="2"/>
      <c r="AI192" s="2"/>
      <c r="AJ192" s="2"/>
      <c r="AK192" s="2"/>
      <c r="AL192" s="2"/>
      <c r="AM192" s="2"/>
      <c r="AN192" s="2"/>
      <c r="AO192" s="2"/>
      <c r="AP192" s="2"/>
      <c r="AQ192">
        <f t="shared" si="90"/>
        <v>0</v>
      </c>
      <c r="AR192">
        <f>IF(ISERROR(VLOOKUP(IF(O192=4,P192,IF(Q192=4,R192,0)),[4]D_任务!$A$2:$B$132,2,FALSE)),IF(O192=4,P192,IF(Q192=4,R192,0)),VLOOKUP(IF(O192=4,P192,IF(Q192=4,R192,0)),[4]D_任务!$A$2:$B$132,2,FALSE))</f>
        <v>0</v>
      </c>
      <c r="AS192">
        <f t="shared" si="70"/>
        <v>0</v>
      </c>
      <c r="AT192">
        <f t="shared" si="86"/>
        <v>0</v>
      </c>
    </row>
    <row r="193" spans="1:46" x14ac:dyDescent="0.15">
      <c r="A193" s="2">
        <v>1905</v>
      </c>
      <c r="B193" s="2">
        <v>6</v>
      </c>
      <c r="C193" s="2">
        <v>1</v>
      </c>
      <c r="D193" s="2" t="s">
        <v>11</v>
      </c>
      <c r="E193" s="11">
        <v>0</v>
      </c>
      <c r="F193" s="2">
        <f>IFERROR(ROUNDUP(VLOOKUP(T193,CHOOSE({1,2},[5]D_怪物表!$I$1:$I$1120,[5]D_怪物表!$AH$1:$AH$1120),2,FALSE),0),0)</f>
        <v>0</v>
      </c>
      <c r="G193" s="2">
        <v>1</v>
      </c>
      <c r="H193" s="2">
        <v>1</v>
      </c>
      <c r="I193" s="2">
        <v>0</v>
      </c>
      <c r="J193" s="2">
        <v>0</v>
      </c>
      <c r="K193" s="2">
        <v>0</v>
      </c>
      <c r="L193" s="2"/>
      <c r="M193" s="2">
        <f>SUM(O193&gt;0,Q193&gt;0)</f>
        <v>0</v>
      </c>
      <c r="N193" s="2">
        <v>1</v>
      </c>
      <c r="O193" s="2">
        <v>0</v>
      </c>
      <c r="P193" s="2">
        <v>0</v>
      </c>
      <c r="Q193" s="2">
        <v>0</v>
      </c>
      <c r="R193" s="2">
        <v>0</v>
      </c>
      <c r="S193" s="11">
        <f t="shared" si="94"/>
        <v>501905</v>
      </c>
      <c r="T193" s="11"/>
      <c r="U193" s="2">
        <v>0</v>
      </c>
      <c r="V193" s="2">
        <v>0</v>
      </c>
      <c r="W193" s="2">
        <v>0</v>
      </c>
      <c r="X193" s="2">
        <v>0</v>
      </c>
      <c r="Y193" s="2"/>
      <c r="Z193" s="2"/>
      <c r="AA193" s="2"/>
      <c r="AB193" s="2"/>
      <c r="AC193" s="2"/>
      <c r="AD193" s="2"/>
      <c r="AE193" s="2"/>
      <c r="AF193" s="2">
        <v>1</v>
      </c>
      <c r="AG193" s="2">
        <v>182</v>
      </c>
      <c r="AH193" s="2"/>
      <c r="AI193" s="2"/>
      <c r="AJ193" s="2"/>
      <c r="AK193" s="2"/>
      <c r="AL193" s="2"/>
      <c r="AM193" s="2"/>
      <c r="AN193" s="2"/>
      <c r="AO193" s="2"/>
      <c r="AP193" s="2"/>
      <c r="AQ193">
        <f t="shared" si="90"/>
        <v>0</v>
      </c>
      <c r="AR193">
        <f>IF(ISERROR(VLOOKUP(IF(O193=4,P193,IF(Q193=4,R193,0)),[4]D_任务!$A$2:$B$132,2,FALSE)),IF(O193=4,P193,IF(Q193=4,R193,0)),VLOOKUP(IF(O193=4,P193,IF(Q193=4,R193,0)),[4]D_任务!$A$2:$B$132,2,FALSE))</f>
        <v>0</v>
      </c>
      <c r="AS193">
        <f t="shared" si="70"/>
        <v>0</v>
      </c>
      <c r="AT193">
        <f t="shared" si="86"/>
        <v>0</v>
      </c>
    </row>
    <row r="194" spans="1:46" x14ac:dyDescent="0.15">
      <c r="A194" s="2">
        <v>1906</v>
      </c>
      <c r="B194" s="2">
        <v>6</v>
      </c>
      <c r="C194" s="2">
        <v>1</v>
      </c>
      <c r="D194" s="2" t="s">
        <v>12</v>
      </c>
      <c r="E194" s="11">
        <v>0</v>
      </c>
      <c r="F194" s="2">
        <f>IFERROR(ROUNDUP(VLOOKUP(T194,CHOOSE({1,2},[5]D_怪物表!$I$1:$I$1120,[5]D_怪物表!$AH$1:$AH$1120),2,FALSE),0),0)</f>
        <v>0</v>
      </c>
      <c r="G194" s="2">
        <v>1</v>
      </c>
      <c r="H194" s="2">
        <v>1</v>
      </c>
      <c r="I194" s="2">
        <v>0</v>
      </c>
      <c r="J194" s="2">
        <v>0</v>
      </c>
      <c r="K194" s="2">
        <v>0</v>
      </c>
      <c r="L194" s="2"/>
      <c r="M194" s="2">
        <f t="shared" ref="M194:M220" si="96">SUM(O194&gt;0,Q194&gt;0)</f>
        <v>0</v>
      </c>
      <c r="N194" s="2">
        <v>1</v>
      </c>
      <c r="O194" s="2">
        <v>0</v>
      </c>
      <c r="P194" s="2">
        <v>0</v>
      </c>
      <c r="Q194" s="2">
        <v>0</v>
      </c>
      <c r="R194" s="2">
        <v>0</v>
      </c>
      <c r="S194" s="11">
        <f t="shared" si="94"/>
        <v>501906</v>
      </c>
      <c r="T194" s="11"/>
      <c r="U194" s="2">
        <v>0</v>
      </c>
      <c r="V194" s="2">
        <v>0</v>
      </c>
      <c r="W194" s="2">
        <v>0</v>
      </c>
      <c r="X194" s="2">
        <v>0</v>
      </c>
      <c r="Y194" s="2"/>
      <c r="Z194" s="2"/>
      <c r="AA194" s="2"/>
      <c r="AB194" s="2"/>
      <c r="AC194" s="2"/>
      <c r="AD194" s="2"/>
      <c r="AE194" s="2"/>
      <c r="AF194" s="2">
        <v>1</v>
      </c>
      <c r="AG194" s="2">
        <v>183</v>
      </c>
      <c r="AH194" s="2"/>
      <c r="AI194" s="2"/>
      <c r="AJ194" s="2"/>
      <c r="AK194" s="2"/>
      <c r="AL194" s="2"/>
      <c r="AM194" s="2"/>
      <c r="AN194" s="2"/>
      <c r="AO194" s="2"/>
      <c r="AP194" s="2"/>
      <c r="AQ194">
        <f t="shared" si="90"/>
        <v>0</v>
      </c>
      <c r="AR194">
        <f>IF(ISERROR(VLOOKUP(IF(O194=4,P194,IF(Q194=4,R194,0)),[4]D_任务!$A$2:$B$132,2,FALSE)),IF(O194=4,P194,IF(Q194=4,R194,0)),VLOOKUP(IF(O194=4,P194,IF(Q194=4,R194,0)),[4]D_任务!$A$2:$B$132,2,FALSE))</f>
        <v>0</v>
      </c>
      <c r="AS194">
        <f t="shared" si="70"/>
        <v>0</v>
      </c>
      <c r="AT194">
        <f t="shared" si="86"/>
        <v>0</v>
      </c>
    </row>
    <row r="195" spans="1:46" x14ac:dyDescent="0.15">
      <c r="A195" s="2">
        <v>1907</v>
      </c>
      <c r="B195" s="2">
        <v>6</v>
      </c>
      <c r="C195" s="2">
        <v>1</v>
      </c>
      <c r="D195" s="2" t="s">
        <v>13</v>
      </c>
      <c r="E195" s="11">
        <v>0</v>
      </c>
      <c r="F195" s="2">
        <f>IFERROR(ROUNDUP(VLOOKUP(T195,CHOOSE({1,2},[5]D_怪物表!$I$1:$I$1120,[5]D_怪物表!$AH$1:$AH$1120),2,FALSE),0),0)</f>
        <v>0</v>
      </c>
      <c r="G195" s="2">
        <v>1</v>
      </c>
      <c r="H195" s="2">
        <v>1</v>
      </c>
      <c r="I195" s="2">
        <v>0</v>
      </c>
      <c r="J195" s="2">
        <v>0</v>
      </c>
      <c r="K195" s="2">
        <v>0</v>
      </c>
      <c r="L195" s="2"/>
      <c r="M195" s="2">
        <f t="shared" si="96"/>
        <v>0</v>
      </c>
      <c r="N195" s="2">
        <v>1</v>
      </c>
      <c r="O195" s="2">
        <v>0</v>
      </c>
      <c r="P195" s="2">
        <v>0</v>
      </c>
      <c r="Q195" s="2">
        <v>0</v>
      </c>
      <c r="R195" s="2">
        <v>0</v>
      </c>
      <c r="S195" s="11">
        <f t="shared" si="94"/>
        <v>501907</v>
      </c>
      <c r="T195" s="11"/>
      <c r="U195" s="2">
        <v>0</v>
      </c>
      <c r="V195" s="2">
        <v>0</v>
      </c>
      <c r="W195" s="2">
        <v>0</v>
      </c>
      <c r="X195" s="2">
        <v>0</v>
      </c>
      <c r="Y195" s="2"/>
      <c r="Z195" s="2"/>
      <c r="AA195" s="2"/>
      <c r="AB195" s="2"/>
      <c r="AC195" s="2"/>
      <c r="AD195" s="2"/>
      <c r="AE195" s="2"/>
      <c r="AF195" s="2">
        <v>1</v>
      </c>
      <c r="AG195" s="2">
        <v>184</v>
      </c>
      <c r="AH195" s="2"/>
      <c r="AI195" s="2"/>
      <c r="AJ195" s="2"/>
      <c r="AK195" s="2"/>
      <c r="AL195" s="2"/>
      <c r="AM195" s="2"/>
      <c r="AN195" s="2"/>
      <c r="AO195" s="2"/>
      <c r="AP195" s="2"/>
      <c r="AQ195">
        <f t="shared" si="90"/>
        <v>0</v>
      </c>
      <c r="AR195">
        <f>IF(ISERROR(VLOOKUP(IF(O195=4,P195,IF(Q195=4,R195,0)),[4]D_任务!$A$2:$B$132,2,FALSE)),IF(O195=4,P195,IF(Q195=4,R195,0)),VLOOKUP(IF(O195=4,P195,IF(Q195=4,R195,0)),[4]D_任务!$A$2:$B$132,2,FALSE))</f>
        <v>0</v>
      </c>
      <c r="AS195">
        <f t="shared" ref="AS195:AS220" si="97">IF(ISERROR(VLOOKUP(IF(O195=3,P195,IF(Q195=3,R195,0)),$A$3:$D$220,4,FALSE)),IF(O195=3,P195,IF(Q195=3,R195,0)),VLOOKUP(IF(O195=3,P195,IF(Q195=3,R195,0)),$A$3:$D$220,4,FALSE))</f>
        <v>0</v>
      </c>
      <c r="AT195">
        <f t="shared" si="86"/>
        <v>0</v>
      </c>
    </row>
    <row r="196" spans="1:46" x14ac:dyDescent="0.15">
      <c r="A196" s="2">
        <v>1908</v>
      </c>
      <c r="B196" s="2">
        <v>6</v>
      </c>
      <c r="C196" s="2">
        <v>1</v>
      </c>
      <c r="D196" s="2" t="s">
        <v>14</v>
      </c>
      <c r="E196" s="11">
        <v>0</v>
      </c>
      <c r="F196" s="2">
        <f>IFERROR(ROUNDUP(VLOOKUP(T196,CHOOSE({1,2},[5]D_怪物表!$I$1:$I$1120,[5]D_怪物表!$AH$1:$AH$1120),2,FALSE),0),0)</f>
        <v>0</v>
      </c>
      <c r="G196" s="2">
        <v>1</v>
      </c>
      <c r="H196" s="2">
        <v>1</v>
      </c>
      <c r="I196" s="2">
        <v>0</v>
      </c>
      <c r="J196" s="2">
        <v>0</v>
      </c>
      <c r="K196" s="2">
        <v>0</v>
      </c>
      <c r="L196" s="2"/>
      <c r="M196" s="2">
        <f t="shared" si="96"/>
        <v>0</v>
      </c>
      <c r="N196" s="2">
        <v>1</v>
      </c>
      <c r="O196" s="2">
        <v>0</v>
      </c>
      <c r="P196" s="2">
        <v>0</v>
      </c>
      <c r="Q196" s="2">
        <v>0</v>
      </c>
      <c r="R196" s="2">
        <v>0</v>
      </c>
      <c r="S196" s="11">
        <f t="shared" si="94"/>
        <v>501908</v>
      </c>
      <c r="T196" s="11"/>
      <c r="U196" s="2">
        <v>0</v>
      </c>
      <c r="V196" s="2">
        <v>0</v>
      </c>
      <c r="W196" s="2">
        <v>0</v>
      </c>
      <c r="X196" s="2">
        <v>0</v>
      </c>
      <c r="Y196" s="2"/>
      <c r="Z196" s="2"/>
      <c r="AA196" s="2"/>
      <c r="AB196" s="2"/>
      <c r="AC196" s="2"/>
      <c r="AD196" s="2"/>
      <c r="AE196" s="2"/>
      <c r="AF196" s="2">
        <v>1</v>
      </c>
      <c r="AG196" s="2">
        <v>185</v>
      </c>
      <c r="AH196" s="2"/>
      <c r="AI196" s="2"/>
      <c r="AJ196" s="2"/>
      <c r="AK196" s="2"/>
      <c r="AL196" s="2"/>
      <c r="AM196" s="2"/>
      <c r="AN196" s="2"/>
      <c r="AO196" s="2"/>
      <c r="AP196" s="2"/>
      <c r="AQ196">
        <f t="shared" si="90"/>
        <v>0</v>
      </c>
      <c r="AR196">
        <f>IF(ISERROR(VLOOKUP(IF(O196=4,P196,IF(Q196=4,R196,0)),[4]D_任务!$A$2:$B$132,2,FALSE)),IF(O196=4,P196,IF(Q196=4,R196,0)),VLOOKUP(IF(O196=4,P196,IF(Q196=4,R196,0)),[4]D_任务!$A$2:$B$132,2,FALSE))</f>
        <v>0</v>
      </c>
      <c r="AS196">
        <f t="shared" si="97"/>
        <v>0</v>
      </c>
      <c r="AT196">
        <f t="shared" si="86"/>
        <v>0</v>
      </c>
    </row>
    <row r="197" spans="1:46" x14ac:dyDescent="0.15">
      <c r="A197" s="2">
        <v>1909</v>
      </c>
      <c r="B197" s="2">
        <v>6</v>
      </c>
      <c r="C197" s="2">
        <v>1</v>
      </c>
      <c r="D197" s="2" t="s">
        <v>15</v>
      </c>
      <c r="E197" s="11">
        <v>0</v>
      </c>
      <c r="F197" s="2">
        <f>IFERROR(ROUNDUP(VLOOKUP(T197,CHOOSE({1,2},[5]D_怪物表!$I$1:$I$1120,[5]D_怪物表!$AH$1:$AH$1120),2,FALSE),0),0)</f>
        <v>0</v>
      </c>
      <c r="G197" s="2">
        <v>1</v>
      </c>
      <c r="H197" s="2">
        <v>1</v>
      </c>
      <c r="I197" s="2">
        <v>0</v>
      </c>
      <c r="J197" s="2">
        <v>0</v>
      </c>
      <c r="K197" s="2">
        <v>0</v>
      </c>
      <c r="L197" s="2"/>
      <c r="M197" s="2">
        <f t="shared" si="96"/>
        <v>0</v>
      </c>
      <c r="N197" s="2">
        <v>1</v>
      </c>
      <c r="O197" s="2">
        <v>0</v>
      </c>
      <c r="P197" s="2">
        <v>0</v>
      </c>
      <c r="Q197" s="2">
        <v>0</v>
      </c>
      <c r="R197" s="2">
        <v>0</v>
      </c>
      <c r="S197" s="11">
        <f t="shared" si="94"/>
        <v>501909</v>
      </c>
      <c r="T197" s="11"/>
      <c r="U197" s="2">
        <v>0</v>
      </c>
      <c r="V197" s="2">
        <v>0</v>
      </c>
      <c r="W197" s="2">
        <v>0</v>
      </c>
      <c r="X197" s="2">
        <v>0</v>
      </c>
      <c r="Y197" s="2"/>
      <c r="Z197" s="2"/>
      <c r="AA197" s="2"/>
      <c r="AB197" s="2"/>
      <c r="AC197" s="2"/>
      <c r="AD197" s="2"/>
      <c r="AE197" s="2"/>
      <c r="AF197" s="2">
        <v>5</v>
      </c>
      <c r="AG197" s="2">
        <v>217</v>
      </c>
      <c r="AH197" s="2">
        <v>218</v>
      </c>
      <c r="AI197" s="2">
        <v>219</v>
      </c>
      <c r="AJ197" s="2">
        <v>220</v>
      </c>
      <c r="AK197" s="2">
        <v>221</v>
      </c>
      <c r="AL197" s="2"/>
      <c r="AM197" s="2"/>
      <c r="AN197" s="2"/>
      <c r="AO197" s="2"/>
      <c r="AP197" s="2"/>
      <c r="AQ197">
        <f t="shared" si="90"/>
        <v>0</v>
      </c>
      <c r="AR197">
        <f>IF(ISERROR(VLOOKUP(IF(O197=4,P197,IF(Q197=4,R197,0)),[4]D_任务!$A$2:$B$132,2,FALSE)),IF(O197=4,P197,IF(Q197=4,R197,0)),VLOOKUP(IF(O197=4,P197,IF(Q197=4,R197,0)),[4]D_任务!$A$2:$B$132,2,FALSE))</f>
        <v>0</v>
      </c>
      <c r="AS197">
        <f t="shared" si="97"/>
        <v>0</v>
      </c>
      <c r="AT197">
        <f t="shared" si="86"/>
        <v>0</v>
      </c>
    </row>
    <row r="198" spans="1:46" x14ac:dyDescent="0.15">
      <c r="A198" s="2">
        <v>1910</v>
      </c>
      <c r="B198" s="2">
        <v>6</v>
      </c>
      <c r="C198" s="2">
        <v>1</v>
      </c>
      <c r="D198" s="2" t="s">
        <v>16</v>
      </c>
      <c r="E198" s="11">
        <v>0</v>
      </c>
      <c r="F198" s="2">
        <f>IFERROR(ROUNDUP(VLOOKUP(T198,CHOOSE({1,2},[5]D_怪物表!$I$1:$I$1120,[5]D_怪物表!$AH$1:$AH$1120),2,FALSE),0),0)</f>
        <v>0</v>
      </c>
      <c r="G198" s="2">
        <v>1</v>
      </c>
      <c r="H198" s="2">
        <v>1</v>
      </c>
      <c r="I198" s="2">
        <v>0</v>
      </c>
      <c r="J198" s="2">
        <v>0</v>
      </c>
      <c r="K198" s="2">
        <v>0</v>
      </c>
      <c r="L198" s="2"/>
      <c r="M198" s="2">
        <f t="shared" si="96"/>
        <v>0</v>
      </c>
      <c r="N198" s="2">
        <v>1</v>
      </c>
      <c r="O198" s="2">
        <v>0</v>
      </c>
      <c r="P198" s="2">
        <v>0</v>
      </c>
      <c r="Q198" s="2">
        <v>0</v>
      </c>
      <c r="R198" s="2">
        <v>0</v>
      </c>
      <c r="S198" s="11">
        <f t="shared" si="94"/>
        <v>501910</v>
      </c>
      <c r="T198" s="11"/>
      <c r="U198" s="2">
        <v>0</v>
      </c>
      <c r="V198" s="2">
        <v>0</v>
      </c>
      <c r="W198" s="2">
        <v>0</v>
      </c>
      <c r="X198" s="2">
        <v>0</v>
      </c>
      <c r="Y198" s="2"/>
      <c r="Z198" s="2"/>
      <c r="AA198" s="2"/>
      <c r="AB198" s="2"/>
      <c r="AC198" s="2"/>
      <c r="AD198" s="2"/>
      <c r="AE198" s="2"/>
      <c r="AF198" s="2">
        <v>6</v>
      </c>
      <c r="AG198" s="2">
        <v>138</v>
      </c>
      <c r="AH198" s="2">
        <v>139</v>
      </c>
      <c r="AI198" s="2">
        <v>140</v>
      </c>
      <c r="AJ198" s="2">
        <v>141</v>
      </c>
      <c r="AK198" s="2">
        <v>142</v>
      </c>
      <c r="AL198" s="2">
        <v>143</v>
      </c>
      <c r="AM198" s="2"/>
      <c r="AN198" s="2"/>
      <c r="AO198" s="2"/>
      <c r="AP198" s="2"/>
      <c r="AQ198">
        <f t="shared" si="90"/>
        <v>0</v>
      </c>
      <c r="AR198">
        <f>IF(ISERROR(VLOOKUP(IF(O198=4,P198,IF(Q198=4,R198,0)),[4]D_任务!$A$2:$B$132,2,FALSE)),IF(O198=4,P198,IF(Q198=4,R198,0)),VLOOKUP(IF(O198=4,P198,IF(Q198=4,R198,0)),[4]D_任务!$A$2:$B$132,2,FALSE))</f>
        <v>0</v>
      </c>
      <c r="AS198">
        <f t="shared" si="97"/>
        <v>0</v>
      </c>
      <c r="AT198">
        <f t="shared" si="86"/>
        <v>0</v>
      </c>
    </row>
    <row r="199" spans="1:46" x14ac:dyDescent="0.15">
      <c r="A199" s="2">
        <v>1911</v>
      </c>
      <c r="B199" s="2">
        <v>6</v>
      </c>
      <c r="C199" s="2">
        <v>1</v>
      </c>
      <c r="D199" s="2" t="s">
        <v>17</v>
      </c>
      <c r="E199" s="11">
        <v>0</v>
      </c>
      <c r="F199" s="2">
        <f>IFERROR(ROUNDUP(VLOOKUP(T199,CHOOSE({1,2},[5]D_怪物表!$I$1:$I$1120,[5]D_怪物表!$AH$1:$AH$1120),2,FALSE),0),0)</f>
        <v>0</v>
      </c>
      <c r="G199" s="2">
        <v>1</v>
      </c>
      <c r="H199" s="2">
        <v>1</v>
      </c>
      <c r="I199" s="2">
        <v>0</v>
      </c>
      <c r="J199" s="2">
        <v>0</v>
      </c>
      <c r="K199" s="2">
        <v>0</v>
      </c>
      <c r="L199" s="2"/>
      <c r="M199" s="2">
        <f t="shared" si="96"/>
        <v>0</v>
      </c>
      <c r="N199" s="2">
        <v>1</v>
      </c>
      <c r="O199" s="2">
        <v>0</v>
      </c>
      <c r="P199" s="2">
        <v>0</v>
      </c>
      <c r="Q199" s="2">
        <v>0</v>
      </c>
      <c r="R199" s="2">
        <v>0</v>
      </c>
      <c r="S199" s="11">
        <f t="shared" si="94"/>
        <v>501911</v>
      </c>
      <c r="T199" s="11"/>
      <c r="U199" s="2">
        <v>0</v>
      </c>
      <c r="V199" s="2">
        <v>0</v>
      </c>
      <c r="W199" s="2">
        <v>0</v>
      </c>
      <c r="X199" s="2">
        <v>0</v>
      </c>
      <c r="Y199" s="2"/>
      <c r="Z199" s="2"/>
      <c r="AA199" s="2"/>
      <c r="AB199" s="2"/>
      <c r="AC199" s="2"/>
      <c r="AD199" s="2"/>
      <c r="AE199" s="2"/>
      <c r="AF199" s="2">
        <v>10</v>
      </c>
      <c r="AG199" s="2">
        <v>14</v>
      </c>
      <c r="AH199" s="2">
        <v>15</v>
      </c>
      <c r="AI199" s="2">
        <v>16</v>
      </c>
      <c r="AJ199" s="2">
        <v>17</v>
      </c>
      <c r="AK199" s="2">
        <v>18</v>
      </c>
      <c r="AL199" s="2">
        <v>19</v>
      </c>
      <c r="AM199" s="2">
        <v>20</v>
      </c>
      <c r="AN199" s="2">
        <v>21</v>
      </c>
      <c r="AO199" s="2">
        <v>22</v>
      </c>
      <c r="AP199" s="2">
        <v>23</v>
      </c>
      <c r="AQ199">
        <f t="shared" si="90"/>
        <v>0</v>
      </c>
      <c r="AR199">
        <f>IF(ISERROR(VLOOKUP(IF(O199=4,P199,IF(Q199=4,R199,0)),[4]D_任务!$A$2:$B$132,2,FALSE)),IF(O199=4,P199,IF(Q199=4,R199,0)),VLOOKUP(IF(O199=4,P199,IF(Q199=4,R199,0)),[4]D_任务!$A$2:$B$132,2,FALSE))</f>
        <v>0</v>
      </c>
      <c r="AS199">
        <f t="shared" si="97"/>
        <v>0</v>
      </c>
      <c r="AT199">
        <f t="shared" si="86"/>
        <v>0</v>
      </c>
    </row>
    <row r="200" spans="1:46" x14ac:dyDescent="0.15">
      <c r="A200" s="2">
        <v>1912</v>
      </c>
      <c r="B200" s="2">
        <v>6</v>
      </c>
      <c r="C200" s="2">
        <v>1</v>
      </c>
      <c r="D200" s="2" t="s">
        <v>18</v>
      </c>
      <c r="E200" s="11">
        <v>0</v>
      </c>
      <c r="F200" s="2">
        <f>IFERROR(ROUNDUP(VLOOKUP(T200,CHOOSE({1,2},[5]D_怪物表!$I$1:$I$1120,[5]D_怪物表!$AH$1:$AH$1120),2,FALSE),0),0)</f>
        <v>0</v>
      </c>
      <c r="G200" s="2">
        <v>1</v>
      </c>
      <c r="H200" s="2">
        <v>1</v>
      </c>
      <c r="I200" s="2">
        <v>0</v>
      </c>
      <c r="J200" s="2">
        <v>0</v>
      </c>
      <c r="K200" s="2">
        <v>0</v>
      </c>
      <c r="L200" s="2"/>
      <c r="M200" s="2">
        <f t="shared" si="96"/>
        <v>0</v>
      </c>
      <c r="N200" s="2">
        <v>1</v>
      </c>
      <c r="O200" s="2">
        <v>0</v>
      </c>
      <c r="P200" s="2">
        <v>0</v>
      </c>
      <c r="Q200" s="2">
        <v>0</v>
      </c>
      <c r="R200" s="2">
        <v>0</v>
      </c>
      <c r="S200" s="11">
        <f t="shared" si="94"/>
        <v>501912</v>
      </c>
      <c r="T200" s="11"/>
      <c r="U200" s="2">
        <v>0</v>
      </c>
      <c r="V200" s="2">
        <v>0</v>
      </c>
      <c r="W200" s="2">
        <v>0</v>
      </c>
      <c r="X200" s="2">
        <v>0</v>
      </c>
      <c r="Y200" s="2"/>
      <c r="Z200" s="2"/>
      <c r="AA200" s="2"/>
      <c r="AB200" s="2"/>
      <c r="AC200" s="2"/>
      <c r="AD200" s="2"/>
      <c r="AE200" s="2"/>
      <c r="AF200" s="2">
        <v>4</v>
      </c>
      <c r="AG200" s="2">
        <v>248</v>
      </c>
      <c r="AH200" s="2">
        <v>249</v>
      </c>
      <c r="AI200" s="2">
        <v>250</v>
      </c>
      <c r="AJ200" s="2">
        <v>251</v>
      </c>
      <c r="AK200" s="2"/>
      <c r="AL200" s="2"/>
      <c r="AM200" s="2"/>
      <c r="AN200" s="2"/>
      <c r="AO200" s="2"/>
      <c r="AP200" s="2"/>
      <c r="AQ200">
        <f t="shared" si="90"/>
        <v>0</v>
      </c>
      <c r="AR200">
        <f>IF(ISERROR(VLOOKUP(IF(O200=4,P200,IF(Q200=4,R200,0)),[4]D_任务!$A$2:$B$132,2,FALSE)),IF(O200=4,P200,IF(Q200=4,R200,0)),VLOOKUP(IF(O200=4,P200,IF(Q200=4,R200,0)),[4]D_任务!$A$2:$B$132,2,FALSE))</f>
        <v>0</v>
      </c>
      <c r="AS200">
        <f t="shared" si="97"/>
        <v>0</v>
      </c>
      <c r="AT200">
        <f t="shared" si="86"/>
        <v>0</v>
      </c>
    </row>
    <row r="201" spans="1:46" x14ac:dyDescent="0.15">
      <c r="A201" s="2">
        <v>1913</v>
      </c>
      <c r="B201" s="2">
        <v>6</v>
      </c>
      <c r="C201" s="2">
        <v>1</v>
      </c>
      <c r="D201" s="2" t="s">
        <v>19</v>
      </c>
      <c r="E201" s="11">
        <v>0</v>
      </c>
      <c r="F201" s="2">
        <f>IFERROR(ROUNDUP(VLOOKUP(T201,CHOOSE({1,2},[5]D_怪物表!$I$1:$I$1120,[5]D_怪物表!$AH$1:$AH$1120),2,FALSE),0),0)</f>
        <v>0</v>
      </c>
      <c r="G201" s="2">
        <v>1</v>
      </c>
      <c r="H201" s="2">
        <v>1</v>
      </c>
      <c r="I201" s="2">
        <v>0</v>
      </c>
      <c r="J201" s="2">
        <v>0</v>
      </c>
      <c r="K201" s="2">
        <v>0</v>
      </c>
      <c r="L201" s="2"/>
      <c r="M201" s="2">
        <f t="shared" si="96"/>
        <v>0</v>
      </c>
      <c r="N201" s="2">
        <v>1</v>
      </c>
      <c r="O201" s="2">
        <v>0</v>
      </c>
      <c r="P201" s="2">
        <v>0</v>
      </c>
      <c r="Q201" s="2">
        <v>0</v>
      </c>
      <c r="R201" s="2">
        <v>0</v>
      </c>
      <c r="S201" s="11">
        <f t="shared" si="94"/>
        <v>501913</v>
      </c>
      <c r="T201" s="11"/>
      <c r="U201" s="2">
        <v>0</v>
      </c>
      <c r="V201" s="2">
        <v>0</v>
      </c>
      <c r="W201" s="2">
        <v>0</v>
      </c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>
        <f t="shared" si="90"/>
        <v>0</v>
      </c>
      <c r="AR201">
        <f>IF(ISERROR(VLOOKUP(IF(O201=4,P201,IF(Q201=4,R201,0)),[4]D_任务!$A$2:$B$132,2,FALSE)),IF(O201=4,P201,IF(Q201=4,R201,0)),VLOOKUP(IF(O201=4,P201,IF(Q201=4,R201,0)),[4]D_任务!$A$2:$B$132,2,FALSE))</f>
        <v>0</v>
      </c>
      <c r="AS201">
        <f t="shared" si="97"/>
        <v>0</v>
      </c>
      <c r="AT201">
        <f t="shared" si="86"/>
        <v>0</v>
      </c>
    </row>
    <row r="202" spans="1:46" x14ac:dyDescent="0.15">
      <c r="A202" s="2">
        <v>1914</v>
      </c>
      <c r="B202" s="2">
        <v>6</v>
      </c>
      <c r="C202" s="2">
        <v>1</v>
      </c>
      <c r="D202" s="2" t="s">
        <v>20</v>
      </c>
      <c r="E202" s="11">
        <v>0</v>
      </c>
      <c r="F202" s="2">
        <f>IFERROR(ROUNDUP(VLOOKUP(T202,CHOOSE({1,2},[5]D_怪物表!$I$1:$I$1120,[5]D_怪物表!$AH$1:$AH$1120),2,FALSE),0),0)</f>
        <v>0</v>
      </c>
      <c r="G202" s="2">
        <v>1</v>
      </c>
      <c r="H202" s="2">
        <v>1</v>
      </c>
      <c r="I202" s="2">
        <v>0</v>
      </c>
      <c r="J202" s="2">
        <v>0</v>
      </c>
      <c r="K202" s="2">
        <v>0</v>
      </c>
      <c r="L202" s="2"/>
      <c r="M202" s="2">
        <f t="shared" si="96"/>
        <v>0</v>
      </c>
      <c r="N202" s="2">
        <v>1</v>
      </c>
      <c r="O202" s="2">
        <v>0</v>
      </c>
      <c r="P202" s="2">
        <v>0</v>
      </c>
      <c r="Q202" s="2">
        <v>0</v>
      </c>
      <c r="R202" s="2">
        <v>0</v>
      </c>
      <c r="S202" s="11">
        <f t="shared" si="94"/>
        <v>501914</v>
      </c>
      <c r="T202" s="11"/>
      <c r="U202" s="2">
        <v>0</v>
      </c>
      <c r="V202" s="2">
        <v>0</v>
      </c>
      <c r="W202" s="2">
        <v>0</v>
      </c>
      <c r="X202" s="2">
        <v>0</v>
      </c>
      <c r="Y202" s="2"/>
      <c r="Z202" s="2"/>
      <c r="AA202" s="2"/>
      <c r="AB202" s="2"/>
      <c r="AC202" s="2"/>
      <c r="AD202" s="2"/>
      <c r="AE202" s="2"/>
      <c r="AF202" s="2">
        <v>1</v>
      </c>
      <c r="AG202" s="2">
        <v>181</v>
      </c>
      <c r="AH202" s="2"/>
      <c r="AI202" s="2"/>
      <c r="AJ202" s="2"/>
      <c r="AK202" s="2"/>
      <c r="AL202" s="2"/>
      <c r="AM202" s="2"/>
      <c r="AN202" s="2"/>
      <c r="AO202" s="2"/>
      <c r="AP202" s="2"/>
      <c r="AQ202">
        <f t="shared" si="90"/>
        <v>0</v>
      </c>
      <c r="AR202">
        <f>IF(ISERROR(VLOOKUP(IF(O202=4,P202,IF(Q202=4,R202,0)),[4]D_任务!$A$2:$B$132,2,FALSE)),IF(O202=4,P202,IF(Q202=4,R202,0)),VLOOKUP(IF(O202=4,P202,IF(Q202=4,R202,0)),[4]D_任务!$A$2:$B$132,2,FALSE))</f>
        <v>0</v>
      </c>
      <c r="AS202">
        <f t="shared" si="97"/>
        <v>0</v>
      </c>
      <c r="AT202">
        <f t="shared" si="86"/>
        <v>0</v>
      </c>
    </row>
    <row r="203" spans="1:46" x14ac:dyDescent="0.15">
      <c r="A203" s="2">
        <v>1915</v>
      </c>
      <c r="B203" s="2">
        <v>6</v>
      </c>
      <c r="C203" s="2">
        <v>1</v>
      </c>
      <c r="D203" s="2" t="s">
        <v>21</v>
      </c>
      <c r="E203" s="11">
        <v>0</v>
      </c>
      <c r="F203" s="2">
        <f>IFERROR(ROUNDUP(VLOOKUP(T203,CHOOSE({1,2},[5]D_怪物表!$I$1:$I$1120,[5]D_怪物表!$AH$1:$AH$1120),2,FALSE),0),0)</f>
        <v>0</v>
      </c>
      <c r="G203" s="2">
        <v>1</v>
      </c>
      <c r="H203" s="2">
        <v>1</v>
      </c>
      <c r="I203" s="2">
        <v>0</v>
      </c>
      <c r="J203" s="2">
        <v>0</v>
      </c>
      <c r="K203" s="2">
        <v>0</v>
      </c>
      <c r="L203" s="2"/>
      <c r="M203" s="2">
        <f t="shared" si="96"/>
        <v>0</v>
      </c>
      <c r="N203" s="2">
        <v>1</v>
      </c>
      <c r="O203" s="2">
        <v>0</v>
      </c>
      <c r="P203" s="2">
        <v>0</v>
      </c>
      <c r="Q203" s="2">
        <v>0</v>
      </c>
      <c r="R203" s="2">
        <v>0</v>
      </c>
      <c r="S203" s="11">
        <f t="shared" si="94"/>
        <v>501915</v>
      </c>
      <c r="T203" s="11"/>
      <c r="U203" s="2">
        <v>0</v>
      </c>
      <c r="V203" s="2">
        <v>0</v>
      </c>
      <c r="W203" s="2">
        <v>0</v>
      </c>
      <c r="X203" s="2">
        <v>0</v>
      </c>
      <c r="Y203" s="2"/>
      <c r="Z203" s="2"/>
      <c r="AA203" s="2"/>
      <c r="AB203" s="2"/>
      <c r="AC203" s="2"/>
      <c r="AD203" s="2"/>
      <c r="AE203" s="2"/>
      <c r="AF203" s="2">
        <v>1</v>
      </c>
      <c r="AG203" s="2">
        <v>182</v>
      </c>
      <c r="AH203" s="2"/>
      <c r="AI203" s="2"/>
      <c r="AJ203" s="2"/>
      <c r="AK203" s="2"/>
      <c r="AL203" s="2"/>
      <c r="AM203" s="2"/>
      <c r="AN203" s="2"/>
      <c r="AO203" s="2"/>
      <c r="AP203" s="2"/>
      <c r="AQ203">
        <f t="shared" si="90"/>
        <v>0</v>
      </c>
      <c r="AR203">
        <f>IF(ISERROR(VLOOKUP(IF(O203=4,P203,IF(Q203=4,R203,0)),[4]D_任务!$A$2:$B$132,2,FALSE)),IF(O203=4,P203,IF(Q203=4,R203,0)),VLOOKUP(IF(O203=4,P203,IF(Q203=4,R203,0)),[4]D_任务!$A$2:$B$132,2,FALSE))</f>
        <v>0</v>
      </c>
      <c r="AS203">
        <f t="shared" si="97"/>
        <v>0</v>
      </c>
      <c r="AT203">
        <f t="shared" si="86"/>
        <v>0</v>
      </c>
    </row>
    <row r="204" spans="1:46" x14ac:dyDescent="0.15">
      <c r="A204" s="2">
        <v>1916</v>
      </c>
      <c r="B204" s="2">
        <v>6</v>
      </c>
      <c r="C204" s="2">
        <v>1</v>
      </c>
      <c r="D204" s="2" t="s">
        <v>22</v>
      </c>
      <c r="E204" s="11">
        <v>0</v>
      </c>
      <c r="F204" s="2">
        <f>IFERROR(ROUNDUP(VLOOKUP(T204,CHOOSE({1,2},[5]D_怪物表!$I$1:$I$1120,[5]D_怪物表!$AH$1:$AH$1120),2,FALSE),0),0)</f>
        <v>0</v>
      </c>
      <c r="G204" s="2">
        <v>1</v>
      </c>
      <c r="H204" s="2">
        <v>1</v>
      </c>
      <c r="I204" s="2">
        <v>0</v>
      </c>
      <c r="J204" s="2">
        <v>0</v>
      </c>
      <c r="K204" s="2">
        <v>0</v>
      </c>
      <c r="L204" s="2"/>
      <c r="M204" s="2">
        <f t="shared" si="96"/>
        <v>0</v>
      </c>
      <c r="N204" s="2">
        <v>1</v>
      </c>
      <c r="O204" s="2">
        <v>0</v>
      </c>
      <c r="P204" s="2">
        <v>0</v>
      </c>
      <c r="Q204" s="2">
        <v>0</v>
      </c>
      <c r="R204" s="2">
        <v>0</v>
      </c>
      <c r="S204" s="11">
        <f t="shared" si="94"/>
        <v>501916</v>
      </c>
      <c r="T204" s="11"/>
      <c r="U204" s="2">
        <v>0</v>
      </c>
      <c r="V204" s="2">
        <v>0</v>
      </c>
      <c r="W204" s="2">
        <v>0</v>
      </c>
      <c r="X204" s="2">
        <v>0</v>
      </c>
      <c r="Y204" s="2"/>
      <c r="Z204" s="2"/>
      <c r="AA204" s="2"/>
      <c r="AB204" s="2"/>
      <c r="AC204" s="2"/>
      <c r="AD204" s="2"/>
      <c r="AE204" s="2"/>
      <c r="AF204" s="2">
        <v>1</v>
      </c>
      <c r="AG204" s="2">
        <v>183</v>
      </c>
      <c r="AH204" s="2"/>
      <c r="AI204" s="2"/>
      <c r="AJ204" s="2"/>
      <c r="AK204" s="2"/>
      <c r="AL204" s="2"/>
      <c r="AM204" s="2"/>
      <c r="AN204" s="2"/>
      <c r="AO204" s="2"/>
      <c r="AP204" s="2"/>
      <c r="AQ204">
        <f t="shared" si="90"/>
        <v>0</v>
      </c>
      <c r="AR204">
        <f>IF(ISERROR(VLOOKUP(IF(O204=4,P204,IF(Q204=4,R204,0)),[4]D_任务!$A$2:$B$132,2,FALSE)),IF(O204=4,P204,IF(Q204=4,R204,0)),VLOOKUP(IF(O204=4,P204,IF(Q204=4,R204,0)),[4]D_任务!$A$2:$B$132,2,FALSE))</f>
        <v>0</v>
      </c>
      <c r="AS204">
        <f t="shared" si="97"/>
        <v>0</v>
      </c>
      <c r="AT204">
        <f t="shared" si="86"/>
        <v>0</v>
      </c>
    </row>
    <row r="205" spans="1:46" x14ac:dyDescent="0.15">
      <c r="A205" s="2">
        <v>1917</v>
      </c>
      <c r="B205" s="2">
        <v>6</v>
      </c>
      <c r="C205" s="2">
        <v>1</v>
      </c>
      <c r="D205" s="2" t="s">
        <v>23</v>
      </c>
      <c r="E205" s="11">
        <v>0</v>
      </c>
      <c r="F205" s="2">
        <f>IFERROR(ROUNDUP(VLOOKUP(T205,CHOOSE({1,2},[5]D_怪物表!$I$1:$I$1120,[5]D_怪物表!$AH$1:$AH$1120),2,FALSE),0),0)</f>
        <v>0</v>
      </c>
      <c r="G205" s="2">
        <v>1</v>
      </c>
      <c r="H205" s="2">
        <v>1</v>
      </c>
      <c r="I205" s="2">
        <v>0</v>
      </c>
      <c r="J205" s="2">
        <v>0</v>
      </c>
      <c r="K205" s="2">
        <v>0</v>
      </c>
      <c r="L205" s="2"/>
      <c r="M205" s="2">
        <f t="shared" si="96"/>
        <v>0</v>
      </c>
      <c r="N205" s="2">
        <v>1</v>
      </c>
      <c r="O205" s="2">
        <v>0</v>
      </c>
      <c r="P205" s="2">
        <v>0</v>
      </c>
      <c r="Q205" s="2">
        <v>0</v>
      </c>
      <c r="R205" s="2">
        <v>0</v>
      </c>
      <c r="S205" s="11">
        <f t="shared" si="94"/>
        <v>501917</v>
      </c>
      <c r="T205" s="11"/>
      <c r="U205" s="2">
        <v>0</v>
      </c>
      <c r="V205" s="2">
        <v>0</v>
      </c>
      <c r="W205" s="2">
        <v>0</v>
      </c>
      <c r="X205" s="2">
        <v>0</v>
      </c>
      <c r="Y205" s="2"/>
      <c r="Z205" s="2"/>
      <c r="AA205" s="2"/>
      <c r="AB205" s="2"/>
      <c r="AC205" s="2"/>
      <c r="AD205" s="2"/>
      <c r="AE205" s="2"/>
      <c r="AF205" s="2">
        <v>1</v>
      </c>
      <c r="AG205" s="2">
        <v>184</v>
      </c>
      <c r="AH205" s="2"/>
      <c r="AI205" s="2"/>
      <c r="AJ205" s="2"/>
      <c r="AK205" s="2"/>
      <c r="AL205" s="2"/>
      <c r="AM205" s="2"/>
      <c r="AN205" s="2"/>
      <c r="AO205" s="2"/>
      <c r="AP205" s="2"/>
      <c r="AQ205">
        <f t="shared" si="90"/>
        <v>0</v>
      </c>
      <c r="AR205">
        <f>IF(ISERROR(VLOOKUP(IF(O205=4,P205,IF(Q205=4,R205,0)),[4]D_任务!$A$2:$B$132,2,FALSE)),IF(O205=4,P205,IF(Q205=4,R205,0)),VLOOKUP(IF(O205=4,P205,IF(Q205=4,R205,0)),[4]D_任务!$A$2:$B$132,2,FALSE))</f>
        <v>0</v>
      </c>
      <c r="AS205">
        <f t="shared" si="97"/>
        <v>0</v>
      </c>
      <c r="AT205">
        <f t="shared" si="86"/>
        <v>0</v>
      </c>
    </row>
    <row r="206" spans="1:46" x14ac:dyDescent="0.15">
      <c r="A206" s="2">
        <v>1918</v>
      </c>
      <c r="B206" s="2">
        <v>6</v>
      </c>
      <c r="C206" s="2">
        <v>1</v>
      </c>
      <c r="D206" s="2" t="s">
        <v>24</v>
      </c>
      <c r="E206" s="11">
        <v>0</v>
      </c>
      <c r="F206" s="2">
        <f>IFERROR(ROUNDUP(VLOOKUP(T206,CHOOSE({1,2},[5]D_怪物表!$I$1:$I$1120,[5]D_怪物表!$AH$1:$AH$1120),2,FALSE),0),0)</f>
        <v>0</v>
      </c>
      <c r="G206" s="2">
        <v>1</v>
      </c>
      <c r="H206" s="2">
        <v>1</v>
      </c>
      <c r="I206" s="2">
        <v>0</v>
      </c>
      <c r="J206" s="2">
        <v>0</v>
      </c>
      <c r="K206" s="2">
        <v>0</v>
      </c>
      <c r="L206" s="2"/>
      <c r="M206" s="2">
        <f t="shared" si="96"/>
        <v>0</v>
      </c>
      <c r="N206" s="2">
        <v>1</v>
      </c>
      <c r="O206" s="2">
        <v>0</v>
      </c>
      <c r="P206" s="2">
        <v>0</v>
      </c>
      <c r="Q206" s="2">
        <v>0</v>
      </c>
      <c r="R206" s="2">
        <v>0</v>
      </c>
      <c r="S206" s="11">
        <f t="shared" si="94"/>
        <v>501918</v>
      </c>
      <c r="T206" s="11"/>
      <c r="U206" s="2">
        <v>0</v>
      </c>
      <c r="V206" s="2">
        <v>0</v>
      </c>
      <c r="W206" s="2">
        <v>0</v>
      </c>
      <c r="X206" s="2">
        <v>0</v>
      </c>
      <c r="Y206" s="2"/>
      <c r="Z206" s="2"/>
      <c r="AA206" s="2"/>
      <c r="AB206" s="2"/>
      <c r="AC206" s="2"/>
      <c r="AD206" s="2"/>
      <c r="AE206" s="2"/>
      <c r="AF206" s="2">
        <v>1</v>
      </c>
      <c r="AG206" s="2">
        <v>185</v>
      </c>
      <c r="AH206" s="2"/>
      <c r="AI206" s="2"/>
      <c r="AJ206" s="2"/>
      <c r="AK206" s="2"/>
      <c r="AL206" s="2"/>
      <c r="AM206" s="2"/>
      <c r="AN206" s="2"/>
      <c r="AO206" s="2"/>
      <c r="AP206" s="2"/>
      <c r="AQ206">
        <f t="shared" si="90"/>
        <v>0</v>
      </c>
      <c r="AR206">
        <f>IF(ISERROR(VLOOKUP(IF(O206=4,P206,IF(Q206=4,R206,0)),[4]D_任务!$A$2:$B$132,2,FALSE)),IF(O206=4,P206,IF(Q206=4,R206,0)),VLOOKUP(IF(O206=4,P206,IF(Q206=4,R206,0)),[4]D_任务!$A$2:$B$132,2,FALSE))</f>
        <v>0</v>
      </c>
      <c r="AS206">
        <f t="shared" si="97"/>
        <v>0</v>
      </c>
      <c r="AT206">
        <f t="shared" si="86"/>
        <v>0</v>
      </c>
    </row>
    <row r="207" spans="1:46" x14ac:dyDescent="0.15">
      <c r="A207" s="2">
        <v>1919</v>
      </c>
      <c r="B207" s="2">
        <v>6</v>
      </c>
      <c r="C207" s="2">
        <v>1</v>
      </c>
      <c r="D207" s="2" t="s">
        <v>25</v>
      </c>
      <c r="E207" s="11">
        <v>0</v>
      </c>
      <c r="F207" s="2">
        <f>IFERROR(ROUNDUP(VLOOKUP(T207,CHOOSE({1,2},[5]D_怪物表!$I$1:$I$1120,[5]D_怪物表!$AH$1:$AH$1120),2,FALSE),0),0)</f>
        <v>0</v>
      </c>
      <c r="G207" s="2">
        <v>1</v>
      </c>
      <c r="H207" s="2">
        <v>1</v>
      </c>
      <c r="I207" s="2">
        <v>0</v>
      </c>
      <c r="J207" s="2">
        <v>0</v>
      </c>
      <c r="K207" s="2">
        <v>0</v>
      </c>
      <c r="L207" s="2"/>
      <c r="M207" s="2">
        <f t="shared" si="96"/>
        <v>0</v>
      </c>
      <c r="N207" s="2">
        <v>1</v>
      </c>
      <c r="O207" s="2">
        <v>0</v>
      </c>
      <c r="P207" s="2">
        <v>0</v>
      </c>
      <c r="Q207" s="2">
        <v>0</v>
      </c>
      <c r="R207" s="2">
        <v>0</v>
      </c>
      <c r="S207" s="11">
        <f t="shared" si="94"/>
        <v>501919</v>
      </c>
      <c r="T207" s="11"/>
      <c r="U207" s="2">
        <v>0</v>
      </c>
      <c r="V207" s="2">
        <v>0</v>
      </c>
      <c r="W207" s="2">
        <v>0</v>
      </c>
      <c r="X207" s="2">
        <v>0</v>
      </c>
      <c r="Y207" s="2"/>
      <c r="Z207" s="2"/>
      <c r="AA207" s="2"/>
      <c r="AB207" s="2"/>
      <c r="AC207" s="2"/>
      <c r="AD207" s="2"/>
      <c r="AE207" s="2"/>
      <c r="AF207" s="2">
        <v>5</v>
      </c>
      <c r="AG207" s="2">
        <v>217</v>
      </c>
      <c r="AH207" s="2">
        <v>218</v>
      </c>
      <c r="AI207" s="2">
        <v>219</v>
      </c>
      <c r="AJ207" s="2">
        <v>220</v>
      </c>
      <c r="AK207" s="2">
        <v>221</v>
      </c>
      <c r="AL207" s="2"/>
      <c r="AM207" s="2"/>
      <c r="AN207" s="2"/>
      <c r="AO207" s="2"/>
      <c r="AP207" s="2"/>
      <c r="AQ207">
        <f t="shared" si="90"/>
        <v>0</v>
      </c>
      <c r="AR207">
        <f>IF(ISERROR(VLOOKUP(IF(O207=4,P207,IF(Q207=4,R207,0)),[4]D_任务!$A$2:$B$132,2,FALSE)),IF(O207=4,P207,IF(Q207=4,R207,0)),VLOOKUP(IF(O207=4,P207,IF(Q207=4,R207,0)),[4]D_任务!$A$2:$B$132,2,FALSE))</f>
        <v>0</v>
      </c>
      <c r="AS207">
        <f t="shared" si="97"/>
        <v>0</v>
      </c>
      <c r="AT207">
        <f t="shared" si="86"/>
        <v>0</v>
      </c>
    </row>
    <row r="208" spans="1:46" x14ac:dyDescent="0.15">
      <c r="A208" s="2">
        <v>1920</v>
      </c>
      <c r="B208" s="2">
        <v>6</v>
      </c>
      <c r="C208" s="2">
        <v>1</v>
      </c>
      <c r="D208" s="2" t="s">
        <v>26</v>
      </c>
      <c r="E208" s="11">
        <v>0</v>
      </c>
      <c r="F208" s="2">
        <f>IFERROR(ROUNDUP(VLOOKUP(T208,CHOOSE({1,2},[5]D_怪物表!$I$1:$I$1120,[5]D_怪物表!$AH$1:$AH$1120),2,FALSE),0),0)</f>
        <v>0</v>
      </c>
      <c r="G208" s="2">
        <v>1</v>
      </c>
      <c r="H208" s="2">
        <v>1</v>
      </c>
      <c r="I208" s="2">
        <v>0</v>
      </c>
      <c r="J208" s="2">
        <v>0</v>
      </c>
      <c r="K208" s="2">
        <v>0</v>
      </c>
      <c r="L208" s="2"/>
      <c r="M208" s="2">
        <f t="shared" si="96"/>
        <v>0</v>
      </c>
      <c r="N208" s="2">
        <v>1</v>
      </c>
      <c r="O208" s="2">
        <v>0</v>
      </c>
      <c r="P208" s="2">
        <v>0</v>
      </c>
      <c r="Q208" s="2">
        <v>0</v>
      </c>
      <c r="R208" s="2">
        <v>0</v>
      </c>
      <c r="S208" s="11">
        <f t="shared" si="94"/>
        <v>501920</v>
      </c>
      <c r="T208" s="11"/>
      <c r="U208" s="2">
        <v>0</v>
      </c>
      <c r="V208" s="2">
        <v>0</v>
      </c>
      <c r="W208" s="2">
        <v>0</v>
      </c>
      <c r="X208" s="2">
        <v>0</v>
      </c>
      <c r="Y208" s="2"/>
      <c r="Z208" s="2"/>
      <c r="AA208" s="2"/>
      <c r="AB208" s="2"/>
      <c r="AC208" s="2"/>
      <c r="AD208" s="2"/>
      <c r="AE208" s="2"/>
      <c r="AF208" s="2">
        <v>4</v>
      </c>
      <c r="AG208" s="2">
        <v>204</v>
      </c>
      <c r="AH208" s="2">
        <v>205</v>
      </c>
      <c r="AI208" s="2">
        <v>206</v>
      </c>
      <c r="AJ208" s="2">
        <v>237</v>
      </c>
      <c r="AK208" s="2"/>
      <c r="AL208" s="2"/>
      <c r="AM208" s="2"/>
      <c r="AN208" s="2"/>
      <c r="AO208" s="2"/>
      <c r="AP208" s="2"/>
      <c r="AQ208">
        <f t="shared" si="90"/>
        <v>0</v>
      </c>
      <c r="AR208">
        <f>IF(ISERROR(VLOOKUP(IF(O208=4,P208,IF(Q208=4,R208,0)),[4]D_任务!$A$2:$B$132,2,FALSE)),IF(O208=4,P208,IF(Q208=4,R208,0)),VLOOKUP(IF(O208=4,P208,IF(Q208=4,R208,0)),[4]D_任务!$A$2:$B$132,2,FALSE))</f>
        <v>0</v>
      </c>
      <c r="AS208">
        <f t="shared" si="97"/>
        <v>0</v>
      </c>
      <c r="AT208">
        <f t="shared" si="86"/>
        <v>0</v>
      </c>
    </row>
    <row r="209" spans="1:46" x14ac:dyDescent="0.15">
      <c r="A209" s="2">
        <v>1701</v>
      </c>
      <c r="B209" s="2">
        <v>3</v>
      </c>
      <c r="C209" s="2">
        <v>1</v>
      </c>
      <c r="D209" s="2" t="s">
        <v>328</v>
      </c>
      <c r="E209" s="11">
        <f t="shared" ref="E209:E214" si="98">E156</f>
        <v>12</v>
      </c>
      <c r="F209" s="2">
        <f>IFERROR(ROUNDUP(VLOOKUP(T209,CHOOSE({1,2},[5]D_怪物表!$I$1:$I$1120,[5]D_怪物表!$AH$1:$AH$1120),2,FALSE),0),0)</f>
        <v>2911</v>
      </c>
      <c r="G209" s="2">
        <v>1</v>
      </c>
      <c r="H209" s="2">
        <v>1</v>
      </c>
      <c r="I209" s="2">
        <v>2</v>
      </c>
      <c r="J209" s="2">
        <v>300</v>
      </c>
      <c r="K209" s="2">
        <v>0</v>
      </c>
      <c r="L209" s="2"/>
      <c r="M209" s="2">
        <f t="shared" si="96"/>
        <v>2</v>
      </c>
      <c r="N209" s="2">
        <v>1</v>
      </c>
      <c r="O209" s="2">
        <v>1</v>
      </c>
      <c r="P209" s="2">
        <f>[5]命运副本怪物!$C5</f>
        <v>23</v>
      </c>
      <c r="Q209" s="2">
        <v>4</v>
      </c>
      <c r="R209" s="2">
        <v>0</v>
      </c>
      <c r="S209" s="11">
        <f t="shared" si="94"/>
        <v>501701</v>
      </c>
      <c r="T209" s="11">
        <v>601101</v>
      </c>
      <c r="U209" s="2">
        <v>0</v>
      </c>
      <c r="V209" s="2">
        <v>0</v>
      </c>
      <c r="W209" s="2">
        <v>0</v>
      </c>
      <c r="X209" s="2">
        <v>0</v>
      </c>
      <c r="Y209" s="2"/>
      <c r="Z209" s="2"/>
      <c r="AA209" s="2"/>
      <c r="AB209" s="2"/>
      <c r="AC209" s="2"/>
      <c r="AD209" s="2"/>
      <c r="AE209" s="2"/>
      <c r="AF209" s="2">
        <v>5</v>
      </c>
      <c r="AG209" s="2">
        <v>14</v>
      </c>
      <c r="AH209" s="2">
        <v>15</v>
      </c>
      <c r="AI209" s="2">
        <v>16</v>
      </c>
      <c r="AJ209" s="2">
        <v>17</v>
      </c>
      <c r="AK209" s="2">
        <v>18</v>
      </c>
      <c r="AL209" s="2"/>
      <c r="AM209" s="2"/>
      <c r="AN209" s="2"/>
      <c r="AO209" s="2"/>
      <c r="AP209" s="2"/>
      <c r="AQ209">
        <f t="shared" si="90"/>
        <v>23</v>
      </c>
      <c r="AR209">
        <f>IF(ISERROR(VLOOKUP(IF(O209=4,P209,IF(Q209=4,R209,0)),[4]D_任务!$A$2:$B$132,2,FALSE)),IF(O209=4,P209,IF(Q209=4,R209,0)),VLOOKUP(IF(O209=4,P209,IF(Q209=4,R209,0)),[4]D_任务!$A$2:$B$132,2,FALSE))</f>
        <v>0</v>
      </c>
      <c r="AS209">
        <f t="shared" si="97"/>
        <v>0</v>
      </c>
      <c r="AT209">
        <f t="shared" si="86"/>
        <v>23</v>
      </c>
    </row>
    <row r="210" spans="1:46" x14ac:dyDescent="0.15">
      <c r="A210" s="2">
        <v>1702</v>
      </c>
      <c r="B210" s="2">
        <v>3</v>
      </c>
      <c r="C210" s="2">
        <v>2</v>
      </c>
      <c r="D210" s="2" t="s">
        <v>329</v>
      </c>
      <c r="E210" s="11">
        <f t="shared" si="98"/>
        <v>12</v>
      </c>
      <c r="F210" s="2">
        <f>IFERROR(ROUNDUP(VLOOKUP(T210,CHOOSE({1,2},[5]D_怪物表!$I$1:$I$1120,[5]D_怪物表!$AH$1:$AH$1120),2,FALSE),0),0)</f>
        <v>7915</v>
      </c>
      <c r="G210" s="2">
        <v>1</v>
      </c>
      <c r="H210" s="2">
        <v>1</v>
      </c>
      <c r="I210" s="2">
        <v>2</v>
      </c>
      <c r="J210" s="2">
        <v>300</v>
      </c>
      <c r="K210" s="2">
        <v>0</v>
      </c>
      <c r="L210" s="2"/>
      <c r="M210" s="2">
        <f t="shared" si="96"/>
        <v>2</v>
      </c>
      <c r="N210" s="2">
        <v>1</v>
      </c>
      <c r="O210" s="2">
        <v>1</v>
      </c>
      <c r="P210" s="2">
        <f>[5]命运副本怪物!$C6</f>
        <v>33</v>
      </c>
      <c r="Q210" s="2">
        <v>3</v>
      </c>
      <c r="R210" s="2">
        <f>A209</f>
        <v>1701</v>
      </c>
      <c r="S210" s="11">
        <f t="shared" si="94"/>
        <v>501702</v>
      </c>
      <c r="T210" s="11">
        <v>602101</v>
      </c>
      <c r="U210" s="2">
        <v>0</v>
      </c>
      <c r="V210" s="2">
        <v>0</v>
      </c>
      <c r="W210" s="2">
        <v>0</v>
      </c>
      <c r="X210" s="2">
        <v>0</v>
      </c>
      <c r="Y210" s="2"/>
      <c r="Z210" s="2"/>
      <c r="AA210" s="2"/>
      <c r="AB210" s="2"/>
      <c r="AC210" s="2"/>
      <c r="AD210" s="2"/>
      <c r="AE210" s="2"/>
      <c r="AF210" s="2">
        <v>5</v>
      </c>
      <c r="AG210" s="2">
        <v>14</v>
      </c>
      <c r="AH210" s="2">
        <v>15</v>
      </c>
      <c r="AI210" s="2">
        <v>16</v>
      </c>
      <c r="AJ210" s="2">
        <v>17</v>
      </c>
      <c r="AK210" s="2">
        <v>18</v>
      </c>
      <c r="AL210" s="2"/>
      <c r="AM210" s="2"/>
      <c r="AN210" s="2"/>
      <c r="AO210" s="2"/>
      <c r="AP210" s="2"/>
      <c r="AQ210">
        <f t="shared" si="90"/>
        <v>33</v>
      </c>
      <c r="AR210">
        <f>IF(ISERROR(VLOOKUP(IF(O210=4,P210,IF(Q210=4,R210,0)),[4]D_任务!$A$2:$B$132,2,FALSE)),IF(O210=4,P210,IF(Q210=4,R210,0)),VLOOKUP(IF(O210=4,P210,IF(Q210=4,R210,0)),[4]D_任务!$A$2:$B$132,2,FALSE))</f>
        <v>0</v>
      </c>
      <c r="AS210" t="str">
        <f t="shared" si="97"/>
        <v>难度1（命运石）</v>
      </c>
      <c r="AT210">
        <f t="shared" si="86"/>
        <v>33</v>
      </c>
    </row>
    <row r="211" spans="1:46" x14ac:dyDescent="0.15">
      <c r="A211" s="2">
        <v>1703</v>
      </c>
      <c r="B211" s="2">
        <v>3</v>
      </c>
      <c r="C211" s="2">
        <v>3</v>
      </c>
      <c r="D211" s="2" t="s">
        <v>330</v>
      </c>
      <c r="E211" s="11">
        <f t="shared" si="98"/>
        <v>12</v>
      </c>
      <c r="F211" s="2">
        <f>IFERROR(ROUNDUP(VLOOKUP(T211,CHOOSE({1,2},[5]D_怪物表!$I$1:$I$1120,[5]D_怪物表!$AH$1:$AH$1120),2,FALSE),0),0)</f>
        <v>19355</v>
      </c>
      <c r="G211" s="2">
        <v>1</v>
      </c>
      <c r="H211" s="2">
        <v>1</v>
      </c>
      <c r="I211" s="2">
        <v>2</v>
      </c>
      <c r="J211" s="2">
        <v>300</v>
      </c>
      <c r="K211" s="2">
        <v>0</v>
      </c>
      <c r="L211" s="2"/>
      <c r="M211" s="2">
        <f t="shared" si="96"/>
        <v>2</v>
      </c>
      <c r="N211" s="2">
        <v>1</v>
      </c>
      <c r="O211" s="2">
        <v>1</v>
      </c>
      <c r="P211" s="2">
        <f>[5]命运副本怪物!$C7</f>
        <v>43</v>
      </c>
      <c r="Q211" s="2">
        <v>3</v>
      </c>
      <c r="R211" s="2">
        <f t="shared" ref="R211:R214" si="99">A210</f>
        <v>1702</v>
      </c>
      <c r="S211" s="11">
        <f t="shared" si="94"/>
        <v>501703</v>
      </c>
      <c r="T211" s="11">
        <v>603101</v>
      </c>
      <c r="U211" s="2">
        <v>0</v>
      </c>
      <c r="V211" s="2">
        <v>0</v>
      </c>
      <c r="W211" s="2">
        <v>0</v>
      </c>
      <c r="X211" s="2">
        <v>0</v>
      </c>
      <c r="Y211" s="2"/>
      <c r="Z211" s="2"/>
      <c r="AA211" s="2"/>
      <c r="AB211" s="2"/>
      <c r="AC211" s="2"/>
      <c r="AD211" s="2"/>
      <c r="AE211" s="2"/>
      <c r="AF211" s="2">
        <v>5</v>
      </c>
      <c r="AG211" s="2">
        <v>14</v>
      </c>
      <c r="AH211" s="2">
        <v>15</v>
      </c>
      <c r="AI211" s="2">
        <v>16</v>
      </c>
      <c r="AJ211" s="2">
        <v>17</v>
      </c>
      <c r="AK211" s="2">
        <v>18</v>
      </c>
      <c r="AL211" s="2"/>
      <c r="AM211" s="2"/>
      <c r="AN211" s="2"/>
      <c r="AO211" s="2"/>
      <c r="AP211" s="2"/>
      <c r="AQ211">
        <f t="shared" si="90"/>
        <v>43</v>
      </c>
      <c r="AR211">
        <f>IF(ISERROR(VLOOKUP(IF(O211=4,P211,IF(Q211=4,R211,0)),[4]D_任务!$A$2:$B$132,2,FALSE)),IF(O211=4,P211,IF(Q211=4,R211,0)),VLOOKUP(IF(O211=4,P211,IF(Q211=4,R211,0)),[4]D_任务!$A$2:$B$132,2,FALSE))</f>
        <v>0</v>
      </c>
      <c r="AS211" t="str">
        <f t="shared" si="97"/>
        <v>难度2（命运石）</v>
      </c>
      <c r="AT211">
        <f t="shared" si="86"/>
        <v>43</v>
      </c>
    </row>
    <row r="212" spans="1:46" x14ac:dyDescent="0.15">
      <c r="A212" s="2">
        <v>1704</v>
      </c>
      <c r="B212" s="2">
        <v>3</v>
      </c>
      <c r="C212" s="2">
        <v>4</v>
      </c>
      <c r="D212" s="2" t="s">
        <v>331</v>
      </c>
      <c r="E212" s="11">
        <f t="shared" si="98"/>
        <v>12</v>
      </c>
      <c r="F212" s="2">
        <f>IFERROR(ROUNDUP(VLOOKUP(T212,CHOOSE({1,2},[5]D_怪物表!$I$1:$I$1120,[5]D_怪物表!$AH$1:$AH$1120),2,FALSE),0),0)</f>
        <v>39403</v>
      </c>
      <c r="G212" s="2">
        <v>1</v>
      </c>
      <c r="H212" s="2">
        <v>1</v>
      </c>
      <c r="I212" s="2">
        <v>2</v>
      </c>
      <c r="J212" s="2">
        <v>300</v>
      </c>
      <c r="K212" s="2">
        <v>0</v>
      </c>
      <c r="L212" s="2"/>
      <c r="M212" s="2">
        <f t="shared" si="96"/>
        <v>2</v>
      </c>
      <c r="N212" s="2">
        <v>1</v>
      </c>
      <c r="O212" s="2">
        <v>1</v>
      </c>
      <c r="P212" s="2">
        <f>[5]命运副本怪物!$C8</f>
        <v>52</v>
      </c>
      <c r="Q212" s="2">
        <v>3</v>
      </c>
      <c r="R212" s="2">
        <f t="shared" si="99"/>
        <v>1703</v>
      </c>
      <c r="S212" s="11">
        <f t="shared" si="94"/>
        <v>501704</v>
      </c>
      <c r="T212" s="11">
        <v>604101</v>
      </c>
      <c r="U212" s="2">
        <v>0</v>
      </c>
      <c r="V212" s="2">
        <v>0</v>
      </c>
      <c r="W212" s="2">
        <v>0</v>
      </c>
      <c r="X212" s="2">
        <v>0</v>
      </c>
      <c r="Y212" s="2"/>
      <c r="Z212" s="2"/>
      <c r="AA212" s="2"/>
      <c r="AB212" s="2"/>
      <c r="AC212" s="2"/>
      <c r="AD212" s="2"/>
      <c r="AE212" s="2"/>
      <c r="AF212" s="2">
        <v>5</v>
      </c>
      <c r="AG212" s="2">
        <v>14</v>
      </c>
      <c r="AH212" s="2">
        <v>15</v>
      </c>
      <c r="AI212" s="2">
        <v>16</v>
      </c>
      <c r="AJ212" s="2">
        <v>17</v>
      </c>
      <c r="AK212" s="2">
        <v>18</v>
      </c>
      <c r="AL212" s="2"/>
      <c r="AM212" s="2"/>
      <c r="AN212" s="2"/>
      <c r="AO212" s="2"/>
      <c r="AP212" s="2"/>
      <c r="AQ212">
        <f t="shared" si="90"/>
        <v>52</v>
      </c>
      <c r="AR212">
        <f>IF(ISERROR(VLOOKUP(IF(O212=4,P212,IF(Q212=4,R212,0)),[4]D_任务!$A$2:$B$132,2,FALSE)),IF(O212=4,P212,IF(Q212=4,R212,0)),VLOOKUP(IF(O212=4,P212,IF(Q212=4,R212,0)),[4]D_任务!$A$2:$B$132,2,FALSE))</f>
        <v>0</v>
      </c>
      <c r="AS212" t="str">
        <f t="shared" si="97"/>
        <v>难度3（命运石）</v>
      </c>
      <c r="AT212">
        <f t="shared" si="86"/>
        <v>52</v>
      </c>
    </row>
    <row r="213" spans="1:46" x14ac:dyDescent="0.15">
      <c r="A213" s="2">
        <v>1705</v>
      </c>
      <c r="B213" s="2">
        <v>3</v>
      </c>
      <c r="C213" s="2">
        <v>5</v>
      </c>
      <c r="D213" s="2" t="s">
        <v>332</v>
      </c>
      <c r="E213" s="11">
        <f t="shared" si="98"/>
        <v>12</v>
      </c>
      <c r="F213" s="2">
        <f>IFERROR(ROUNDUP(VLOOKUP(T213,CHOOSE({1,2},[5]D_怪物表!$I$1:$I$1120,[5]D_怪物表!$AH$1:$AH$1120),2,FALSE),0),0)</f>
        <v>74614</v>
      </c>
      <c r="G213" s="2">
        <v>1</v>
      </c>
      <c r="H213" s="2">
        <v>1</v>
      </c>
      <c r="I213" s="2">
        <v>2</v>
      </c>
      <c r="J213" s="2">
        <v>300</v>
      </c>
      <c r="K213" s="2">
        <v>0</v>
      </c>
      <c r="L213" s="2"/>
      <c r="M213" s="2">
        <f t="shared" si="96"/>
        <v>2</v>
      </c>
      <c r="N213" s="2">
        <v>1</v>
      </c>
      <c r="O213" s="2">
        <v>1</v>
      </c>
      <c r="P213" s="2">
        <f>[5]命运副本怪物!$C9</f>
        <v>61</v>
      </c>
      <c r="Q213" s="2">
        <v>3</v>
      </c>
      <c r="R213" s="2">
        <f t="shared" si="99"/>
        <v>1704</v>
      </c>
      <c r="S213" s="11">
        <f t="shared" si="94"/>
        <v>501705</v>
      </c>
      <c r="T213" s="11">
        <v>605101</v>
      </c>
      <c r="U213" s="2">
        <v>0</v>
      </c>
      <c r="V213" s="2">
        <v>0</v>
      </c>
      <c r="W213" s="2">
        <v>0</v>
      </c>
      <c r="X213" s="2">
        <v>0</v>
      </c>
      <c r="Y213" s="2"/>
      <c r="Z213" s="2"/>
      <c r="AA213" s="2"/>
      <c r="AB213" s="2"/>
      <c r="AC213" s="2"/>
      <c r="AD213" s="2"/>
      <c r="AE213" s="2"/>
      <c r="AF213" s="2">
        <v>5</v>
      </c>
      <c r="AG213" s="2">
        <v>14</v>
      </c>
      <c r="AH213" s="2">
        <v>15</v>
      </c>
      <c r="AI213" s="2">
        <v>16</v>
      </c>
      <c r="AJ213" s="2">
        <v>17</v>
      </c>
      <c r="AK213" s="2">
        <v>18</v>
      </c>
      <c r="AL213" s="2"/>
      <c r="AM213" s="2"/>
      <c r="AN213" s="2"/>
      <c r="AO213" s="2"/>
      <c r="AP213" s="2"/>
      <c r="AQ213">
        <f t="shared" si="90"/>
        <v>61</v>
      </c>
      <c r="AR213">
        <f>IF(ISERROR(VLOOKUP(IF(O213=4,P213,IF(Q213=4,R213,0)),[4]D_任务!$A$2:$B$132,2,FALSE)),IF(O213=4,P213,IF(Q213=4,R213,0)),VLOOKUP(IF(O213=4,P213,IF(Q213=4,R213,0)),[4]D_任务!$A$2:$B$132,2,FALSE))</f>
        <v>0</v>
      </c>
      <c r="AS213" t="str">
        <f t="shared" si="97"/>
        <v>难度4（命运石）</v>
      </c>
      <c r="AT213">
        <f t="shared" si="86"/>
        <v>61</v>
      </c>
    </row>
    <row r="214" spans="1:46" x14ac:dyDescent="0.15">
      <c r="A214" s="2">
        <v>1706</v>
      </c>
      <c r="B214" s="2">
        <v>3</v>
      </c>
      <c r="C214" s="2">
        <v>6</v>
      </c>
      <c r="D214" s="2" t="s">
        <v>333</v>
      </c>
      <c r="E214" s="11">
        <f t="shared" si="98"/>
        <v>12</v>
      </c>
      <c r="F214" s="2">
        <f>IFERROR(ROUNDUP(VLOOKUP(T214,CHOOSE({1,2},[5]D_怪物表!$I$1:$I$1120,[5]D_怪物表!$AH$1:$AH$1120),2,FALSE),0),0)</f>
        <v>131569</v>
      </c>
      <c r="G214" s="2">
        <v>1</v>
      </c>
      <c r="H214" s="2">
        <v>1</v>
      </c>
      <c r="I214" s="2">
        <v>2</v>
      </c>
      <c r="J214" s="2">
        <v>300</v>
      </c>
      <c r="K214" s="2">
        <v>0</v>
      </c>
      <c r="L214" s="2"/>
      <c r="M214" s="2">
        <f t="shared" si="96"/>
        <v>2</v>
      </c>
      <c r="N214" s="2">
        <v>1</v>
      </c>
      <c r="O214" s="2">
        <v>1</v>
      </c>
      <c r="P214" s="2">
        <f>[5]命运副本怪物!$C10</f>
        <v>70</v>
      </c>
      <c r="Q214" s="2">
        <v>3</v>
      </c>
      <c r="R214" s="2">
        <f t="shared" si="99"/>
        <v>1705</v>
      </c>
      <c r="S214" s="11">
        <f t="shared" si="94"/>
        <v>501706</v>
      </c>
      <c r="T214" s="11">
        <v>606101</v>
      </c>
      <c r="U214" s="2">
        <v>0</v>
      </c>
      <c r="V214" s="2">
        <v>0</v>
      </c>
      <c r="W214" s="2">
        <v>0</v>
      </c>
      <c r="X214" s="2">
        <v>0</v>
      </c>
      <c r="Y214" s="2"/>
      <c r="Z214" s="2"/>
      <c r="AA214" s="2"/>
      <c r="AB214" s="2"/>
      <c r="AC214" s="2"/>
      <c r="AD214" s="2"/>
      <c r="AE214" s="2"/>
      <c r="AF214" s="2">
        <v>5</v>
      </c>
      <c r="AG214" s="2">
        <v>14</v>
      </c>
      <c r="AH214" s="2">
        <v>15</v>
      </c>
      <c r="AI214" s="2">
        <v>16</v>
      </c>
      <c r="AJ214" s="2">
        <v>17</v>
      </c>
      <c r="AK214" s="2">
        <v>18</v>
      </c>
      <c r="AL214" s="2"/>
      <c r="AM214" s="2"/>
      <c r="AN214" s="2"/>
      <c r="AO214" s="2"/>
      <c r="AP214" s="2"/>
      <c r="AQ214">
        <f t="shared" si="90"/>
        <v>70</v>
      </c>
      <c r="AR214">
        <f>IF(ISERROR(VLOOKUP(IF(O214=4,P214,IF(Q214=4,R214,0)),[4]D_任务!$A$2:$B$132,2,FALSE)),IF(O214=4,P214,IF(Q214=4,R214,0)),VLOOKUP(IF(O214=4,P214,IF(Q214=4,R214,0)),[4]D_任务!$A$2:$B$132,2,FALSE))</f>
        <v>0</v>
      </c>
      <c r="AS214" t="str">
        <f t="shared" si="97"/>
        <v>难度5（命运石）</v>
      </c>
      <c r="AT214">
        <f t="shared" si="86"/>
        <v>70</v>
      </c>
    </row>
    <row r="215" spans="1:46" x14ac:dyDescent="0.15">
      <c r="A215" s="2">
        <v>1801</v>
      </c>
      <c r="B215" s="2">
        <v>3</v>
      </c>
      <c r="C215" s="2">
        <v>1</v>
      </c>
      <c r="D215" s="2" t="s">
        <v>334</v>
      </c>
      <c r="E215" s="11">
        <f t="shared" ref="E215:E220" si="100">E156</f>
        <v>12</v>
      </c>
      <c r="F215" s="2">
        <f>IFERROR(ROUNDUP(VLOOKUP(T215+4,CHOOSE({1,2},[5]D_怪物表!$I$1:$I$1120,[5]D_怪物表!$AH$1:$AH$1120),2,FALSE),0),0)</f>
        <v>615</v>
      </c>
      <c r="G215" s="2">
        <v>1</v>
      </c>
      <c r="H215" s="2">
        <v>1</v>
      </c>
      <c r="I215" s="2">
        <v>2</v>
      </c>
      <c r="J215" s="2">
        <v>300</v>
      </c>
      <c r="K215" s="2">
        <v>0</v>
      </c>
      <c r="L215" s="2"/>
      <c r="M215" s="2">
        <f t="shared" si="96"/>
        <v>2</v>
      </c>
      <c r="N215" s="2">
        <v>1</v>
      </c>
      <c r="O215" s="2">
        <v>1</v>
      </c>
      <c r="P215" s="2">
        <f>[5]马仔经验副本怪物!$C5</f>
        <v>11</v>
      </c>
      <c r="Q215" s="2">
        <v>4</v>
      </c>
      <c r="R215" s="2">
        <v>0</v>
      </c>
      <c r="S215" s="11">
        <f t="shared" si="94"/>
        <v>501801</v>
      </c>
      <c r="T215" s="11">
        <v>501102</v>
      </c>
      <c r="U215" s="2">
        <v>0</v>
      </c>
      <c r="V215" s="2">
        <v>0</v>
      </c>
      <c r="W215" s="2">
        <v>0</v>
      </c>
      <c r="X215" s="2">
        <v>0</v>
      </c>
      <c r="Y215" s="2"/>
      <c r="Z215" s="2"/>
      <c r="AA215" s="2"/>
      <c r="AB215" s="2"/>
      <c r="AC215" s="2"/>
      <c r="AD215" s="2"/>
      <c r="AE215" s="2"/>
      <c r="AF215" s="2">
        <v>5</v>
      </c>
      <c r="AG215" s="2">
        <v>217</v>
      </c>
      <c r="AH215" s="2">
        <v>218</v>
      </c>
      <c r="AI215" s="2">
        <v>219</v>
      </c>
      <c r="AJ215" s="2">
        <v>220</v>
      </c>
      <c r="AK215" s="2">
        <v>221</v>
      </c>
      <c r="AL215" s="2"/>
      <c r="AM215" s="2"/>
      <c r="AN215" s="2"/>
      <c r="AO215" s="2"/>
      <c r="AP215" s="2"/>
      <c r="AQ215">
        <f t="shared" si="90"/>
        <v>11</v>
      </c>
      <c r="AR215">
        <f>IF(ISERROR(VLOOKUP(IF(O215=4,P215,IF(Q215=4,R215,0)),[4]D_任务!$A$2:$B$132,2,FALSE)),IF(O215=4,P215,IF(Q215=4,R215,0)),VLOOKUP(IF(O215=4,P215,IF(Q215=4,R215,0)),[4]D_任务!$A$2:$B$132,2,FALSE))</f>
        <v>0</v>
      </c>
      <c r="AS215">
        <f t="shared" si="97"/>
        <v>0</v>
      </c>
      <c r="AT215">
        <f t="shared" si="86"/>
        <v>11</v>
      </c>
    </row>
    <row r="216" spans="1:46" x14ac:dyDescent="0.15">
      <c r="A216" s="2">
        <v>1802</v>
      </c>
      <c r="B216" s="2">
        <v>3</v>
      </c>
      <c r="C216" s="2">
        <v>2</v>
      </c>
      <c r="D216" s="2" t="s">
        <v>335</v>
      </c>
      <c r="E216" s="11">
        <f t="shared" si="100"/>
        <v>12</v>
      </c>
      <c r="F216" s="2">
        <f>IFERROR(ROUNDUP(VLOOKUP(T216+4,CHOOSE({1,2},[5]D_怪物表!$I$1:$I$1120,[5]D_怪物表!$AH$1:$AH$1120),2,FALSE),0),0)</f>
        <v>4880</v>
      </c>
      <c r="G216" s="2">
        <v>1</v>
      </c>
      <c r="H216" s="2">
        <v>1</v>
      </c>
      <c r="I216" s="2">
        <v>2</v>
      </c>
      <c r="J216" s="2">
        <v>300</v>
      </c>
      <c r="K216" s="2">
        <v>0</v>
      </c>
      <c r="L216" s="2"/>
      <c r="M216" s="2">
        <f t="shared" si="96"/>
        <v>2</v>
      </c>
      <c r="N216" s="2">
        <v>1</v>
      </c>
      <c r="O216" s="2">
        <v>1</v>
      </c>
      <c r="P216" s="2">
        <f>[5]马仔经验副本怪物!$C6</f>
        <v>28</v>
      </c>
      <c r="Q216" s="2">
        <v>3</v>
      </c>
      <c r="R216" s="2">
        <f>A215</f>
        <v>1801</v>
      </c>
      <c r="S216" s="11">
        <f t="shared" si="94"/>
        <v>501802</v>
      </c>
      <c r="T216" s="11">
        <v>502102</v>
      </c>
      <c r="U216" s="2">
        <v>0</v>
      </c>
      <c r="V216" s="2">
        <v>0</v>
      </c>
      <c r="W216" s="2">
        <v>0</v>
      </c>
      <c r="X216" s="2">
        <v>0</v>
      </c>
      <c r="Y216" s="2"/>
      <c r="Z216" s="2"/>
      <c r="AA216" s="2"/>
      <c r="AB216" s="2"/>
      <c r="AC216" s="2"/>
      <c r="AD216" s="2"/>
      <c r="AE216" s="2"/>
      <c r="AF216" s="2">
        <v>5</v>
      </c>
      <c r="AG216" s="2">
        <v>217</v>
      </c>
      <c r="AH216" s="2">
        <v>218</v>
      </c>
      <c r="AI216" s="2">
        <v>219</v>
      </c>
      <c r="AJ216" s="2">
        <v>220</v>
      </c>
      <c r="AK216" s="2">
        <v>221</v>
      </c>
      <c r="AL216" s="2"/>
      <c r="AM216" s="2"/>
      <c r="AN216" s="2"/>
      <c r="AO216" s="2"/>
      <c r="AP216" s="2"/>
      <c r="AQ216">
        <f t="shared" si="90"/>
        <v>28</v>
      </c>
      <c r="AR216">
        <f>IF(ISERROR(VLOOKUP(IF(O216=4,P216,IF(Q216=4,R216,0)),[4]D_任务!$A$2:$B$132,2,FALSE)),IF(O216=4,P216,IF(Q216=4,R216,0)),VLOOKUP(IF(O216=4,P216,IF(Q216=4,R216,0)),[4]D_任务!$A$2:$B$132,2,FALSE))</f>
        <v>0</v>
      </c>
      <c r="AS216" t="str">
        <f t="shared" si="97"/>
        <v>难度1（马仔经验）</v>
      </c>
      <c r="AT216">
        <f t="shared" si="86"/>
        <v>28</v>
      </c>
    </row>
    <row r="217" spans="1:46" x14ac:dyDescent="0.15">
      <c r="A217" s="2">
        <v>1803</v>
      </c>
      <c r="B217" s="2">
        <v>3</v>
      </c>
      <c r="C217" s="2">
        <v>3</v>
      </c>
      <c r="D217" s="2" t="s">
        <v>336</v>
      </c>
      <c r="E217" s="11">
        <f t="shared" si="100"/>
        <v>12</v>
      </c>
      <c r="F217" s="2">
        <f>IFERROR(ROUNDUP(VLOOKUP(T217+4,CHOOSE({1,2},[5]D_怪物表!$I$1:$I$1120,[5]D_怪物表!$AH$1:$AH$1120),2,FALSE),0),0)</f>
        <v>12645</v>
      </c>
      <c r="G217" s="2">
        <v>1</v>
      </c>
      <c r="H217" s="2">
        <v>1</v>
      </c>
      <c r="I217" s="2">
        <v>2</v>
      </c>
      <c r="J217" s="2">
        <v>300</v>
      </c>
      <c r="K217" s="2">
        <v>0</v>
      </c>
      <c r="L217" s="2"/>
      <c r="M217" s="2">
        <f t="shared" si="96"/>
        <v>2</v>
      </c>
      <c r="N217" s="2">
        <v>1</v>
      </c>
      <c r="O217" s="2">
        <v>1</v>
      </c>
      <c r="P217" s="2">
        <f>[5]马仔经验副本怪物!$C7</f>
        <v>38</v>
      </c>
      <c r="Q217" s="2">
        <v>3</v>
      </c>
      <c r="R217" s="2">
        <f t="shared" ref="R217:R220" si="101">A216</f>
        <v>1802</v>
      </c>
      <c r="S217" s="11">
        <f t="shared" si="94"/>
        <v>501803</v>
      </c>
      <c r="T217" s="11">
        <v>503102</v>
      </c>
      <c r="U217" s="2">
        <v>0</v>
      </c>
      <c r="V217" s="2">
        <v>0</v>
      </c>
      <c r="W217" s="2">
        <v>0</v>
      </c>
      <c r="X217" s="2">
        <v>0</v>
      </c>
      <c r="Y217" s="2"/>
      <c r="Z217" s="2"/>
      <c r="AA217" s="2"/>
      <c r="AB217" s="2"/>
      <c r="AC217" s="2"/>
      <c r="AD217" s="2"/>
      <c r="AE217" s="2"/>
      <c r="AF217" s="2">
        <v>5</v>
      </c>
      <c r="AG217" s="2">
        <v>217</v>
      </c>
      <c r="AH217" s="2">
        <v>218</v>
      </c>
      <c r="AI217" s="2">
        <v>219</v>
      </c>
      <c r="AJ217" s="2">
        <v>220</v>
      </c>
      <c r="AK217" s="2">
        <v>221</v>
      </c>
      <c r="AL217" s="2"/>
      <c r="AM217" s="2"/>
      <c r="AN217" s="2"/>
      <c r="AO217" s="2"/>
      <c r="AP217" s="2"/>
      <c r="AQ217">
        <f t="shared" si="90"/>
        <v>38</v>
      </c>
      <c r="AR217">
        <f>IF(ISERROR(VLOOKUP(IF(O217=4,P217,IF(Q217=4,R217,0)),[4]D_任务!$A$2:$B$132,2,FALSE)),IF(O217=4,P217,IF(Q217=4,R217,0)),VLOOKUP(IF(O217=4,P217,IF(Q217=4,R217,0)),[4]D_任务!$A$2:$B$132,2,FALSE))</f>
        <v>0</v>
      </c>
      <c r="AS217" t="str">
        <f t="shared" si="97"/>
        <v>难度2（马仔经验）</v>
      </c>
      <c r="AT217">
        <f t="shared" ref="AT217:AT220" si="102">AQ217</f>
        <v>38</v>
      </c>
    </row>
    <row r="218" spans="1:46" x14ac:dyDescent="0.15">
      <c r="A218" s="2">
        <v>1804</v>
      </c>
      <c r="B218" s="2">
        <v>3</v>
      </c>
      <c r="C218" s="2">
        <v>4</v>
      </c>
      <c r="D218" s="2" t="s">
        <v>337</v>
      </c>
      <c r="E218" s="11">
        <f t="shared" si="100"/>
        <v>12</v>
      </c>
      <c r="F218" s="2">
        <f>IFERROR(ROUNDUP(VLOOKUP(T218+4,CHOOSE({1,2},[5]D_怪物表!$I$1:$I$1120,[5]D_怪物表!$AH$1:$AH$1120),2,FALSE),0),0)</f>
        <v>29369</v>
      </c>
      <c r="G218" s="2">
        <v>1</v>
      </c>
      <c r="H218" s="2">
        <v>1</v>
      </c>
      <c r="I218" s="2">
        <v>2</v>
      </c>
      <c r="J218" s="2">
        <v>300</v>
      </c>
      <c r="K218" s="2">
        <v>0</v>
      </c>
      <c r="L218" s="2"/>
      <c r="M218" s="2">
        <f t="shared" si="96"/>
        <v>2</v>
      </c>
      <c r="N218" s="2">
        <v>1</v>
      </c>
      <c r="O218" s="2">
        <v>1</v>
      </c>
      <c r="P218" s="2">
        <f>[5]马仔经验副本怪物!$C8</f>
        <v>48</v>
      </c>
      <c r="Q218" s="2">
        <v>3</v>
      </c>
      <c r="R218" s="2">
        <f t="shared" si="101"/>
        <v>1803</v>
      </c>
      <c r="S218" s="11">
        <f t="shared" si="94"/>
        <v>501804</v>
      </c>
      <c r="T218" s="11">
        <v>504102</v>
      </c>
      <c r="U218" s="2">
        <v>0</v>
      </c>
      <c r="V218" s="2">
        <v>0</v>
      </c>
      <c r="W218" s="2">
        <v>0</v>
      </c>
      <c r="X218" s="2">
        <v>0</v>
      </c>
      <c r="Y218" s="2"/>
      <c r="Z218" s="2"/>
      <c r="AA218" s="2"/>
      <c r="AB218" s="2"/>
      <c r="AC218" s="2"/>
      <c r="AD218" s="2"/>
      <c r="AE218" s="2"/>
      <c r="AF218" s="2">
        <v>5</v>
      </c>
      <c r="AG218" s="2">
        <v>217</v>
      </c>
      <c r="AH218" s="2">
        <v>218</v>
      </c>
      <c r="AI218" s="2">
        <v>219</v>
      </c>
      <c r="AJ218" s="2">
        <v>220</v>
      </c>
      <c r="AK218" s="2">
        <v>221</v>
      </c>
      <c r="AL218" s="2"/>
      <c r="AM218" s="2"/>
      <c r="AN218" s="2"/>
      <c r="AO218" s="2"/>
      <c r="AP218" s="2"/>
      <c r="AQ218">
        <f t="shared" si="90"/>
        <v>48</v>
      </c>
      <c r="AR218">
        <f>IF(ISERROR(VLOOKUP(IF(O218=4,P218,IF(Q218=4,R218,0)),[4]D_任务!$A$2:$B$132,2,FALSE)),IF(O218=4,P218,IF(Q218=4,R218,0)),VLOOKUP(IF(O218=4,P218,IF(Q218=4,R218,0)),[4]D_任务!$A$2:$B$132,2,FALSE))</f>
        <v>0</v>
      </c>
      <c r="AS218" t="str">
        <f t="shared" si="97"/>
        <v>难度3（马仔经验）</v>
      </c>
      <c r="AT218">
        <f t="shared" si="102"/>
        <v>48</v>
      </c>
    </row>
    <row r="219" spans="1:46" x14ac:dyDescent="0.15">
      <c r="A219" s="2">
        <v>1805</v>
      </c>
      <c r="B219" s="2">
        <v>3</v>
      </c>
      <c r="C219" s="2">
        <v>5</v>
      </c>
      <c r="D219" s="2" t="s">
        <v>338</v>
      </c>
      <c r="E219" s="11">
        <f t="shared" si="100"/>
        <v>12</v>
      </c>
      <c r="F219" s="2">
        <f>IFERROR(ROUNDUP(VLOOKUP(T219+4,CHOOSE({1,2},[5]D_怪物表!$I$1:$I$1120,[5]D_怪物表!$AH$1:$AH$1120),2,FALSE),0),0)</f>
        <v>61788</v>
      </c>
      <c r="G219" s="2">
        <v>1</v>
      </c>
      <c r="H219" s="2">
        <v>1</v>
      </c>
      <c r="I219" s="2">
        <v>2</v>
      </c>
      <c r="J219" s="2">
        <v>300</v>
      </c>
      <c r="K219" s="2">
        <v>0</v>
      </c>
      <c r="L219" s="2"/>
      <c r="M219" s="2">
        <f t="shared" si="96"/>
        <v>2</v>
      </c>
      <c r="N219" s="2">
        <v>1</v>
      </c>
      <c r="O219" s="2">
        <v>1</v>
      </c>
      <c r="P219" s="2">
        <f>[5]马仔经验副本怪物!$C9</f>
        <v>58</v>
      </c>
      <c r="Q219" s="2">
        <v>3</v>
      </c>
      <c r="R219" s="2">
        <f t="shared" si="101"/>
        <v>1804</v>
      </c>
      <c r="S219" s="11">
        <f t="shared" si="94"/>
        <v>501805</v>
      </c>
      <c r="T219" s="11">
        <v>505102</v>
      </c>
      <c r="U219" s="2">
        <v>0</v>
      </c>
      <c r="V219" s="2">
        <v>0</v>
      </c>
      <c r="W219" s="2">
        <v>0</v>
      </c>
      <c r="X219" s="2">
        <v>0</v>
      </c>
      <c r="Y219" s="2"/>
      <c r="Z219" s="2"/>
      <c r="AA219" s="2"/>
      <c r="AB219" s="2"/>
      <c r="AC219" s="2"/>
      <c r="AD219" s="2"/>
      <c r="AE219" s="2"/>
      <c r="AF219" s="2">
        <v>5</v>
      </c>
      <c r="AG219" s="2">
        <v>217</v>
      </c>
      <c r="AH219" s="2">
        <v>218</v>
      </c>
      <c r="AI219" s="2">
        <v>219</v>
      </c>
      <c r="AJ219" s="2">
        <v>220</v>
      </c>
      <c r="AK219" s="2">
        <v>221</v>
      </c>
      <c r="AL219" s="2"/>
      <c r="AM219" s="2"/>
      <c r="AN219" s="2"/>
      <c r="AO219" s="2"/>
      <c r="AP219" s="2"/>
      <c r="AQ219">
        <f t="shared" si="90"/>
        <v>58</v>
      </c>
      <c r="AR219">
        <f>IF(ISERROR(VLOOKUP(IF(O219=4,P219,IF(Q219=4,R219,0)),[4]D_任务!$A$2:$B$132,2,FALSE)),IF(O219=4,P219,IF(Q219=4,R219,0)),VLOOKUP(IF(O219=4,P219,IF(Q219=4,R219,0)),[4]D_任务!$A$2:$B$132,2,FALSE))</f>
        <v>0</v>
      </c>
      <c r="AS219" t="str">
        <f t="shared" si="97"/>
        <v>难度4（马仔经验）</v>
      </c>
      <c r="AT219">
        <f t="shared" si="102"/>
        <v>58</v>
      </c>
    </row>
    <row r="220" spans="1:46" x14ac:dyDescent="0.15">
      <c r="A220" s="2">
        <v>1806</v>
      </c>
      <c r="B220" s="2">
        <v>3</v>
      </c>
      <c r="C220" s="2">
        <v>6</v>
      </c>
      <c r="D220" s="2" t="s">
        <v>339</v>
      </c>
      <c r="E220" s="11">
        <f t="shared" si="100"/>
        <v>12</v>
      </c>
      <c r="F220" s="2">
        <f>IFERROR(ROUNDUP(VLOOKUP(T220+4,CHOOSE({1,2},[5]D_怪物表!$I$1:$I$1120,[5]D_怪物表!$AH$1:$AH$1120),2,FALSE),0),0)</f>
        <v>119740</v>
      </c>
      <c r="G220" s="2">
        <v>1</v>
      </c>
      <c r="H220" s="2">
        <v>1</v>
      </c>
      <c r="I220" s="2">
        <v>2</v>
      </c>
      <c r="J220" s="2">
        <v>300</v>
      </c>
      <c r="K220" s="2">
        <v>0</v>
      </c>
      <c r="L220" s="2"/>
      <c r="M220" s="2">
        <f t="shared" si="96"/>
        <v>2</v>
      </c>
      <c r="N220" s="2">
        <v>1</v>
      </c>
      <c r="O220" s="2">
        <v>1</v>
      </c>
      <c r="P220" s="2">
        <f>[5]马仔经验副本怪物!$C10</f>
        <v>68</v>
      </c>
      <c r="Q220" s="2">
        <v>3</v>
      </c>
      <c r="R220" s="2">
        <f t="shared" si="101"/>
        <v>1805</v>
      </c>
      <c r="S220" s="11">
        <f t="shared" si="94"/>
        <v>501806</v>
      </c>
      <c r="T220" s="11">
        <v>506102</v>
      </c>
      <c r="U220" s="2">
        <v>0</v>
      </c>
      <c r="V220" s="2">
        <v>0</v>
      </c>
      <c r="W220" s="2">
        <v>0</v>
      </c>
      <c r="X220" s="2">
        <v>0</v>
      </c>
      <c r="Y220" s="2"/>
      <c r="Z220" s="2"/>
      <c r="AA220" s="2"/>
      <c r="AB220" s="2"/>
      <c r="AC220" s="2"/>
      <c r="AD220" s="2"/>
      <c r="AE220" s="2"/>
      <c r="AF220" s="2">
        <v>5</v>
      </c>
      <c r="AG220" s="2">
        <v>217</v>
      </c>
      <c r="AH220" s="2">
        <v>218</v>
      </c>
      <c r="AI220" s="2">
        <v>219</v>
      </c>
      <c r="AJ220" s="2">
        <v>220</v>
      </c>
      <c r="AK220" s="2">
        <v>221</v>
      </c>
      <c r="AL220" s="2"/>
      <c r="AM220" s="2"/>
      <c r="AN220" s="2"/>
      <c r="AO220" s="2"/>
      <c r="AP220" s="2"/>
      <c r="AQ220">
        <f t="shared" si="90"/>
        <v>68</v>
      </c>
      <c r="AR220">
        <f>IF(ISERROR(VLOOKUP(IF(O220=4,P220,IF(Q220=4,R220,0)),[4]D_任务!$A$2:$B$132,2,FALSE)),IF(O220=4,P220,IF(Q220=4,R220,0)),VLOOKUP(IF(O220=4,P220,IF(Q220=4,R220,0)),[4]D_任务!$A$2:$B$132,2,FALSE))</f>
        <v>0</v>
      </c>
      <c r="AS220" t="str">
        <f t="shared" si="97"/>
        <v>难度5（马仔经验）</v>
      </c>
      <c r="AT220">
        <f t="shared" si="102"/>
        <v>68</v>
      </c>
    </row>
    <row r="221" spans="1:46" x14ac:dyDescent="0.15">
      <c r="A221" s="20">
        <v>2501</v>
      </c>
      <c r="B221" s="20">
        <v>3</v>
      </c>
      <c r="C221" s="20">
        <v>1</v>
      </c>
      <c r="D221" s="20" t="s">
        <v>379</v>
      </c>
      <c r="E221" s="20">
        <v>0</v>
      </c>
      <c r="F221" s="2">
        <f>IFERROR(ROUNDUP(VLOOKUP(T221,CHOOSE({1,2},[5]D_怪物表!$I$1:$I$1120,[5]D_怪物表!$AH$1:$AH$1120),2,FALSE),0),0)</f>
        <v>0</v>
      </c>
      <c r="G221" s="20">
        <v>1</v>
      </c>
      <c r="H221" s="20">
        <v>1</v>
      </c>
      <c r="I221" s="20">
        <v>0</v>
      </c>
      <c r="J221" s="20">
        <v>0</v>
      </c>
      <c r="K221" s="20">
        <v>0</v>
      </c>
      <c r="M221" s="20">
        <v>0</v>
      </c>
      <c r="N221" s="20">
        <v>1</v>
      </c>
      <c r="O221" s="21">
        <v>0</v>
      </c>
      <c r="P221" s="20">
        <v>0</v>
      </c>
      <c r="Q221" s="21">
        <v>0</v>
      </c>
      <c r="R221" s="21">
        <v>0</v>
      </c>
      <c r="S221" s="20"/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G221" s="10"/>
      <c r="AH221" s="10"/>
    </row>
    <row r="222" spans="1:46" x14ac:dyDescent="0.15">
      <c r="A222" s="20">
        <v>2601</v>
      </c>
      <c r="B222" s="20">
        <v>7</v>
      </c>
      <c r="C222" s="20">
        <v>1</v>
      </c>
      <c r="D222" s="20" t="s">
        <v>452</v>
      </c>
      <c r="E222" s="20">
        <v>0</v>
      </c>
      <c r="F222" s="2">
        <f>IFERROR(ROUNDUP(VLOOKUP(T222,CHOOSE({1,2},[5]D_怪物表!$I$1:$I$1120,[5]D_怪物表!$AH$1:$AH$1120),2,FALSE),0),0)</f>
        <v>0</v>
      </c>
      <c r="G222" s="20">
        <v>1</v>
      </c>
      <c r="H222" s="20">
        <v>1</v>
      </c>
      <c r="I222" s="20">
        <v>0</v>
      </c>
      <c r="J222" s="20">
        <v>0</v>
      </c>
      <c r="K222" s="20">
        <v>0</v>
      </c>
      <c r="M222" s="20">
        <v>0</v>
      </c>
      <c r="N222" s="20">
        <v>1</v>
      </c>
      <c r="O222" s="21">
        <v>0</v>
      </c>
      <c r="P222" s="20">
        <v>0</v>
      </c>
      <c r="Q222" s="21">
        <v>0</v>
      </c>
      <c r="R222" s="21">
        <v>0</v>
      </c>
      <c r="S222" s="20"/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F222" s="22">
        <v>1</v>
      </c>
      <c r="AG222" s="10">
        <v>140</v>
      </c>
      <c r="AH222" s="10"/>
      <c r="AQ222">
        <v>0</v>
      </c>
      <c r="AR222">
        <v>0</v>
      </c>
      <c r="AS222">
        <v>0</v>
      </c>
      <c r="AT222">
        <v>0</v>
      </c>
    </row>
    <row r="223" spans="1:46" x14ac:dyDescent="0.15">
      <c r="A223" s="21">
        <v>2701</v>
      </c>
      <c r="B223" s="21">
        <v>8</v>
      </c>
      <c r="C223" s="21">
        <v>1</v>
      </c>
      <c r="D223" s="21" t="s">
        <v>670</v>
      </c>
      <c r="E223" s="10">
        <v>0</v>
      </c>
      <c r="F223" s="2">
        <f>IFERROR(ROUNDUP(VLOOKUP(T223,CHOOSE({1,2},[5]D_怪物表!$I$1:$I$1120,[5]D_怪物表!$AH$1:$AH$1120),2,FALSE),0),0)</f>
        <v>0</v>
      </c>
      <c r="G223" s="20">
        <v>2</v>
      </c>
      <c r="H223" s="20">
        <v>2</v>
      </c>
      <c r="I223" s="20">
        <v>0</v>
      </c>
      <c r="J223" s="20">
        <v>0</v>
      </c>
      <c r="K223" s="20">
        <v>0</v>
      </c>
      <c r="M223" s="20">
        <v>0</v>
      </c>
      <c r="N223" s="20">
        <v>1</v>
      </c>
      <c r="O223" s="21">
        <v>0</v>
      </c>
      <c r="P223" s="20">
        <v>0</v>
      </c>
      <c r="Q223" s="21">
        <v>0</v>
      </c>
      <c r="R223" s="21">
        <v>0</v>
      </c>
      <c r="S223" s="20"/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F223" s="22">
        <v>2</v>
      </c>
      <c r="AG223" s="10">
        <v>140</v>
      </c>
      <c r="AH223" s="10">
        <v>140</v>
      </c>
      <c r="AQ223">
        <v>0</v>
      </c>
      <c r="AR223">
        <v>0</v>
      </c>
      <c r="AS223">
        <v>0</v>
      </c>
      <c r="AT223">
        <v>0</v>
      </c>
    </row>
    <row r="224" spans="1:46" x14ac:dyDescent="0.15">
      <c r="T224" s="11"/>
    </row>
    <row r="225" spans="20:20" x14ac:dyDescent="0.15">
      <c r="T225" s="11"/>
    </row>
    <row r="226" spans="20:20" x14ac:dyDescent="0.15">
      <c r="T226" s="11"/>
    </row>
  </sheetData>
  <phoneticPr fontId="1" type="noConversion"/>
  <conditionalFormatting sqref="L209">
    <cfRule type="duplicateValues" dxfId="217" priority="263" stopIfTrue="1"/>
  </conditionalFormatting>
  <conditionalFormatting sqref="L210">
    <cfRule type="duplicateValues" dxfId="216" priority="262" stopIfTrue="1"/>
  </conditionalFormatting>
  <conditionalFormatting sqref="L211:L214">
    <cfRule type="duplicateValues" dxfId="215" priority="261" stopIfTrue="1"/>
  </conditionalFormatting>
  <conditionalFormatting sqref="L215">
    <cfRule type="duplicateValues" dxfId="214" priority="260" stopIfTrue="1"/>
  </conditionalFormatting>
  <conditionalFormatting sqref="L216">
    <cfRule type="duplicateValues" dxfId="213" priority="259" stopIfTrue="1"/>
  </conditionalFormatting>
  <conditionalFormatting sqref="L217">
    <cfRule type="duplicateValues" dxfId="212" priority="258" stopIfTrue="1"/>
  </conditionalFormatting>
  <conditionalFormatting sqref="L168:L176">
    <cfRule type="duplicateValues" dxfId="211" priority="256" stopIfTrue="1"/>
  </conditionalFormatting>
  <conditionalFormatting sqref="O221 Q221:R221 A84:E84 A75:D80 A66:D71 A63:A65 A72:A74 A81:A83 A147:D152 A135:A137 A144:A146 A153:A155 A138:D143 Q138:S143 Q147:S152 A61:D62 G66:O71 G75:O80 G138:H143 G147:H152 A85:D89 J147:O152 J138:O143 A3:AP11 A39:S39 E57:F89 A57:E60 G57:O62 P57:P83 B13:S16 A13:A19 A25:A29 B35:Q35 A35:A38 B44:Q44 A44:A47 B53:Q53 A53:A56 B25:S26 A102:H107 A111:H116 E129:E155 J129:O134 G129:H134 A129:D134 Q129:S134 A90:A92 A99:A101 A108:A110 A117:A119 A126:A128 P91 A12:S12 X12:AP16 V12:V19 A20:S20 A22:S24 A30:Q34 Y39:AP44 Y48:AP53 Y57:AP62 Y75:AP80 Y66:AP71 V22:V83 X30:AP30 X20:AP26 W12:W83 X31:X83 U12:U16 T12:T19 U20 A21:V21 U30:U35 U22:U26 U39:U44 U48:U53 U57:U62 U66:U71 U75:U80 U129:U134 U120:U125 U111:U116 U102:U107 U93:U98 G84:H89 U85:U89 U147:U152 U138:U143 T22:T155 Y138:AP143 Y147:AP152 X85:AP89 X93:AP98 X102:AP102 Y111:AP116 Y120:AP125 Y129:AP134 V85:W155 X103:X155 Q57:Q62 A48:Q52 Y31:AP35 Y103:AP107 S57:S62 S48:S53 A40:Q43 S40:S44 Q66:Q71 Q75:Q80 S75:S80 S66:S71 R40:R83 S30:S35 A120:H125 A93:H98 Q120:S125 Q111:S116 Q102:S107 A223:D223 AF222:AF223 F129:F223 A156:E220 J93:S98 J120:O125 J85:S89 J111:O116 J102:O107 J84:AP84 I84:I167 G156:AP220">
    <cfRule type="expression" dxfId="210" priority="255">
      <formula>$B3=1</formula>
    </cfRule>
  </conditionalFormatting>
  <conditionalFormatting sqref="O221 Q221:R221 A84:E84 A75:D80 A66:D71 A63:A65 A72:A74 A81:A83 A147:D152 A135:A137 A144:A146 A153:A155 A138:D143 Q138:S143 Q147:S152 A61:D62 G66:O71 G75:O80 G138:H143 G147:H152 A85:D89 J147:O152 J138:O143 A3:AP11 A39:S39 E57:F89 A57:E60 G57:O62 P57:P83 B13:S16 A13:A19 A25:A29 B35:Q35 A35:A38 B44:Q44 A44:A47 B53:Q53 A53:A56 B25:S26 A102:H107 A111:H116 E129:E155 J129:O134 G129:H134 A129:D134 Q129:S134 A90:A92 A99:A101 A108:A110 A117:A119 A126:A128 P91 A12:S12 X12:AP16 V12:V19 A20:S20 A22:S24 A30:Q34 Y39:AP44 Y48:AP53 Y57:AP62 Y75:AP80 Y66:AP71 V22:V83 X30:AP30 X20:AP26 W12:W83 X31:X83 U12:U16 T12:T19 U20 A21:V21 U30:U35 U22:U26 U39:U44 U48:U53 U57:U62 U66:U71 U75:U80 U129:U134 U120:U125 U111:U116 U102:U107 U93:U98 G84:H89 U85:U89 U147:U152 U138:U143 T22:T155 Y138:AP143 Y147:AP152 X85:AP89 X93:AP98 X102:AP102 Y111:AP116 Y120:AP125 Y129:AP134 V85:W155 X103:X155 Q57:Q62 A48:Q52 Y31:AP35 Y103:AP107 S57:S62 S48:S53 A40:Q43 S40:S44 Q66:Q71 Q75:Q80 S75:S80 S66:S71 R40:R83 S30:S35 A120:H125 A93:H98 Q120:S125 Q111:S116 Q102:S107 A223:D223 AF222:AF223 F129:F223 A156:E220 J93:S98 J120:O125 J85:S89 J111:O116 J102:O107 J84:AP84 I84:I167 G156:AP220">
    <cfRule type="expression" dxfId="209" priority="250">
      <formula>$B3=6</formula>
    </cfRule>
    <cfRule type="expression" dxfId="208" priority="251">
      <formula>$B3=5</formula>
    </cfRule>
    <cfRule type="expression" dxfId="207" priority="252">
      <formula>$B3=4</formula>
    </cfRule>
    <cfRule type="expression" dxfId="206" priority="253">
      <formula>$B3=3</formula>
    </cfRule>
    <cfRule type="expression" dxfId="205" priority="254">
      <formula>$B3=2</formula>
    </cfRule>
  </conditionalFormatting>
  <conditionalFormatting sqref="S2:T11 S84:T84 S75:S80 S138:S143 S147:S152 E223:E1048576 S224:T1048576 E1:E16 E20:E26 E30:E35 E39:E44 S39:S44 E48:E53 E57:E89 S57:S62 S30:S35 S48:S53 E93:E98 S93:S98 S102:S107 E102:E107 E111:E116 S111:S116 S120:S125 E120:E125 S129:S134 S12:S16 T12:T19 S20 S21:T21 S22:S26 S66:S71 S85:S89 T22:T155 E129:E221 S156:T221">
    <cfRule type="expression" dxfId="204" priority="237">
      <formula>TRUE</formula>
    </cfRule>
  </conditionalFormatting>
  <conditionalFormatting sqref="T221 T224:T226">
    <cfRule type="expression" dxfId="203" priority="229">
      <formula>$B221=1</formula>
    </cfRule>
  </conditionalFormatting>
  <conditionalFormatting sqref="T221 T224:T226">
    <cfRule type="expression" dxfId="202" priority="224">
      <formula>$B221=6</formula>
    </cfRule>
    <cfRule type="expression" dxfId="201" priority="225">
      <formula>$B221=5</formula>
    </cfRule>
    <cfRule type="expression" dxfId="200" priority="226">
      <formula>$B221=4</formula>
    </cfRule>
    <cfRule type="expression" dxfId="199" priority="227">
      <formula>$B221=3</formula>
    </cfRule>
    <cfRule type="expression" dxfId="198" priority="228">
      <formula>$B221=2</formula>
    </cfRule>
  </conditionalFormatting>
  <conditionalFormatting sqref="T209:T214">
    <cfRule type="expression" dxfId="197" priority="223">
      <formula>$B209=1</formula>
    </cfRule>
  </conditionalFormatting>
  <conditionalFormatting sqref="T209:T214">
    <cfRule type="expression" dxfId="196" priority="218">
      <formula>$B209=6</formula>
    </cfRule>
    <cfRule type="expression" dxfId="195" priority="219">
      <formula>$B209=5</formula>
    </cfRule>
    <cfRule type="expression" dxfId="194" priority="220">
      <formula>$B209=4</formula>
    </cfRule>
    <cfRule type="expression" dxfId="193" priority="221">
      <formula>$B209=3</formula>
    </cfRule>
    <cfRule type="expression" dxfId="192" priority="222">
      <formula>$B209=2</formula>
    </cfRule>
  </conditionalFormatting>
  <conditionalFormatting sqref="B72:D74 Q72:Q74 U72:U74 G72:O74 S72:S74 Y72:AF74 AK72:AP74">
    <cfRule type="expression" dxfId="191" priority="203">
      <formula>$B72=1</formula>
    </cfRule>
  </conditionalFormatting>
  <conditionalFormatting sqref="B72:D74 Q72:Q74 U72:U74 G72:O74 S72:S74 Y72:AF74 AK72:AP74">
    <cfRule type="expression" dxfId="190" priority="198">
      <formula>$B72=6</formula>
    </cfRule>
    <cfRule type="expression" dxfId="189" priority="199">
      <formula>$B72=5</formula>
    </cfRule>
    <cfRule type="expression" dxfId="188" priority="200">
      <formula>$B72=4</formula>
    </cfRule>
    <cfRule type="expression" dxfId="187" priority="201">
      <formula>$B72=3</formula>
    </cfRule>
    <cfRule type="expression" dxfId="186" priority="202">
      <formula>$B72=2</formula>
    </cfRule>
  </conditionalFormatting>
  <conditionalFormatting sqref="S72:S74">
    <cfRule type="expression" dxfId="185" priority="197">
      <formula>TRUE</formula>
    </cfRule>
  </conditionalFormatting>
  <conditionalFormatting sqref="B81:D83 Q81:Q83 U81:U83 Y81:AF83 G81:O83 S81:S83 AK81:AP83">
    <cfRule type="expression" dxfId="184" priority="196">
      <formula>$B81=1</formula>
    </cfRule>
  </conditionalFormatting>
  <conditionalFormatting sqref="B81:D83 Q81:Q83 U81:U83 Y81:AF83 G81:O83 S81:S83 AK81:AP83">
    <cfRule type="expression" dxfId="183" priority="191">
      <formula>$B81=6</formula>
    </cfRule>
    <cfRule type="expression" dxfId="182" priority="192">
      <formula>$B81=5</formula>
    </cfRule>
    <cfRule type="expression" dxfId="181" priority="193">
      <formula>$B81=4</formula>
    </cfRule>
    <cfRule type="expression" dxfId="180" priority="194">
      <formula>$B81=3</formula>
    </cfRule>
    <cfRule type="expression" dxfId="179" priority="195">
      <formula>$B81=2</formula>
    </cfRule>
  </conditionalFormatting>
  <conditionalFormatting sqref="S81:S83">
    <cfRule type="expression" dxfId="178" priority="190">
      <formula>TRUE</formula>
    </cfRule>
  </conditionalFormatting>
  <conditionalFormatting sqref="B63:D65 Q63:Q65 U63:U65 G63:O65 S63:S65 Y63:AP65">
    <cfRule type="expression" dxfId="177" priority="189">
      <formula>$B63=1</formula>
    </cfRule>
  </conditionalFormatting>
  <conditionalFormatting sqref="B63:D65 Q63:Q65 U63:U65 G63:O65 S63:S65 Y63:AP65">
    <cfRule type="expression" dxfId="176" priority="184">
      <formula>$B63=6</formula>
    </cfRule>
    <cfRule type="expression" dxfId="175" priority="185">
      <formula>$B63=5</formula>
    </cfRule>
    <cfRule type="expression" dxfId="174" priority="186">
      <formula>$B63=4</formula>
    </cfRule>
    <cfRule type="expression" dxfId="173" priority="187">
      <formula>$B63=3</formula>
    </cfRule>
    <cfRule type="expression" dxfId="172" priority="188">
      <formula>$B63=2</formula>
    </cfRule>
  </conditionalFormatting>
  <conditionalFormatting sqref="S63:S65">
    <cfRule type="expression" dxfId="171" priority="183">
      <formula>TRUE</formula>
    </cfRule>
  </conditionalFormatting>
  <conditionalFormatting sqref="B135:D137 Q135:S137 U135:U137 G135:H137 J135:O137 Y135:AF137 AJ135:AP137">
    <cfRule type="expression" dxfId="170" priority="182">
      <formula>$B135=1</formula>
    </cfRule>
  </conditionalFormatting>
  <conditionalFormatting sqref="B135:D137 Q135:S137 U135:U137 G135:H137 J135:O137 Y135:AF137 AJ135:AP137">
    <cfRule type="expression" dxfId="169" priority="177">
      <formula>$B135=6</formula>
    </cfRule>
    <cfRule type="expression" dxfId="168" priority="178">
      <formula>$B135=5</formula>
    </cfRule>
    <cfRule type="expression" dxfId="167" priority="179">
      <formula>$B135=4</formula>
    </cfRule>
    <cfRule type="expression" dxfId="166" priority="180">
      <formula>$B135=3</formula>
    </cfRule>
    <cfRule type="expression" dxfId="165" priority="181">
      <formula>$B135=2</formula>
    </cfRule>
  </conditionalFormatting>
  <conditionalFormatting sqref="S135:S137">
    <cfRule type="expression" dxfId="164" priority="176">
      <formula>TRUE</formula>
    </cfRule>
  </conditionalFormatting>
  <conditionalFormatting sqref="B144:D146 Q144:S146 U144:U146 G144:H146 J144:O146 Y144:AF146 AJ144:AP146">
    <cfRule type="expression" dxfId="163" priority="175">
      <formula>$B144=1</formula>
    </cfRule>
  </conditionalFormatting>
  <conditionalFormatting sqref="B144:D146 Q144:S146 U144:U146 G144:H146 J144:O146 Y144:AF146 AJ144:AP146">
    <cfRule type="expression" dxfId="162" priority="170">
      <formula>$B144=6</formula>
    </cfRule>
    <cfRule type="expression" dxfId="161" priority="171">
      <formula>$B144=5</formula>
    </cfRule>
    <cfRule type="expression" dxfId="160" priority="172">
      <formula>$B144=4</formula>
    </cfRule>
    <cfRule type="expression" dxfId="159" priority="173">
      <formula>$B144=3</formula>
    </cfRule>
    <cfRule type="expression" dxfId="158" priority="174">
      <formula>$B144=2</formula>
    </cfRule>
  </conditionalFormatting>
  <conditionalFormatting sqref="S144:S146">
    <cfRule type="expression" dxfId="157" priority="169">
      <formula>TRUE</formula>
    </cfRule>
  </conditionalFormatting>
  <conditionalFormatting sqref="B153:D155 Q153:S155 U153:U155 Y153:AP153 G153:H155 J153:O155 Y154:AF155 AJ154:AP155">
    <cfRule type="expression" dxfId="156" priority="168">
      <formula>$B153=1</formula>
    </cfRule>
  </conditionalFormatting>
  <conditionalFormatting sqref="B153:D155 Q153:S155 U153:U155 Y153:AP153 G153:H155 J153:O155 Y154:AF155 AJ154:AP155">
    <cfRule type="expression" dxfId="155" priority="163">
      <formula>$B153=6</formula>
    </cfRule>
    <cfRule type="expression" dxfId="154" priority="164">
      <formula>$B153=5</formula>
    </cfRule>
    <cfRule type="expression" dxfId="153" priority="165">
      <formula>$B153=4</formula>
    </cfRule>
    <cfRule type="expression" dxfId="152" priority="166">
      <formula>$B153=3</formula>
    </cfRule>
    <cfRule type="expression" dxfId="151" priority="167">
      <formula>$B153=2</formula>
    </cfRule>
  </conditionalFormatting>
  <conditionalFormatting sqref="S153:S155">
    <cfRule type="expression" dxfId="150" priority="162">
      <formula>TRUE</formula>
    </cfRule>
  </conditionalFormatting>
  <conditionalFormatting sqref="O222:O223 Q222:R223">
    <cfRule type="expression" dxfId="149" priority="161">
      <formula>$B222=1</formula>
    </cfRule>
  </conditionalFormatting>
  <conditionalFormatting sqref="O222:O223 Q222:R223">
    <cfRule type="expression" dxfId="148" priority="156">
      <formula>$B222=6</formula>
    </cfRule>
    <cfRule type="expression" dxfId="147" priority="157">
      <formula>$B222=5</formula>
    </cfRule>
    <cfRule type="expression" dxfId="146" priority="158">
      <formula>$B222=4</formula>
    </cfRule>
    <cfRule type="expression" dxfId="145" priority="159">
      <formula>$B222=3</formula>
    </cfRule>
    <cfRule type="expression" dxfId="144" priority="160">
      <formula>$B222=2</formula>
    </cfRule>
  </conditionalFormatting>
  <conditionalFormatting sqref="E222 S222:T223">
    <cfRule type="expression" dxfId="143" priority="155">
      <formula>TRUE</formula>
    </cfRule>
  </conditionalFormatting>
  <conditionalFormatting sqref="T222:T223">
    <cfRule type="expression" dxfId="142" priority="154">
      <formula>$B222=1</formula>
    </cfRule>
  </conditionalFormatting>
  <conditionalFormatting sqref="T222:T223">
    <cfRule type="expression" dxfId="141" priority="149">
      <formula>$B222=6</formula>
    </cfRule>
    <cfRule type="expression" dxfId="140" priority="150">
      <formula>$B222=5</formula>
    </cfRule>
    <cfRule type="expression" dxfId="139" priority="151">
      <formula>$B222=4</formula>
    </cfRule>
    <cfRule type="expression" dxfId="138" priority="152">
      <formula>$B222=3</formula>
    </cfRule>
    <cfRule type="expression" dxfId="137" priority="153">
      <formula>$B222=2</formula>
    </cfRule>
  </conditionalFormatting>
  <conditionalFormatting sqref="AG135:AI135">
    <cfRule type="expression" dxfId="136" priority="142">
      <formula>$B135=1</formula>
    </cfRule>
  </conditionalFormatting>
  <conditionalFormatting sqref="AG135:AI135">
    <cfRule type="expression" dxfId="135" priority="137">
      <formula>$B135=6</formula>
    </cfRule>
    <cfRule type="expression" dxfId="134" priority="138">
      <formula>$B135=5</formula>
    </cfRule>
    <cfRule type="expression" dxfId="133" priority="139">
      <formula>$B135=4</formula>
    </cfRule>
    <cfRule type="expression" dxfId="132" priority="140">
      <formula>$B135=3</formula>
    </cfRule>
    <cfRule type="expression" dxfId="131" priority="141">
      <formula>$B135=2</formula>
    </cfRule>
  </conditionalFormatting>
  <conditionalFormatting sqref="AG136:AI136">
    <cfRule type="expression" dxfId="130" priority="136">
      <formula>$B136=1</formula>
    </cfRule>
  </conditionalFormatting>
  <conditionalFormatting sqref="AG136:AI136">
    <cfRule type="expression" dxfId="129" priority="131">
      <formula>$B136=6</formula>
    </cfRule>
    <cfRule type="expression" dxfId="128" priority="132">
      <formula>$B136=5</formula>
    </cfRule>
    <cfRule type="expression" dxfId="127" priority="133">
      <formula>$B136=4</formula>
    </cfRule>
    <cfRule type="expression" dxfId="126" priority="134">
      <formula>$B136=3</formula>
    </cfRule>
    <cfRule type="expression" dxfId="125" priority="135">
      <formula>$B136=2</formula>
    </cfRule>
  </conditionalFormatting>
  <conditionalFormatting sqref="AG137:AI137">
    <cfRule type="expression" dxfId="124" priority="130">
      <formula>$B137=1</formula>
    </cfRule>
  </conditionalFormatting>
  <conditionalFormatting sqref="AG137:AI137">
    <cfRule type="expression" dxfId="123" priority="125">
      <formula>$B137=6</formula>
    </cfRule>
    <cfRule type="expression" dxfId="122" priority="126">
      <formula>$B137=5</formula>
    </cfRule>
    <cfRule type="expression" dxfId="121" priority="127">
      <formula>$B137=4</formula>
    </cfRule>
    <cfRule type="expression" dxfId="120" priority="128">
      <formula>$B137=3</formula>
    </cfRule>
    <cfRule type="expression" dxfId="119" priority="129">
      <formula>$B137=2</formula>
    </cfRule>
  </conditionalFormatting>
  <conditionalFormatting sqref="AG146:AI146">
    <cfRule type="expression" dxfId="118" priority="124">
      <formula>$B146=1</formula>
    </cfRule>
  </conditionalFormatting>
  <conditionalFormatting sqref="AG146:AI146">
    <cfRule type="expression" dxfId="117" priority="119">
      <formula>$B146=6</formula>
    </cfRule>
    <cfRule type="expression" dxfId="116" priority="120">
      <formula>$B146=5</formula>
    </cfRule>
    <cfRule type="expression" dxfId="115" priority="121">
      <formula>$B146=4</formula>
    </cfRule>
    <cfRule type="expression" dxfId="114" priority="122">
      <formula>$B146=3</formula>
    </cfRule>
    <cfRule type="expression" dxfId="113" priority="123">
      <formula>$B146=2</formula>
    </cfRule>
  </conditionalFormatting>
  <conditionalFormatting sqref="AG145:AI145">
    <cfRule type="expression" dxfId="112" priority="118">
      <formula>$B145=1</formula>
    </cfRule>
  </conditionalFormatting>
  <conditionalFormatting sqref="AG145:AI145">
    <cfRule type="expression" dxfId="111" priority="113">
      <formula>$B145=6</formula>
    </cfRule>
    <cfRule type="expression" dxfId="110" priority="114">
      <formula>$B145=5</formula>
    </cfRule>
    <cfRule type="expression" dxfId="109" priority="115">
      <formula>$B145=4</formula>
    </cfRule>
    <cfRule type="expression" dxfId="108" priority="116">
      <formula>$B145=3</formula>
    </cfRule>
    <cfRule type="expression" dxfId="107" priority="117">
      <formula>$B145=2</formula>
    </cfRule>
  </conditionalFormatting>
  <conditionalFormatting sqref="AG144:AI144">
    <cfRule type="expression" dxfId="106" priority="112">
      <formula>$B144=1</formula>
    </cfRule>
  </conditionalFormatting>
  <conditionalFormatting sqref="AG144:AI144">
    <cfRule type="expression" dxfId="105" priority="107">
      <formula>$B144=6</formula>
    </cfRule>
    <cfRule type="expression" dxfId="104" priority="108">
      <formula>$B144=5</formula>
    </cfRule>
    <cfRule type="expression" dxfId="103" priority="109">
      <formula>$B144=4</formula>
    </cfRule>
    <cfRule type="expression" dxfId="102" priority="110">
      <formula>$B144=3</formula>
    </cfRule>
    <cfRule type="expression" dxfId="101" priority="111">
      <formula>$B144=2</formula>
    </cfRule>
  </conditionalFormatting>
  <conditionalFormatting sqref="AG154:AI155">
    <cfRule type="expression" dxfId="100" priority="106">
      <formula>$B154=1</formula>
    </cfRule>
  </conditionalFormatting>
  <conditionalFormatting sqref="AG154:AI155">
    <cfRule type="expression" dxfId="99" priority="101">
      <formula>$B154=6</formula>
    </cfRule>
    <cfRule type="expression" dxfId="98" priority="102">
      <formula>$B154=5</formula>
    </cfRule>
    <cfRule type="expression" dxfId="97" priority="103">
      <formula>$B154=4</formula>
    </cfRule>
    <cfRule type="expression" dxfId="96" priority="104">
      <formula>$B154=3</formula>
    </cfRule>
    <cfRule type="expression" dxfId="95" priority="105">
      <formula>$B154=2</formula>
    </cfRule>
  </conditionalFormatting>
  <conditionalFormatting sqref="AG72:AJ72">
    <cfRule type="expression" dxfId="94" priority="100">
      <formula>$B72=1</formula>
    </cfRule>
  </conditionalFormatting>
  <conditionalFormatting sqref="AG72:AJ72">
    <cfRule type="expression" dxfId="93" priority="95">
      <formula>$B72=6</formula>
    </cfRule>
    <cfRule type="expression" dxfId="92" priority="96">
      <formula>$B72=5</formula>
    </cfRule>
    <cfRule type="expression" dxfId="91" priority="97">
      <formula>$B72=4</formula>
    </cfRule>
    <cfRule type="expression" dxfId="90" priority="98">
      <formula>$B72=3</formula>
    </cfRule>
    <cfRule type="expression" dxfId="89" priority="99">
      <formula>$B72=2</formula>
    </cfRule>
  </conditionalFormatting>
  <conditionalFormatting sqref="AG73:AJ73">
    <cfRule type="expression" dxfId="88" priority="94">
      <formula>$B73=1</formula>
    </cfRule>
  </conditionalFormatting>
  <conditionalFormatting sqref="AG73:AJ73">
    <cfRule type="expression" dxfId="87" priority="89">
      <formula>$B73=6</formula>
    </cfRule>
    <cfRule type="expression" dxfId="86" priority="90">
      <formula>$B73=5</formula>
    </cfRule>
    <cfRule type="expression" dxfId="85" priority="91">
      <formula>$B73=4</formula>
    </cfRule>
    <cfRule type="expression" dxfId="84" priority="92">
      <formula>$B73=3</formula>
    </cfRule>
    <cfRule type="expression" dxfId="83" priority="93">
      <formula>$B73=2</formula>
    </cfRule>
  </conditionalFormatting>
  <conditionalFormatting sqref="AG74:AJ74">
    <cfRule type="expression" dxfId="82" priority="88">
      <formula>$B74=1</formula>
    </cfRule>
  </conditionalFormatting>
  <conditionalFormatting sqref="AG74:AJ74">
    <cfRule type="expression" dxfId="81" priority="83">
      <formula>$B74=6</formula>
    </cfRule>
    <cfRule type="expression" dxfId="80" priority="84">
      <formula>$B74=5</formula>
    </cfRule>
    <cfRule type="expression" dxfId="79" priority="85">
      <formula>$B74=4</formula>
    </cfRule>
    <cfRule type="expression" dxfId="78" priority="86">
      <formula>$B74=3</formula>
    </cfRule>
    <cfRule type="expression" dxfId="77" priority="87">
      <formula>$B74=2</formula>
    </cfRule>
  </conditionalFormatting>
  <conditionalFormatting sqref="AG81:AJ83">
    <cfRule type="expression" dxfId="76" priority="82">
      <formula>$B81=1</formula>
    </cfRule>
  </conditionalFormatting>
  <conditionalFormatting sqref="AG81:AJ83">
    <cfRule type="expression" dxfId="75" priority="77">
      <formula>$B81=6</formula>
    </cfRule>
    <cfRule type="expression" dxfId="74" priority="78">
      <formula>$B81=5</formula>
    </cfRule>
    <cfRule type="expression" dxfId="73" priority="79">
      <formula>$B81=4</formula>
    </cfRule>
    <cfRule type="expression" dxfId="72" priority="80">
      <formula>$B81=3</formula>
    </cfRule>
    <cfRule type="expression" dxfId="71" priority="81">
      <formula>$B81=2</formula>
    </cfRule>
  </conditionalFormatting>
  <conditionalFormatting sqref="B17:S19 U17:U19 X17:AP19">
    <cfRule type="expression" dxfId="70" priority="76">
      <formula>$B17=1</formula>
    </cfRule>
  </conditionalFormatting>
  <conditionalFormatting sqref="B17:S19 U17:U19 X17:AP19">
    <cfRule type="expression" dxfId="69" priority="71">
      <formula>$B17=6</formula>
    </cfRule>
    <cfRule type="expression" dxfId="68" priority="72">
      <formula>$B17=5</formula>
    </cfRule>
    <cfRule type="expression" dxfId="67" priority="73">
      <formula>$B17=4</formula>
    </cfRule>
    <cfRule type="expression" dxfId="66" priority="74">
      <formula>$B17=3</formula>
    </cfRule>
    <cfRule type="expression" dxfId="65" priority="75">
      <formula>$B17=2</formula>
    </cfRule>
  </conditionalFormatting>
  <conditionalFormatting sqref="S17:S19 E17:E19">
    <cfRule type="expression" dxfId="64" priority="70">
      <formula>TRUE</formula>
    </cfRule>
  </conditionalFormatting>
  <conditionalFormatting sqref="B27:S29 U27:U29 X27:AP29 R30:R38">
    <cfRule type="expression" dxfId="63" priority="69">
      <formula>$B27=1</formula>
    </cfRule>
  </conditionalFormatting>
  <conditionalFormatting sqref="B27:S29 U27:U29 X27:AP29 R30:R38">
    <cfRule type="expression" dxfId="62" priority="64">
      <formula>$B27=6</formula>
    </cfRule>
    <cfRule type="expression" dxfId="61" priority="65">
      <formula>$B27=5</formula>
    </cfRule>
    <cfRule type="expression" dxfId="60" priority="66">
      <formula>$B27=4</formula>
    </cfRule>
    <cfRule type="expression" dxfId="59" priority="67">
      <formula>$B27=3</formula>
    </cfRule>
    <cfRule type="expression" dxfId="58" priority="68">
      <formula>$B27=2</formula>
    </cfRule>
  </conditionalFormatting>
  <conditionalFormatting sqref="E27:E29 S27:S29">
    <cfRule type="expression" dxfId="57" priority="63">
      <formula>TRUE</formula>
    </cfRule>
  </conditionalFormatting>
  <conditionalFormatting sqref="B36:Q38 U36:U38 Y36:AP38 S36:S38">
    <cfRule type="expression" dxfId="56" priority="62">
      <formula>$B36=1</formula>
    </cfRule>
  </conditionalFormatting>
  <conditionalFormatting sqref="B36:Q38 U36:U38 Y36:AP38 S36:S38">
    <cfRule type="expression" dxfId="55" priority="57">
      <formula>$B36=6</formula>
    </cfRule>
    <cfRule type="expression" dxfId="54" priority="58">
      <formula>$B36=5</formula>
    </cfRule>
    <cfRule type="expression" dxfId="53" priority="59">
      <formula>$B36=4</formula>
    </cfRule>
    <cfRule type="expression" dxfId="52" priority="60">
      <formula>$B36=3</formula>
    </cfRule>
    <cfRule type="expression" dxfId="51" priority="61">
      <formula>$B36=2</formula>
    </cfRule>
  </conditionalFormatting>
  <conditionalFormatting sqref="S36:S38 E36:E38">
    <cfRule type="expression" dxfId="50" priority="56">
      <formula>TRUE</formula>
    </cfRule>
  </conditionalFormatting>
  <conditionalFormatting sqref="B45:Q47 U45:U47 Y45:AP47 S45:S47">
    <cfRule type="expression" dxfId="49" priority="55">
      <formula>$B45=1</formula>
    </cfRule>
  </conditionalFormatting>
  <conditionalFormatting sqref="B45:Q47 U45:U47 Y45:AP47 S45:S47">
    <cfRule type="expression" dxfId="48" priority="50">
      <formula>$B45=6</formula>
    </cfRule>
    <cfRule type="expression" dxfId="47" priority="51">
      <formula>$B45=5</formula>
    </cfRule>
    <cfRule type="expression" dxfId="46" priority="52">
      <formula>$B45=4</formula>
    </cfRule>
    <cfRule type="expression" dxfId="45" priority="53">
      <formula>$B45=3</formula>
    </cfRule>
    <cfRule type="expression" dxfId="44" priority="54">
      <formula>$B45=2</formula>
    </cfRule>
  </conditionalFormatting>
  <conditionalFormatting sqref="E45:E47 S45:S47">
    <cfRule type="expression" dxfId="43" priority="49">
      <formula>TRUE</formula>
    </cfRule>
  </conditionalFormatting>
  <conditionalFormatting sqref="B54:Q56 U54:U56 Y54:AP56 S54:S56">
    <cfRule type="expression" dxfId="42" priority="48">
      <formula>$B54=1</formula>
    </cfRule>
  </conditionalFormatting>
  <conditionalFormatting sqref="B54:Q56 U54:U56 Y54:AP56 S54:S56">
    <cfRule type="expression" dxfId="41" priority="43">
      <formula>$B54=6</formula>
    </cfRule>
    <cfRule type="expression" dxfId="40" priority="44">
      <formula>$B54=5</formula>
    </cfRule>
    <cfRule type="expression" dxfId="39" priority="45">
      <formula>$B54=4</formula>
    </cfRule>
    <cfRule type="expression" dxfId="38" priority="46">
      <formula>$B54=3</formula>
    </cfRule>
    <cfRule type="expression" dxfId="37" priority="47">
      <formula>$B54=2</formula>
    </cfRule>
  </conditionalFormatting>
  <conditionalFormatting sqref="E54:E56 S54:S56">
    <cfRule type="expression" dxfId="36" priority="42">
      <formula>TRUE</formula>
    </cfRule>
  </conditionalFormatting>
  <conditionalFormatting sqref="B90:H92 Q91:S92 P92 U90:U92 X90:AP92 J91:O92 J90:S90">
    <cfRule type="expression" dxfId="35" priority="41">
      <formula>$B90=1</formula>
    </cfRule>
  </conditionalFormatting>
  <conditionalFormatting sqref="B90:H92 Q91:S92 P92 U90:U92 X90:AP92 J91:O92 J90:S90">
    <cfRule type="expression" dxfId="34" priority="36">
      <formula>$B90=6</formula>
    </cfRule>
    <cfRule type="expression" dxfId="33" priority="37">
      <formula>$B90=5</formula>
    </cfRule>
    <cfRule type="expression" dxfId="32" priority="38">
      <formula>$B90=4</formula>
    </cfRule>
    <cfRule type="expression" dxfId="31" priority="39">
      <formula>$B90=3</formula>
    </cfRule>
    <cfRule type="expression" dxfId="30" priority="40">
      <formula>$B90=2</formula>
    </cfRule>
  </conditionalFormatting>
  <conditionalFormatting sqref="S90:S92 E90:E92">
    <cfRule type="expression" dxfId="29" priority="35">
      <formula>TRUE</formula>
    </cfRule>
  </conditionalFormatting>
  <conditionalFormatting sqref="B99:H101 U99:U101 X99:AP101 P102:P155 J99:S101">
    <cfRule type="expression" dxfId="28" priority="34">
      <formula>$B99=1</formula>
    </cfRule>
  </conditionalFormatting>
  <conditionalFormatting sqref="B99:H101 U99:U101 X99:AP101 P102:P155 J99:S101">
    <cfRule type="expression" dxfId="27" priority="29">
      <formula>$B99=6</formula>
    </cfRule>
    <cfRule type="expression" dxfId="26" priority="30">
      <formula>$B99=5</formula>
    </cfRule>
    <cfRule type="expression" dxfId="25" priority="31">
      <formula>$B99=4</formula>
    </cfRule>
    <cfRule type="expression" dxfId="24" priority="32">
      <formula>$B99=3</formula>
    </cfRule>
    <cfRule type="expression" dxfId="23" priority="33">
      <formula>$B99=2</formula>
    </cfRule>
  </conditionalFormatting>
  <conditionalFormatting sqref="E99:E101 S99:S101">
    <cfRule type="expression" dxfId="22" priority="28">
      <formula>TRUE</formula>
    </cfRule>
  </conditionalFormatting>
  <conditionalFormatting sqref="B108:H110 U108:U110 Y108:AP110 Q108:S110 J108:O110">
    <cfRule type="expression" dxfId="21" priority="27">
      <formula>$B108=1</formula>
    </cfRule>
  </conditionalFormatting>
  <conditionalFormatting sqref="B108:H110 U108:U110 Y108:AP110 Q108:S110 J108:O110">
    <cfRule type="expression" dxfId="20" priority="22">
      <formula>$B108=6</formula>
    </cfRule>
    <cfRule type="expression" dxfId="19" priority="23">
      <formula>$B108=5</formula>
    </cfRule>
    <cfRule type="expression" dxfId="18" priority="24">
      <formula>$B108=4</formula>
    </cfRule>
    <cfRule type="expression" dxfId="17" priority="25">
      <formula>$B108=3</formula>
    </cfRule>
    <cfRule type="expression" dxfId="16" priority="26">
      <formula>$B108=2</formula>
    </cfRule>
  </conditionalFormatting>
  <conditionalFormatting sqref="S108:S110 E108:E110">
    <cfRule type="expression" dxfId="15" priority="21">
      <formula>TRUE</formula>
    </cfRule>
  </conditionalFormatting>
  <conditionalFormatting sqref="B117:H119 U117:U119 Y117:AP119 Q117:S119 J117:O119">
    <cfRule type="expression" dxfId="14" priority="20">
      <formula>$B117=1</formula>
    </cfRule>
  </conditionalFormatting>
  <conditionalFormatting sqref="B117:H119 U117:U119 Y117:AP119 Q117:S119 J117:O119">
    <cfRule type="expression" dxfId="13" priority="15">
      <formula>$B117=6</formula>
    </cfRule>
    <cfRule type="expression" dxfId="12" priority="16">
      <formula>$B117=5</formula>
    </cfRule>
    <cfRule type="expression" dxfId="11" priority="17">
      <formula>$B117=4</formula>
    </cfRule>
    <cfRule type="expression" dxfId="10" priority="18">
      <formula>$B117=3</formula>
    </cfRule>
    <cfRule type="expression" dxfId="9" priority="19">
      <formula>$B117=2</formula>
    </cfRule>
  </conditionalFormatting>
  <conditionalFormatting sqref="E117:E119 S117:S119">
    <cfRule type="expression" dxfId="8" priority="14">
      <formula>TRUE</formula>
    </cfRule>
  </conditionalFormatting>
  <conditionalFormatting sqref="U126:U128 Y126:AP128 B126:H128 Q126:S128 J126:O128">
    <cfRule type="expression" dxfId="7" priority="13">
      <formula>$B126=1</formula>
    </cfRule>
  </conditionalFormatting>
  <conditionalFormatting sqref="U126:U128 Y126:AP128 B126:H128 Q126:S128 J126:O128">
    <cfRule type="expression" dxfId="6" priority="8">
      <formula>$B126=6</formula>
    </cfRule>
    <cfRule type="expression" dxfId="5" priority="9">
      <formula>$B126=5</formula>
    </cfRule>
    <cfRule type="expression" dxfId="4" priority="10">
      <formula>$B126=4</formula>
    </cfRule>
    <cfRule type="expression" dxfId="3" priority="11">
      <formula>$B126=3</formula>
    </cfRule>
    <cfRule type="expression" dxfId="2" priority="12">
      <formula>$B126=2</formula>
    </cfRule>
  </conditionalFormatting>
  <conditionalFormatting sqref="S126:S128 E126:E128">
    <cfRule type="expression" dxfId="1" priority="7">
      <formula>TRUE</formula>
    </cfRule>
  </conditionalFormatting>
  <conditionalFormatting sqref="L177:L181">
    <cfRule type="duplicateValues" dxfId="0" priority="264" stopIfTrue="1"/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1"/>
  <sheetViews>
    <sheetView workbookViewId="0">
      <selection activeCell="M2" sqref="M2:M81"/>
    </sheetView>
  </sheetViews>
  <sheetFormatPr defaultRowHeight="13.5" x14ac:dyDescent="0.15"/>
  <cols>
    <col min="3" max="3" width="16.125" bestFit="1" customWidth="1"/>
    <col min="5" max="5" width="13.875" bestFit="1" customWidth="1"/>
    <col min="7" max="7" width="17.25" bestFit="1" customWidth="1"/>
    <col min="9" max="9" width="20.5" bestFit="1" customWidth="1"/>
    <col min="10" max="10" width="12.75" style="24" bestFit="1" customWidth="1"/>
  </cols>
  <sheetData>
    <row r="1" spans="1:14" x14ac:dyDescent="0.15">
      <c r="A1" t="s">
        <v>507</v>
      </c>
      <c r="B1" t="s">
        <v>508</v>
      </c>
      <c r="C1" t="s">
        <v>509</v>
      </c>
      <c r="D1" t="s">
        <v>508</v>
      </c>
      <c r="E1" t="s">
        <v>509</v>
      </c>
      <c r="F1" t="s">
        <v>508</v>
      </c>
      <c r="G1" t="s">
        <v>509</v>
      </c>
      <c r="H1" t="s">
        <v>508</v>
      </c>
      <c r="I1" t="s">
        <v>509</v>
      </c>
      <c r="J1" s="24" t="s">
        <v>510</v>
      </c>
    </row>
    <row r="2" spans="1:14" x14ac:dyDescent="0.15">
      <c r="A2">
        <v>1</v>
      </c>
      <c r="B2">
        <v>2</v>
      </c>
      <c r="C2" s="23">
        <f>$A2^0.5*VLOOKUP(血条计算评估!B2,D_关卡怪物类型血条判断!$A$2:$B$5,2,FALSE)*500</f>
        <v>1000</v>
      </c>
      <c r="D2">
        <v>3</v>
      </c>
      <c r="E2" s="23">
        <f>$A2^0.5*VLOOKUP(血条计算评估!D2,D_关卡怪物类型血条判断!$A$2:$B$5,2,FALSE)*500</f>
        <v>1500</v>
      </c>
      <c r="F2">
        <v>4</v>
      </c>
      <c r="G2" s="23">
        <f>$A2^0.5*VLOOKUP(血条计算评估!F2,D_关卡怪物类型血条判断!$A$2:$B$5,2,FALSE)*500</f>
        <v>2000</v>
      </c>
      <c r="H2">
        <v>5</v>
      </c>
      <c r="I2" s="23">
        <f>$A2^0.5*VLOOKUP(血条计算评估!H2,D_关卡怪物类型血条判断!$A$2:$B$5,2,FALSE)*500</f>
        <v>2500</v>
      </c>
      <c r="J2" s="25">
        <f>[5]副本难度推算!M5</f>
        <v>267.49800000000005</v>
      </c>
      <c r="K2">
        <v>1</v>
      </c>
      <c r="L2">
        <f>J2/K2</f>
        <v>267.49800000000005</v>
      </c>
      <c r="M2">
        <f>4.0375*A2^2-18.324*A2+80</f>
        <v>65.713499999999996</v>
      </c>
      <c r="N2">
        <f>J2/M2</f>
        <v>4.0706704101896882</v>
      </c>
    </row>
    <row r="3" spans="1:14" x14ac:dyDescent="0.15">
      <c r="A3">
        <v>2</v>
      </c>
      <c r="B3">
        <v>2</v>
      </c>
      <c r="C3" s="23">
        <f>$A3^0.5*VLOOKUP(血条计算评估!B3,D_关卡怪物类型血条判断!$A$2:$B$5,2,FALSE)*500</f>
        <v>1414.2135623730951</v>
      </c>
      <c r="D3">
        <v>3</v>
      </c>
      <c r="E3" s="23">
        <f>$A3^0.5*VLOOKUP(血条计算评估!D3,D_关卡怪物类型血条判断!$A$2:$B$5,2,FALSE)*500</f>
        <v>2121.3203435596429</v>
      </c>
      <c r="F3">
        <v>4</v>
      </c>
      <c r="G3" s="23">
        <f>$A3^0.5*VLOOKUP(血条计算评估!F3,D_关卡怪物类型血条判断!$A$2:$B$5,2,FALSE)*500</f>
        <v>2828.4271247461902</v>
      </c>
      <c r="H3">
        <v>5</v>
      </c>
      <c r="I3" s="23">
        <f>$A3^0.5*VLOOKUP(血条计算评估!H3,D_关卡怪物类型血条判断!$A$2:$B$5,2,FALSE)*500</f>
        <v>3535.533905932738</v>
      </c>
      <c r="J3" s="25">
        <f>[5]副本难度推算!M6</f>
        <v>335.52698947247023</v>
      </c>
      <c r="M3">
        <f t="shared" ref="M3:M66" si="0">4.0375*A3^2-18.324*A3+80</f>
        <v>59.501999999999995</v>
      </c>
      <c r="N3">
        <f t="shared" ref="N3:N66" si="1">J3/M3</f>
        <v>5.6389195232508191</v>
      </c>
    </row>
    <row r="4" spans="1:14" x14ac:dyDescent="0.15">
      <c r="A4">
        <v>3</v>
      </c>
      <c r="B4">
        <v>2</v>
      </c>
      <c r="C4" s="23">
        <f>$A4^0.5*VLOOKUP(血条计算评估!B4,D_关卡怪物类型血条判断!$A$2:$B$5,2,FALSE)*500</f>
        <v>1732.0508075688772</v>
      </c>
      <c r="D4">
        <v>3</v>
      </c>
      <c r="E4" s="23">
        <f>$A4^0.5*VLOOKUP(血条计算评估!D4,D_关卡怪物类型血条判断!$A$2:$B$5,2,FALSE)*500</f>
        <v>2598.076211353316</v>
      </c>
      <c r="F4">
        <v>4</v>
      </c>
      <c r="G4" s="23">
        <f>$A4^0.5*VLOOKUP(血条计算评估!F4,D_关卡怪物类型血条判断!$A$2:$B$5,2,FALSE)*500</f>
        <v>3464.1016151377544</v>
      </c>
      <c r="H4">
        <v>5</v>
      </c>
      <c r="I4" s="23">
        <f>$A4^0.5*VLOOKUP(血条计算评估!H4,D_关卡怪物类型血条判断!$A$2:$B$5,2,FALSE)*500</f>
        <v>4330.1270189221932</v>
      </c>
      <c r="J4" s="25">
        <f>[5]副本难度推算!M7</f>
        <v>399.17105522470655</v>
      </c>
      <c r="M4">
        <f t="shared" si="0"/>
        <v>61.36549999999999</v>
      </c>
      <c r="N4">
        <f t="shared" si="1"/>
        <v>6.5048122352902951</v>
      </c>
    </row>
    <row r="5" spans="1:14" x14ac:dyDescent="0.15">
      <c r="A5">
        <v>4</v>
      </c>
      <c r="B5">
        <v>2</v>
      </c>
      <c r="C5" s="23">
        <f>$A5^0.5*VLOOKUP(血条计算评估!B5,D_关卡怪物类型血条判断!$A$2:$B$5,2,FALSE)*500</f>
        <v>2000</v>
      </c>
      <c r="D5">
        <v>3</v>
      </c>
      <c r="E5" s="23">
        <f>$A5^0.5*VLOOKUP(血条计算评估!D5,D_关卡怪物类型血条判断!$A$2:$B$5,2,FALSE)*500</f>
        <v>3000</v>
      </c>
      <c r="F5">
        <v>4</v>
      </c>
      <c r="G5" s="23">
        <f>$A5^0.5*VLOOKUP(血条计算评估!F5,D_关卡怪物类型血条判断!$A$2:$B$5,2,FALSE)*500</f>
        <v>4000</v>
      </c>
      <c r="H5">
        <v>5</v>
      </c>
      <c r="I5" s="23">
        <f>$A5^0.5*VLOOKUP(血条计算评估!H5,D_关卡怪物类型血条判断!$A$2:$B$5,2,FALSE)*500</f>
        <v>5000</v>
      </c>
      <c r="J5" s="25">
        <f>[5]副本难度推算!M8</f>
        <v>370.01076333953267</v>
      </c>
      <c r="M5">
        <f t="shared" si="0"/>
        <v>71.303999999999988</v>
      </c>
      <c r="N5">
        <f t="shared" si="1"/>
        <v>5.1892006526917527</v>
      </c>
    </row>
    <row r="6" spans="1:14" x14ac:dyDescent="0.15">
      <c r="A6">
        <v>5</v>
      </c>
      <c r="B6">
        <v>2</v>
      </c>
      <c r="C6" s="23">
        <f>$A6^0.5*VLOOKUP(血条计算评估!B6,D_关卡怪物类型血条判断!$A$2:$B$5,2,FALSE)*500</f>
        <v>2236.0679774997898</v>
      </c>
      <c r="D6">
        <v>3</v>
      </c>
      <c r="E6" s="23">
        <f>$A6^0.5*VLOOKUP(血条计算评估!D6,D_关卡怪物类型血条判断!$A$2:$B$5,2,FALSE)*500</f>
        <v>3354.1019662496847</v>
      </c>
      <c r="F6">
        <v>4</v>
      </c>
      <c r="G6" s="23">
        <f>$A6^0.5*VLOOKUP(血条计算评估!F6,D_关卡怪物类型血条判断!$A$2:$B$5,2,FALSE)*500</f>
        <v>4472.1359549995796</v>
      </c>
      <c r="H6">
        <v>5</v>
      </c>
      <c r="I6" s="23">
        <f>$A6^0.5*VLOOKUP(血条计算评估!H6,D_关卡怪物类型血条判断!$A$2:$B$5,2,FALSE)*500</f>
        <v>5590.1699437494744</v>
      </c>
      <c r="J6" s="25">
        <f>[5]副本难度推算!M9</f>
        <v>421.47626939502686</v>
      </c>
      <c r="M6">
        <f t="shared" si="0"/>
        <v>89.317499999999981</v>
      </c>
      <c r="N6">
        <f t="shared" si="1"/>
        <v>4.7188543050916891</v>
      </c>
    </row>
    <row r="7" spans="1:14" x14ac:dyDescent="0.15">
      <c r="A7">
        <v>6</v>
      </c>
      <c r="B7">
        <v>2</v>
      </c>
      <c r="C7" s="23">
        <f>$A7^0.5*VLOOKUP(血条计算评估!B7,D_关卡怪物类型血条判断!$A$2:$B$5,2,FALSE)*500</f>
        <v>2449.4897427831779</v>
      </c>
      <c r="D7">
        <v>3</v>
      </c>
      <c r="E7" s="23">
        <f>$A7^0.5*VLOOKUP(血条计算评估!D7,D_关卡怪物类型血条判断!$A$2:$B$5,2,FALSE)*500</f>
        <v>3674.2346141747666</v>
      </c>
      <c r="F7">
        <v>4</v>
      </c>
      <c r="G7" s="23">
        <f>$A7^0.5*VLOOKUP(血条计算评估!F7,D_关卡怪物类型血条判断!$A$2:$B$5,2,FALSE)*500</f>
        <v>4898.9794855663558</v>
      </c>
      <c r="H7">
        <v>5</v>
      </c>
      <c r="I7" s="23">
        <f>$A7^0.5*VLOOKUP(血条计算评估!H7,D_关卡怪物类型血条判断!$A$2:$B$5,2,FALSE)*500</f>
        <v>6123.724356957945</v>
      </c>
      <c r="J7" s="25">
        <f>[5]副本难度推算!M10</f>
        <v>732.01350675237336</v>
      </c>
      <c r="M7">
        <f t="shared" si="0"/>
        <v>115.40599999999998</v>
      </c>
      <c r="N7">
        <f t="shared" si="1"/>
        <v>6.342941500029232</v>
      </c>
    </row>
    <row r="8" spans="1:14" x14ac:dyDescent="0.15">
      <c r="A8">
        <v>7</v>
      </c>
      <c r="B8">
        <v>2</v>
      </c>
      <c r="C8" s="23">
        <f>$A8^0.5*VLOOKUP(血条计算评估!B8,D_关卡怪物类型血条判断!$A$2:$B$5,2,FALSE)*500</f>
        <v>2645.7513110645909</v>
      </c>
      <c r="D8">
        <v>3</v>
      </c>
      <c r="E8" s="23">
        <f>$A8^0.5*VLOOKUP(血条计算评估!D8,D_关卡怪物类型血条判断!$A$2:$B$5,2,FALSE)*500</f>
        <v>3968.6269665968862</v>
      </c>
      <c r="F8">
        <v>4</v>
      </c>
      <c r="G8" s="23">
        <f>$A8^0.5*VLOOKUP(血条计算评估!F8,D_关卡怪物类型血条判断!$A$2:$B$5,2,FALSE)*500</f>
        <v>5291.5026221291819</v>
      </c>
      <c r="H8">
        <v>5</v>
      </c>
      <c r="I8" s="23">
        <f>$A8^0.5*VLOOKUP(血条计算评估!H8,D_关卡怪物类型血条判断!$A$2:$B$5,2,FALSE)*500</f>
        <v>6614.3782776614762</v>
      </c>
      <c r="J8" s="25">
        <f>[5]副本难度推算!M11</f>
        <v>880.02023311957089</v>
      </c>
      <c r="M8">
        <f t="shared" si="0"/>
        <v>149.56949999999998</v>
      </c>
      <c r="N8">
        <f t="shared" si="1"/>
        <v>5.8836877379383568</v>
      </c>
    </row>
    <row r="9" spans="1:14" x14ac:dyDescent="0.15">
      <c r="A9">
        <v>8</v>
      </c>
      <c r="B9">
        <v>2</v>
      </c>
      <c r="C9" s="23">
        <f>$A9^0.5*VLOOKUP(血条计算评估!B9,D_关卡怪物类型血条判断!$A$2:$B$5,2,FALSE)*500</f>
        <v>2828.4271247461902</v>
      </c>
      <c r="D9">
        <v>3</v>
      </c>
      <c r="E9" s="23">
        <f>$A9^0.5*VLOOKUP(血条计算评估!D9,D_关卡怪物类型血条判断!$A$2:$B$5,2,FALSE)*500</f>
        <v>4242.6406871192858</v>
      </c>
      <c r="F9">
        <v>4</v>
      </c>
      <c r="G9" s="23">
        <f>$A9^0.5*VLOOKUP(血条计算评估!F9,D_关卡怪物类型血条判断!$A$2:$B$5,2,FALSE)*500</f>
        <v>5656.8542494923804</v>
      </c>
      <c r="H9">
        <v>5</v>
      </c>
      <c r="I9" s="23">
        <f>$A9^0.5*VLOOKUP(血条计算评估!H9,D_关卡怪物类型血条判断!$A$2:$B$5,2,FALSE)*500</f>
        <v>7071.067811865476</v>
      </c>
      <c r="J9" s="25">
        <f>[5]副本难度推算!M12</f>
        <v>1044.0611633845615</v>
      </c>
      <c r="M9">
        <f t="shared" si="0"/>
        <v>191.80799999999996</v>
      </c>
      <c r="N9">
        <f t="shared" si="1"/>
        <v>5.4432618211157076</v>
      </c>
    </row>
    <row r="10" spans="1:14" x14ac:dyDescent="0.15">
      <c r="A10">
        <v>9</v>
      </c>
      <c r="B10">
        <v>2</v>
      </c>
      <c r="C10" s="23">
        <f>$A10^0.5*VLOOKUP(血条计算评估!B10,D_关卡怪物类型血条判断!$A$2:$B$5,2,FALSE)*500</f>
        <v>3000</v>
      </c>
      <c r="D10">
        <v>3</v>
      </c>
      <c r="E10" s="23">
        <f>$A10^0.5*VLOOKUP(血条计算评估!D10,D_关卡怪物类型血条判断!$A$2:$B$5,2,FALSE)*500</f>
        <v>4500</v>
      </c>
      <c r="F10">
        <v>4</v>
      </c>
      <c r="G10" s="23">
        <f>$A10^0.5*VLOOKUP(血条计算评估!F10,D_关卡怪物类型血条判断!$A$2:$B$5,2,FALSE)*500</f>
        <v>6000</v>
      </c>
      <c r="H10">
        <v>5</v>
      </c>
      <c r="I10" s="23">
        <f>$A10^0.5*VLOOKUP(血条计算评估!H10,D_关卡怪物类型血条判断!$A$2:$B$5,2,FALSE)*500</f>
        <v>7500</v>
      </c>
      <c r="J10" s="25">
        <f>[5]副本难度推算!M13</f>
        <v>1364.3071446938668</v>
      </c>
      <c r="M10">
        <f t="shared" si="0"/>
        <v>242.12149999999994</v>
      </c>
      <c r="N10">
        <f t="shared" si="1"/>
        <v>5.6348037852642872</v>
      </c>
    </row>
    <row r="11" spans="1:14" x14ac:dyDescent="0.15">
      <c r="A11">
        <v>10</v>
      </c>
      <c r="B11">
        <v>2</v>
      </c>
      <c r="C11" s="23">
        <f>$A11^0.5*VLOOKUP(血条计算评估!B11,D_关卡怪物类型血条判断!$A$2:$B$5,2,FALSE)*500</f>
        <v>3162.2776601683795</v>
      </c>
      <c r="D11">
        <v>3</v>
      </c>
      <c r="E11" s="23">
        <f>$A11^0.5*VLOOKUP(血条计算评估!D11,D_关卡怪物类型血条判断!$A$2:$B$5,2,FALSE)*500</f>
        <v>4743.416490252569</v>
      </c>
      <c r="F11">
        <v>4</v>
      </c>
      <c r="G11" s="23">
        <f>$A11^0.5*VLOOKUP(血条计算评估!F11,D_关卡怪物类型血条判断!$A$2:$B$5,2,FALSE)*500</f>
        <v>6324.555320336759</v>
      </c>
      <c r="H11">
        <v>5</v>
      </c>
      <c r="I11" s="23">
        <f>$A11^0.5*VLOOKUP(血条计算评估!H11,D_关卡怪物类型血条判断!$A$2:$B$5,2,FALSE)*500</f>
        <v>7905.694150420949</v>
      </c>
      <c r="J11" s="25">
        <f>[5]副本难度推算!M14</f>
        <v>1727.6915361038548</v>
      </c>
      <c r="M11">
        <f t="shared" si="0"/>
        <v>300.50999999999993</v>
      </c>
      <c r="N11">
        <f t="shared" si="1"/>
        <v>5.7491981501575831</v>
      </c>
    </row>
    <row r="12" spans="1:14" x14ac:dyDescent="0.15">
      <c r="A12">
        <v>11</v>
      </c>
      <c r="B12">
        <v>2</v>
      </c>
      <c r="C12" s="23">
        <f>$A12^0.5*VLOOKUP(血条计算评估!B12,D_关卡怪物类型血条判断!$A$2:$B$5,2,FALSE)*500</f>
        <v>3316.6247903553999</v>
      </c>
      <c r="D12">
        <v>3</v>
      </c>
      <c r="E12" s="23">
        <f>$A12^0.5*VLOOKUP(血条计算评估!D12,D_关卡怪物类型血条判断!$A$2:$B$5,2,FALSE)*500</f>
        <v>4974.9371855331001</v>
      </c>
      <c r="F12">
        <v>4</v>
      </c>
      <c r="G12" s="23">
        <f>$A12^0.5*VLOOKUP(血条计算评估!F12,D_关卡怪物类型血条判断!$A$2:$B$5,2,FALSE)*500</f>
        <v>6633.2495807107998</v>
      </c>
      <c r="H12">
        <v>5</v>
      </c>
      <c r="I12" s="23">
        <f>$A12^0.5*VLOOKUP(血条计算评估!H12,D_关卡怪物类型血条判断!$A$2:$B$5,2,FALSE)*500</f>
        <v>8291.5619758884986</v>
      </c>
      <c r="J12" s="25">
        <f>[5]副本难度推算!M15</f>
        <v>2136.0148967569658</v>
      </c>
      <c r="K12">
        <v>2</v>
      </c>
      <c r="L12">
        <f>J12/K12</f>
        <v>1068.0074483784829</v>
      </c>
      <c r="M12">
        <f t="shared" si="0"/>
        <v>366.97349999999994</v>
      </c>
      <c r="N12">
        <f t="shared" si="1"/>
        <v>5.8206243686723047</v>
      </c>
    </row>
    <row r="13" spans="1:14" x14ac:dyDescent="0.15">
      <c r="A13">
        <v>12</v>
      </c>
      <c r="B13">
        <v>2</v>
      </c>
      <c r="C13" s="23">
        <f>$A13^0.5*VLOOKUP(血条计算评估!B13,D_关卡怪物类型血条判断!$A$2:$B$5,2,FALSE)*500</f>
        <v>3464.1016151377544</v>
      </c>
      <c r="D13">
        <v>3</v>
      </c>
      <c r="E13" s="23">
        <f>$A13^0.5*VLOOKUP(血条计算评估!D13,D_关卡怪物类型血条判断!$A$2:$B$5,2,FALSE)*500</f>
        <v>5196.152422706632</v>
      </c>
      <c r="F13">
        <v>4</v>
      </c>
      <c r="G13" s="23">
        <f>$A13^0.5*VLOOKUP(血条计算评估!F13,D_关卡怪物类型血条判断!$A$2:$B$5,2,FALSE)*500</f>
        <v>6928.2032302755088</v>
      </c>
      <c r="H13">
        <v>5</v>
      </c>
      <c r="I13" s="23">
        <f>$A13^0.5*VLOOKUP(血条计算评估!H13,D_关卡怪物类型血条判断!$A$2:$B$5,2,FALSE)*500</f>
        <v>8660.2540378443864</v>
      </c>
      <c r="J13" s="25">
        <f>[5]副本难度推算!M16</f>
        <v>2591.0795735978022</v>
      </c>
      <c r="M13">
        <f t="shared" si="0"/>
        <v>441.51199999999994</v>
      </c>
      <c r="N13">
        <f t="shared" si="1"/>
        <v>5.8686503959072516</v>
      </c>
    </row>
    <row r="14" spans="1:14" x14ac:dyDescent="0.15">
      <c r="A14">
        <v>13</v>
      </c>
      <c r="B14">
        <v>2</v>
      </c>
      <c r="C14" s="23">
        <f>$A14^0.5*VLOOKUP(血条计算评估!B14,D_关卡怪物类型血条判断!$A$2:$B$5,2,FALSE)*500</f>
        <v>3605.551275463989</v>
      </c>
      <c r="D14">
        <v>3</v>
      </c>
      <c r="E14" s="23">
        <f>$A14^0.5*VLOOKUP(血条计算评估!D14,D_关卡怪物类型血条判断!$A$2:$B$5,2,FALSE)*500</f>
        <v>5408.3269131959833</v>
      </c>
      <c r="F14">
        <v>4</v>
      </c>
      <c r="G14" s="23">
        <f>$A14^0.5*VLOOKUP(血条计算评估!F14,D_关卡怪物类型血条判断!$A$2:$B$5,2,FALSE)*500</f>
        <v>7211.102550927978</v>
      </c>
      <c r="H14">
        <v>5</v>
      </c>
      <c r="I14" s="23">
        <f>$A14^0.5*VLOOKUP(血条计算评估!H14,D_关卡怪物类型血条判断!$A$2:$B$5,2,FALSE)*500</f>
        <v>9013.8781886599736</v>
      </c>
      <c r="J14" s="25">
        <f>[5]副本难度推算!M17</f>
        <v>3094.6851411110956</v>
      </c>
      <c r="M14">
        <f t="shared" si="0"/>
        <v>524.12549999999999</v>
      </c>
      <c r="N14">
        <f t="shared" si="1"/>
        <v>5.9044735299295601</v>
      </c>
    </row>
    <row r="15" spans="1:14" x14ac:dyDescent="0.15">
      <c r="A15">
        <v>14</v>
      </c>
      <c r="B15">
        <v>2</v>
      </c>
      <c r="C15" s="23">
        <f>$A15^0.5*VLOOKUP(血条计算评估!B15,D_关卡怪物类型血条判断!$A$2:$B$5,2,FALSE)*500</f>
        <v>3741.6573867739412</v>
      </c>
      <c r="D15">
        <v>3</v>
      </c>
      <c r="E15" s="23">
        <f>$A15^0.5*VLOOKUP(血条计算评估!D15,D_关卡怪物类型血条判断!$A$2:$B$5,2,FALSE)*500</f>
        <v>5612.486080160912</v>
      </c>
      <c r="F15">
        <v>4</v>
      </c>
      <c r="G15" s="23">
        <f>$A15^0.5*VLOOKUP(血条计算评估!F15,D_关卡怪物类型血条判断!$A$2:$B$5,2,FALSE)*500</f>
        <v>7483.3147735478824</v>
      </c>
      <c r="H15">
        <v>5</v>
      </c>
      <c r="I15" s="23">
        <f>$A15^0.5*VLOOKUP(血条计算评估!H15,D_关卡怪物类型血条判断!$A$2:$B$5,2,FALSE)*500</f>
        <v>9354.1434669348546</v>
      </c>
      <c r="J15" s="25">
        <f>[5]副本难度推算!M18</f>
        <v>3648.6259147468172</v>
      </c>
      <c r="M15">
        <f t="shared" si="0"/>
        <v>614.81399999999985</v>
      </c>
      <c r="N15">
        <f t="shared" si="1"/>
        <v>5.9345198950362521</v>
      </c>
    </row>
    <row r="16" spans="1:14" x14ac:dyDescent="0.15">
      <c r="A16">
        <v>15</v>
      </c>
      <c r="B16">
        <v>2</v>
      </c>
      <c r="C16" s="23">
        <f>$A16^0.5*VLOOKUP(血条计算评估!B16,D_关卡怪物类型血条判断!$A$2:$B$5,2,FALSE)*500</f>
        <v>3872.9833462074171</v>
      </c>
      <c r="D16">
        <v>3</v>
      </c>
      <c r="E16" s="23">
        <f>$A16^0.5*VLOOKUP(血条计算评估!D16,D_关卡怪物类型血条判断!$A$2:$B$5,2,FALSE)*500</f>
        <v>5809.4750193111258</v>
      </c>
      <c r="F16">
        <v>4</v>
      </c>
      <c r="G16" s="23">
        <f>$A16^0.5*VLOOKUP(血条计算评估!F16,D_关卡怪物类型血条判断!$A$2:$B$5,2,FALSE)*500</f>
        <v>7745.9666924148341</v>
      </c>
      <c r="H16">
        <v>5</v>
      </c>
      <c r="I16" s="23">
        <f>$A16^0.5*VLOOKUP(血条计算评估!H16,D_关卡怪物类型血条判断!$A$2:$B$5,2,FALSE)*500</f>
        <v>9682.4583655185415</v>
      </c>
      <c r="J16" s="25">
        <f>[5]副本难度推算!M19</f>
        <v>4254.6896346215126</v>
      </c>
      <c r="M16">
        <f t="shared" si="0"/>
        <v>713.57749999999987</v>
      </c>
      <c r="N16">
        <f t="shared" si="1"/>
        <v>5.9624772846978971</v>
      </c>
    </row>
    <row r="17" spans="1:14" x14ac:dyDescent="0.15">
      <c r="A17">
        <v>16</v>
      </c>
      <c r="B17">
        <v>2</v>
      </c>
      <c r="C17" s="23">
        <f>$A17^0.5*VLOOKUP(血条计算评估!B17,D_关卡怪物类型血条判断!$A$2:$B$5,2,FALSE)*500</f>
        <v>4000</v>
      </c>
      <c r="D17">
        <v>3</v>
      </c>
      <c r="E17" s="23">
        <f>$A17^0.5*VLOOKUP(血条计算评估!D17,D_关卡怪物类型血条判断!$A$2:$B$5,2,FALSE)*500</f>
        <v>6000</v>
      </c>
      <c r="F17">
        <v>4</v>
      </c>
      <c r="G17" s="23">
        <f>$A17^0.5*VLOOKUP(血条计算评估!F17,D_关卡怪物类型血条判断!$A$2:$B$5,2,FALSE)*500</f>
        <v>8000</v>
      </c>
      <c r="H17">
        <v>5</v>
      </c>
      <c r="I17" s="23">
        <f>$A17^0.5*VLOOKUP(血条计算评估!H17,D_关卡怪物类型血条判断!$A$2:$B$5,2,FALSE)*500</f>
        <v>10000</v>
      </c>
      <c r="J17" s="25">
        <f>[5]副本难度推算!M20</f>
        <v>4914.6568278260884</v>
      </c>
      <c r="M17">
        <f t="shared" si="0"/>
        <v>820.41599999999994</v>
      </c>
      <c r="N17">
        <f t="shared" si="1"/>
        <v>5.9904448814090516</v>
      </c>
    </row>
    <row r="18" spans="1:14" x14ac:dyDescent="0.15">
      <c r="A18">
        <v>17</v>
      </c>
      <c r="B18">
        <v>2</v>
      </c>
      <c r="C18" s="23">
        <f>$A18^0.5*VLOOKUP(血条计算评估!B18,D_关卡怪物类型血条判断!$A$2:$B$5,2,FALSE)*500</f>
        <v>4123.1056256176607</v>
      </c>
      <c r="D18">
        <v>3</v>
      </c>
      <c r="E18" s="23">
        <f>$A18^0.5*VLOOKUP(血条计算评估!D18,D_关卡怪物类型血条判断!$A$2:$B$5,2,FALSE)*500</f>
        <v>6184.6584384264906</v>
      </c>
      <c r="F18">
        <v>4</v>
      </c>
      <c r="G18" s="23">
        <f>$A18^0.5*VLOOKUP(血条计算评估!F18,D_关卡怪物类型血条判断!$A$2:$B$5,2,FALSE)*500</f>
        <v>8246.2112512353215</v>
      </c>
      <c r="H18">
        <v>5</v>
      </c>
      <c r="I18" s="23">
        <f>$A18^0.5*VLOOKUP(血条计算评估!H18,D_关卡怪物类型血条判断!$A$2:$B$5,2,FALSE)*500</f>
        <v>10307.764064044151</v>
      </c>
      <c r="J18" s="25">
        <f>[5]副本难度推算!M21</f>
        <v>5630.3005709109411</v>
      </c>
      <c r="M18">
        <f t="shared" si="0"/>
        <v>935.32949999999983</v>
      </c>
      <c r="N18">
        <f t="shared" si="1"/>
        <v>6.0195904982264992</v>
      </c>
    </row>
    <row r="19" spans="1:14" x14ac:dyDescent="0.15">
      <c r="A19">
        <v>18</v>
      </c>
      <c r="B19">
        <v>2</v>
      </c>
      <c r="C19" s="23">
        <f>$A19^0.5*VLOOKUP(血条计算评估!B19,D_关卡怪物类型血条判断!$A$2:$B$5,2,FALSE)*500</f>
        <v>4242.6406871192848</v>
      </c>
      <c r="D19">
        <v>3</v>
      </c>
      <c r="E19" s="23">
        <f>$A19^0.5*VLOOKUP(血条计算评估!D19,D_关卡怪物类型血条判断!$A$2:$B$5,2,FALSE)*500</f>
        <v>6363.9610306789273</v>
      </c>
      <c r="F19">
        <v>4</v>
      </c>
      <c r="G19" s="23">
        <f>$A19^0.5*VLOOKUP(血条计算评估!F19,D_关卡怪物类型血条判断!$A$2:$B$5,2,FALSE)*500</f>
        <v>8485.2813742385697</v>
      </c>
      <c r="H19">
        <v>5</v>
      </c>
      <c r="I19" s="23">
        <f>$A19^0.5*VLOOKUP(血条计算评估!H19,D_关卡怪物类型血条判断!$A$2:$B$5,2,FALSE)*500</f>
        <v>10606.601717798212</v>
      </c>
      <c r="J19" s="25">
        <f>[5]副本难度推算!M22</f>
        <v>6403.3864898100719</v>
      </c>
      <c r="M19">
        <f t="shared" si="0"/>
        <v>1058.3179999999998</v>
      </c>
      <c r="N19">
        <f t="shared" si="1"/>
        <v>6.0505315886246605</v>
      </c>
    </row>
    <row r="20" spans="1:14" x14ac:dyDescent="0.15">
      <c r="A20">
        <v>19</v>
      </c>
      <c r="B20">
        <v>2</v>
      </c>
      <c r="C20" s="23">
        <f>$A20^0.5*VLOOKUP(血条计算评估!B20,D_关卡怪物类型血条判断!$A$2:$B$5,2,FALSE)*500</f>
        <v>4358.8989435406738</v>
      </c>
      <c r="D20">
        <v>3</v>
      </c>
      <c r="E20" s="23">
        <f>$A20^0.5*VLOOKUP(血条计算评估!D20,D_关卡怪物类型血条判断!$A$2:$B$5,2,FALSE)*500</f>
        <v>6538.3484153110112</v>
      </c>
      <c r="F20">
        <v>4</v>
      </c>
      <c r="G20" s="23">
        <f>$A20^0.5*VLOOKUP(血条计算评估!F20,D_关卡怪物类型血条判断!$A$2:$B$5,2,FALSE)*500</f>
        <v>8717.7978870813477</v>
      </c>
      <c r="H20">
        <v>5</v>
      </c>
      <c r="I20" s="23">
        <f>$A20^0.5*VLOOKUP(血条计算评估!H20,D_关卡怪物类型血条判断!$A$2:$B$5,2,FALSE)*500</f>
        <v>10897.247358851684</v>
      </c>
      <c r="J20" s="25">
        <f>[5]副本难度推算!M23</f>
        <v>7235.6728996934007</v>
      </c>
      <c r="M20">
        <f t="shared" si="0"/>
        <v>1189.3815</v>
      </c>
      <c r="N20">
        <f t="shared" si="1"/>
        <v>6.0835593118720954</v>
      </c>
    </row>
    <row r="21" spans="1:14" x14ac:dyDescent="0.15">
      <c r="A21">
        <v>20</v>
      </c>
      <c r="B21">
        <v>2</v>
      </c>
      <c r="C21" s="23">
        <f>$A21^0.5*VLOOKUP(血条计算评估!B21,D_关卡怪物类型血条判断!$A$2:$B$5,2,FALSE)*500</f>
        <v>4472.1359549995796</v>
      </c>
      <c r="D21">
        <v>3</v>
      </c>
      <c r="E21" s="23">
        <f>$A21^0.5*VLOOKUP(血条计算评估!D21,D_关卡怪物类型血条判断!$A$2:$B$5,2,FALSE)*500</f>
        <v>6708.2039324993693</v>
      </c>
      <c r="F21">
        <v>4</v>
      </c>
      <c r="G21" s="23">
        <f>$A21^0.5*VLOOKUP(血条计算评估!F21,D_关卡怪物类型血条判断!$A$2:$B$5,2,FALSE)*500</f>
        <v>8944.2719099991591</v>
      </c>
      <c r="H21">
        <v>5</v>
      </c>
      <c r="I21" s="23">
        <f>$A21^0.5*VLOOKUP(血条计算评估!H21,D_关卡怪物类型血条判断!$A$2:$B$5,2,FALSE)*500</f>
        <v>11180.339887498949</v>
      </c>
      <c r="J21" s="25">
        <f>[5]副本难度推算!M24</f>
        <v>8128.911025210582</v>
      </c>
      <c r="M21">
        <f t="shared" si="0"/>
        <v>1328.5199999999998</v>
      </c>
      <c r="N21">
        <f t="shared" si="1"/>
        <v>6.1187720359577451</v>
      </c>
    </row>
    <row r="22" spans="1:14" x14ac:dyDescent="0.15">
      <c r="A22">
        <v>21</v>
      </c>
      <c r="B22">
        <v>2</v>
      </c>
      <c r="C22" s="23">
        <f>$A22^0.5*VLOOKUP(血条计算评估!B22,D_关卡怪物类型血条判断!$A$2:$B$5,2,FALSE)*500</f>
        <v>4582.5756949558399</v>
      </c>
      <c r="D22">
        <v>3</v>
      </c>
      <c r="E22" s="23">
        <f>$A22^0.5*VLOOKUP(血条计算评估!D22,D_关卡怪物类型血条判断!$A$2:$B$5,2,FALSE)*500</f>
        <v>6873.8635424337599</v>
      </c>
      <c r="F22">
        <v>4</v>
      </c>
      <c r="G22" s="23">
        <f>$A22^0.5*VLOOKUP(血条计算评估!F22,D_关卡怪物类型血条判断!$A$2:$B$5,2,FALSE)*500</f>
        <v>9165.1513899116799</v>
      </c>
      <c r="H22">
        <v>5</v>
      </c>
      <c r="I22" s="23">
        <f>$A22^0.5*VLOOKUP(血条计算评估!H22,D_关卡怪物类型血条判断!$A$2:$B$5,2,FALSE)*500</f>
        <v>11456.439237389599</v>
      </c>
      <c r="J22" s="25">
        <f>[5]副本难度推算!M25</f>
        <v>9084.8452642958327</v>
      </c>
      <c r="M22">
        <f t="shared" si="0"/>
        <v>1475.7334999999998</v>
      </c>
      <c r="N22">
        <f t="shared" si="1"/>
        <v>6.1561557451232449</v>
      </c>
    </row>
    <row r="23" spans="1:14" x14ac:dyDescent="0.15">
      <c r="A23">
        <v>22</v>
      </c>
      <c r="B23">
        <v>2</v>
      </c>
      <c r="C23" s="23">
        <f>$A23^0.5*VLOOKUP(血条计算评估!B23,D_关卡怪物类型血条判断!$A$2:$B$5,2,FALSE)*500</f>
        <v>4690.4157598234297</v>
      </c>
      <c r="D23">
        <v>3</v>
      </c>
      <c r="E23" s="23">
        <f>$A23^0.5*VLOOKUP(血条计算评估!D23,D_关卡怪物类型血条判断!$A$2:$B$5,2,FALSE)*500</f>
        <v>7035.623639735144</v>
      </c>
      <c r="F23">
        <v>4</v>
      </c>
      <c r="G23" s="23">
        <f>$A23^0.5*VLOOKUP(血条计算评估!F23,D_关卡怪物类型血条判断!$A$2:$B$5,2,FALSE)*500</f>
        <v>9380.8315196468593</v>
      </c>
      <c r="H23">
        <v>5</v>
      </c>
      <c r="I23" s="23">
        <f>$A23^0.5*VLOOKUP(血条计算评估!H23,D_关卡怪物类型血条判断!$A$2:$B$5,2,FALSE)*500</f>
        <v>11726.039399558575</v>
      </c>
      <c r="J23" s="25">
        <f>[5]副本难度推算!M26</f>
        <v>10105.2134725859</v>
      </c>
      <c r="M23">
        <f t="shared" si="0"/>
        <v>1631.0219999999999</v>
      </c>
      <c r="N23">
        <f t="shared" si="1"/>
        <v>6.1956328440609019</v>
      </c>
    </row>
    <row r="24" spans="1:14" x14ac:dyDescent="0.15">
      <c r="A24">
        <v>23</v>
      </c>
      <c r="B24">
        <v>2</v>
      </c>
      <c r="C24" s="23">
        <f>$A24^0.5*VLOOKUP(血条计算评估!B24,D_关卡怪物类型血条判断!$A$2:$B$5,2,FALSE)*500</f>
        <v>4795.8315233127187</v>
      </c>
      <c r="D24">
        <v>3</v>
      </c>
      <c r="E24" s="23">
        <f>$A24^0.5*VLOOKUP(血条计算评估!D24,D_关卡怪物类型血条判断!$A$2:$B$5,2,FALSE)*500</f>
        <v>7193.7472849690785</v>
      </c>
      <c r="F24">
        <v>4</v>
      </c>
      <c r="G24" s="23">
        <f>$A24^0.5*VLOOKUP(血条计算评估!F24,D_关卡怪物类型血条判断!$A$2:$B$5,2,FALSE)*500</f>
        <v>9591.6630466254373</v>
      </c>
      <c r="H24">
        <v>5</v>
      </c>
      <c r="I24" s="23">
        <f>$A24^0.5*VLOOKUP(血条计算评估!H24,D_关卡怪物类型血条判断!$A$2:$B$5,2,FALSE)*500</f>
        <v>11989.578808281798</v>
      </c>
      <c r="J24" s="25">
        <f>[5]副本难度推算!M27</f>
        <v>11400.405805091281</v>
      </c>
      <c r="M24">
        <f t="shared" si="0"/>
        <v>1794.3854999999996</v>
      </c>
      <c r="N24">
        <f t="shared" si="1"/>
        <v>6.3533760193064888</v>
      </c>
    </row>
    <row r="25" spans="1:14" x14ac:dyDescent="0.15">
      <c r="A25">
        <v>24</v>
      </c>
      <c r="B25">
        <v>2</v>
      </c>
      <c r="C25" s="23">
        <f>$A25^0.5*VLOOKUP(血条计算评估!B25,D_关卡怪物类型血条判断!$A$2:$B$5,2,FALSE)*500</f>
        <v>4898.9794855663558</v>
      </c>
      <c r="D25">
        <v>3</v>
      </c>
      <c r="E25" s="23">
        <f>$A25^0.5*VLOOKUP(血条计算评估!D25,D_关卡怪物类型血条判断!$A$2:$B$5,2,FALSE)*500</f>
        <v>7348.4692283495333</v>
      </c>
      <c r="F25">
        <v>4</v>
      </c>
      <c r="G25" s="23">
        <f>$A25^0.5*VLOOKUP(血条计算评估!F25,D_关卡怪物类型血条判断!$A$2:$B$5,2,FALSE)*500</f>
        <v>9797.9589711327117</v>
      </c>
      <c r="H25">
        <v>5</v>
      </c>
      <c r="I25" s="23">
        <f>$A25^0.5*VLOOKUP(血条计算评估!H25,D_关卡怪物类型血条判断!$A$2:$B$5,2,FALSE)*500</f>
        <v>12247.44871391589</v>
      </c>
      <c r="J25" s="25">
        <f>[5]副本难度推算!M28</f>
        <v>12784.890390334218</v>
      </c>
      <c r="M25">
        <f t="shared" si="0"/>
        <v>1965.8239999999998</v>
      </c>
      <c r="N25">
        <f t="shared" si="1"/>
        <v>6.5035783418730357</v>
      </c>
    </row>
    <row r="26" spans="1:14" x14ac:dyDescent="0.15">
      <c r="A26">
        <v>25</v>
      </c>
      <c r="B26">
        <v>2</v>
      </c>
      <c r="C26" s="23">
        <f>$A26^0.5*VLOOKUP(血条计算评估!B26,D_关卡怪物类型血条判断!$A$2:$B$5,2,FALSE)*500</f>
        <v>5000</v>
      </c>
      <c r="D26">
        <v>3</v>
      </c>
      <c r="E26" s="23">
        <f>$A26^0.5*VLOOKUP(血条计算评估!D26,D_关卡怪物类型血条判断!$A$2:$B$5,2,FALSE)*500</f>
        <v>7500</v>
      </c>
      <c r="F26">
        <v>4</v>
      </c>
      <c r="G26" s="23">
        <f>$A26^0.5*VLOOKUP(血条计算评估!F26,D_关卡怪物类型血条判断!$A$2:$B$5,2,FALSE)*500</f>
        <v>10000</v>
      </c>
      <c r="H26">
        <v>5</v>
      </c>
      <c r="I26" s="23">
        <f>$A26^0.5*VLOOKUP(血条计算评估!H26,D_关卡怪物类型血条判断!$A$2:$B$5,2,FALSE)*500</f>
        <v>12500</v>
      </c>
      <c r="J26" s="25">
        <f>[5]副本难度推算!M29</f>
        <v>14261.047881556851</v>
      </c>
      <c r="M26">
        <f t="shared" si="0"/>
        <v>2145.3375000000001</v>
      </c>
      <c r="N26">
        <f t="shared" si="1"/>
        <v>6.6474612416726275</v>
      </c>
    </row>
    <row r="27" spans="1:14" x14ac:dyDescent="0.15">
      <c r="A27">
        <v>26</v>
      </c>
      <c r="B27">
        <v>2</v>
      </c>
      <c r="C27" s="23">
        <f>$A27^0.5*VLOOKUP(血条计算评估!B27,D_关卡怪物类型血条判断!$A$2:$B$5,2,FALSE)*500</f>
        <v>5099.0195135927843</v>
      </c>
      <c r="D27">
        <v>3</v>
      </c>
      <c r="E27" s="23">
        <f>$A27^0.5*VLOOKUP(血条计算评估!D27,D_关卡怪物类型血条判断!$A$2:$B$5,2,FALSE)*500</f>
        <v>7648.5292703891764</v>
      </c>
      <c r="F27">
        <v>4</v>
      </c>
      <c r="G27" s="23">
        <f>$A27^0.5*VLOOKUP(血条计算评估!F27,D_关卡怪物类型血条判断!$A$2:$B$5,2,FALSE)*500</f>
        <v>10198.039027185569</v>
      </c>
      <c r="H27">
        <v>5</v>
      </c>
      <c r="I27" s="23">
        <f>$A27^0.5*VLOOKUP(血条计算评估!H27,D_关卡怪物类型血条判断!$A$2:$B$5,2,FALSE)*500</f>
        <v>12747.548783981962</v>
      </c>
      <c r="J27" s="25">
        <f>[5]副本难度推算!M30</f>
        <v>16032.112972248326</v>
      </c>
      <c r="M27">
        <f t="shared" si="0"/>
        <v>2332.9259999999999</v>
      </c>
      <c r="N27">
        <f t="shared" si="1"/>
        <v>6.8721052327627739</v>
      </c>
    </row>
    <row r="28" spans="1:14" x14ac:dyDescent="0.15">
      <c r="A28">
        <v>27</v>
      </c>
      <c r="B28">
        <v>2</v>
      </c>
      <c r="C28" s="23">
        <f>$A28^0.5*VLOOKUP(血条计算评估!B28,D_关卡怪物类型血条判断!$A$2:$B$5,2,FALSE)*500</f>
        <v>5196.152422706632</v>
      </c>
      <c r="D28">
        <v>3</v>
      </c>
      <c r="E28" s="23">
        <f>$A28^0.5*VLOOKUP(血条计算评估!D28,D_关卡怪物类型血条判断!$A$2:$B$5,2,FALSE)*500</f>
        <v>7794.2286340599476</v>
      </c>
      <c r="F28">
        <v>4</v>
      </c>
      <c r="G28" s="23">
        <f>$A28^0.5*VLOOKUP(血条计算评估!F28,D_关卡怪物类型血条判断!$A$2:$B$5,2,FALSE)*500</f>
        <v>10392.304845413264</v>
      </c>
      <c r="H28">
        <v>5</v>
      </c>
      <c r="I28" s="23">
        <f>$A28^0.5*VLOOKUP(血条计算评估!H28,D_关卡怪物类型血条判断!$A$2:$B$5,2,FALSE)*500</f>
        <v>12990.381056766581</v>
      </c>
      <c r="J28" s="25">
        <f>[5]副本难度推算!M31</f>
        <v>17918.492082667442</v>
      </c>
      <c r="M28">
        <f t="shared" si="0"/>
        <v>2528.5894999999996</v>
      </c>
      <c r="N28">
        <f t="shared" si="1"/>
        <v>7.0863586527854538</v>
      </c>
    </row>
    <row r="29" spans="1:14" x14ac:dyDescent="0.15">
      <c r="A29">
        <v>28</v>
      </c>
      <c r="B29">
        <v>2</v>
      </c>
      <c r="C29" s="23">
        <f>$A29^0.5*VLOOKUP(血条计算评估!B29,D_关卡怪物类型血条判断!$A$2:$B$5,2,FALSE)*500</f>
        <v>5291.5026221291819</v>
      </c>
      <c r="D29">
        <v>3</v>
      </c>
      <c r="E29" s="23">
        <f>$A29^0.5*VLOOKUP(血条计算评估!D29,D_关卡怪物类型血条判断!$A$2:$B$5,2,FALSE)*500</f>
        <v>7937.2539331937724</v>
      </c>
      <c r="F29">
        <v>4</v>
      </c>
      <c r="G29" s="23">
        <f>$A29^0.5*VLOOKUP(血条计算评估!F29,D_关卡怪物类型血条判断!$A$2:$B$5,2,FALSE)*500</f>
        <v>10583.005244258364</v>
      </c>
      <c r="H29">
        <v>5</v>
      </c>
      <c r="I29" s="23">
        <f>$A29^0.5*VLOOKUP(血条计算评估!H29,D_关卡怪物类型血条判断!$A$2:$B$5,2,FALSE)*500</f>
        <v>13228.756555322952</v>
      </c>
      <c r="J29" s="25">
        <f>[5]副本难度推算!M32</f>
        <v>19923.089614644672</v>
      </c>
      <c r="M29">
        <f t="shared" si="0"/>
        <v>2732.3279999999995</v>
      </c>
      <c r="N29">
        <f t="shared" si="1"/>
        <v>7.2916171172145789</v>
      </c>
    </row>
    <row r="30" spans="1:14" x14ac:dyDescent="0.15">
      <c r="A30">
        <v>29</v>
      </c>
      <c r="B30">
        <v>2</v>
      </c>
      <c r="C30" s="23">
        <f>$A30^0.5*VLOOKUP(血条计算评估!B30,D_关卡怪物类型血条判断!$A$2:$B$5,2,FALSE)*500</f>
        <v>5385.1648071345035</v>
      </c>
      <c r="D30">
        <v>3</v>
      </c>
      <c r="E30" s="23">
        <f>$A30^0.5*VLOOKUP(血条计算评估!D30,D_关卡怪物类型血条判断!$A$2:$B$5,2,FALSE)*500</f>
        <v>8077.7472107017547</v>
      </c>
      <c r="F30">
        <v>4</v>
      </c>
      <c r="G30" s="23">
        <f>$A30^0.5*VLOOKUP(血条计算评估!F30,D_关卡怪物类型血条判断!$A$2:$B$5,2,FALSE)*500</f>
        <v>10770.329614269007</v>
      </c>
      <c r="H30">
        <v>5</v>
      </c>
      <c r="I30" s="23">
        <f>$A30^0.5*VLOOKUP(血条计算评估!H30,D_关卡怪物类型血条判断!$A$2:$B$5,2,FALSE)*500</f>
        <v>13462.912017836259</v>
      </c>
      <c r="J30" s="25">
        <f>[5]副本难度推算!M33</f>
        <v>22048.80155432774</v>
      </c>
      <c r="M30">
        <f t="shared" si="0"/>
        <v>2944.1414999999997</v>
      </c>
      <c r="N30">
        <f t="shared" si="1"/>
        <v>7.4890427495851482</v>
      </c>
    </row>
    <row r="31" spans="1:14" x14ac:dyDescent="0.15">
      <c r="A31">
        <v>30</v>
      </c>
      <c r="B31">
        <v>2</v>
      </c>
      <c r="C31" s="23">
        <f>$A31^0.5*VLOOKUP(血条计算评估!B31,D_关卡怪物类型血条判断!$A$2:$B$5,2,FALSE)*500</f>
        <v>5477.2255750516615</v>
      </c>
      <c r="D31">
        <v>3</v>
      </c>
      <c r="E31" s="23">
        <f>$A31^0.5*VLOOKUP(血条计算评估!D31,D_关卡怪物类型血条判断!$A$2:$B$5,2,FALSE)*500</f>
        <v>8215.8383625774914</v>
      </c>
      <c r="F31">
        <v>4</v>
      </c>
      <c r="G31" s="23">
        <f>$A31^0.5*VLOOKUP(血条计算评估!F31,D_关卡怪物类型血条判断!$A$2:$B$5,2,FALSE)*500</f>
        <v>10954.451150103323</v>
      </c>
      <c r="H31">
        <v>5</v>
      </c>
      <c r="I31" s="23">
        <f>$A31^0.5*VLOOKUP(血条计算评估!H31,D_关卡怪物类型血条判断!$A$2:$B$5,2,FALSE)*500</f>
        <v>13693.063937629153</v>
      </c>
      <c r="J31" s="25">
        <f>[5]副本难度推算!M34</f>
        <v>24602.247262249399</v>
      </c>
      <c r="M31">
        <f t="shared" si="0"/>
        <v>3164.0299999999997</v>
      </c>
      <c r="N31">
        <f t="shared" si="1"/>
        <v>7.7756049286035216</v>
      </c>
    </row>
    <row r="32" spans="1:14" x14ac:dyDescent="0.15">
      <c r="A32">
        <v>31</v>
      </c>
      <c r="B32">
        <v>2</v>
      </c>
      <c r="C32" s="23">
        <f>$A32^0.5*VLOOKUP(血条计算评估!B32,D_关卡怪物类型血条判断!$A$2:$B$5,2,FALSE)*500</f>
        <v>5567.7643628300211</v>
      </c>
      <c r="D32">
        <v>3</v>
      </c>
      <c r="E32" s="23">
        <f>$A32^0.5*VLOOKUP(血条计算评估!D32,D_关卡怪物类型血条判断!$A$2:$B$5,2,FALSE)*500</f>
        <v>8351.6465442450317</v>
      </c>
      <c r="F32">
        <v>4</v>
      </c>
      <c r="G32" s="23">
        <f>$A32^0.5*VLOOKUP(血条计算评估!F32,D_关卡怪物类型血条判断!$A$2:$B$5,2,FALSE)*500</f>
        <v>11135.528725660042</v>
      </c>
      <c r="H32">
        <v>5</v>
      </c>
      <c r="I32" s="23">
        <f>$A32^0.5*VLOOKUP(血条计算评估!H32,D_关卡怪物类型血条判断!$A$2:$B$5,2,FALSE)*500</f>
        <v>13919.410907075055</v>
      </c>
      <c r="J32" s="25">
        <f>[5]副本难度推算!M35</f>
        <v>27667.296632101697</v>
      </c>
      <c r="M32">
        <f t="shared" si="0"/>
        <v>3391.9934999999996</v>
      </c>
      <c r="N32">
        <f t="shared" si="1"/>
        <v>8.1566478921913319</v>
      </c>
    </row>
    <row r="33" spans="1:14" x14ac:dyDescent="0.15">
      <c r="A33">
        <v>32</v>
      </c>
      <c r="B33">
        <v>2</v>
      </c>
      <c r="C33" s="23">
        <f>$A33^0.5*VLOOKUP(血条计算评估!B33,D_关卡怪物类型血条判断!$A$2:$B$5,2,FALSE)*500</f>
        <v>5656.8542494923804</v>
      </c>
      <c r="D33">
        <v>3</v>
      </c>
      <c r="E33" s="23">
        <f>$A33^0.5*VLOOKUP(血条计算评估!D33,D_关卡怪物类型血条判断!$A$2:$B$5,2,FALSE)*500</f>
        <v>8485.2813742385715</v>
      </c>
      <c r="F33">
        <v>4</v>
      </c>
      <c r="G33" s="23">
        <f>$A33^0.5*VLOOKUP(血条计算评估!F33,D_关卡怪物类型血条判断!$A$2:$B$5,2,FALSE)*500</f>
        <v>11313.708498984761</v>
      </c>
      <c r="H33">
        <v>5</v>
      </c>
      <c r="I33" s="23">
        <f>$A33^0.5*VLOOKUP(血条计算评估!H33,D_关卡怪物类型血条判断!$A$2:$B$5,2,FALSE)*500</f>
        <v>14142.135623730952</v>
      </c>
      <c r="J33" s="25">
        <f>[5]副本难度推算!M36</f>
        <v>30990.514434410816</v>
      </c>
      <c r="M33">
        <f t="shared" si="0"/>
        <v>3628.0319999999997</v>
      </c>
      <c r="N33">
        <f t="shared" si="1"/>
        <v>8.5419628146639326</v>
      </c>
    </row>
    <row r="34" spans="1:14" x14ac:dyDescent="0.15">
      <c r="A34">
        <v>33</v>
      </c>
      <c r="B34">
        <v>2</v>
      </c>
      <c r="C34" s="23">
        <f>$A34^0.5*VLOOKUP(血条计算评估!B34,D_关卡怪物类型血条判断!$A$2:$B$5,2,FALSE)*500</f>
        <v>5744.5626465380283</v>
      </c>
      <c r="D34">
        <v>3</v>
      </c>
      <c r="E34" s="23">
        <f>$A34^0.5*VLOOKUP(血条计算评估!D34,D_关卡怪物类型血条判断!$A$2:$B$5,2,FALSE)*500</f>
        <v>8616.8439698070433</v>
      </c>
      <c r="F34">
        <v>4</v>
      </c>
      <c r="G34" s="23">
        <f>$A34^0.5*VLOOKUP(血条计算评估!F34,D_关卡怪物类型血条判断!$A$2:$B$5,2,FALSE)*500</f>
        <v>11489.125293076057</v>
      </c>
      <c r="H34">
        <v>5</v>
      </c>
      <c r="I34" s="23">
        <f>$A34^0.5*VLOOKUP(血条计算评估!H34,D_关卡怪物类型血条判断!$A$2:$B$5,2,FALSE)*500</f>
        <v>14361.406616345072</v>
      </c>
      <c r="J34" s="25">
        <f>[5]副本难度推算!M37</f>
        <v>34573.196392958278</v>
      </c>
      <c r="M34">
        <f t="shared" si="0"/>
        <v>3872.1454999999996</v>
      </c>
      <c r="N34">
        <f t="shared" si="1"/>
        <v>8.9286924762920918</v>
      </c>
    </row>
    <row r="35" spans="1:14" x14ac:dyDescent="0.15">
      <c r="A35">
        <v>34</v>
      </c>
      <c r="B35">
        <v>2</v>
      </c>
      <c r="C35" s="23">
        <f>$A35^0.5*VLOOKUP(血条计算评估!B35,D_关卡怪物类型血条判断!$A$2:$B$5,2,FALSE)*500</f>
        <v>5830.9518948453006</v>
      </c>
      <c r="D35">
        <v>3</v>
      </c>
      <c r="E35" s="23">
        <f>$A35^0.5*VLOOKUP(血条计算评估!D35,D_关卡怪物类型血条判断!$A$2:$B$5,2,FALSE)*500</f>
        <v>8746.4278422679527</v>
      </c>
      <c r="F35">
        <v>4</v>
      </c>
      <c r="G35" s="23">
        <f>$A35^0.5*VLOOKUP(血条计算评估!F35,D_关卡怪物类型血条判断!$A$2:$B$5,2,FALSE)*500</f>
        <v>11661.903789690601</v>
      </c>
      <c r="H35">
        <v>5</v>
      </c>
      <c r="I35" s="23">
        <f>$A35^0.5*VLOOKUP(血条计算评估!H35,D_关卡怪物类型血条判断!$A$2:$B$5,2,FALSE)*500</f>
        <v>14577.379737113251</v>
      </c>
      <c r="J35" s="25">
        <f>[5]副本难度推算!M38</f>
        <v>38426.737014116785</v>
      </c>
      <c r="M35">
        <f t="shared" si="0"/>
        <v>4124.3339999999989</v>
      </c>
      <c r="N35">
        <f t="shared" si="1"/>
        <v>9.3170768938977293</v>
      </c>
    </row>
    <row r="36" spans="1:14" x14ac:dyDescent="0.15">
      <c r="A36">
        <v>35</v>
      </c>
      <c r="B36">
        <v>2</v>
      </c>
      <c r="C36" s="23">
        <f>$A36^0.5*VLOOKUP(血条计算评估!B36,D_关卡怪物类型血条判断!$A$2:$B$5,2,FALSE)*500</f>
        <v>5916.0797830996162</v>
      </c>
      <c r="D36">
        <v>3</v>
      </c>
      <c r="E36" s="23">
        <f>$A36^0.5*VLOOKUP(血条计算评估!D36,D_关卡怪物类型血条判断!$A$2:$B$5,2,FALSE)*500</f>
        <v>8874.1196746494243</v>
      </c>
      <c r="F36">
        <v>4</v>
      </c>
      <c r="G36" s="23">
        <f>$A36^0.5*VLOOKUP(血条计算评估!F36,D_关卡怪物类型血条判断!$A$2:$B$5,2,FALSE)*500</f>
        <v>11832.159566199232</v>
      </c>
      <c r="H36">
        <v>5</v>
      </c>
      <c r="I36" s="23">
        <f>$A36^0.5*VLOOKUP(血条计算评估!H36,D_关卡怪物类型血条判断!$A$2:$B$5,2,FALSE)*500</f>
        <v>14790.19945774904</v>
      </c>
      <c r="J36" s="25">
        <f>[5]副本难度推算!M39</f>
        <v>42562.734823703468</v>
      </c>
      <c r="M36">
        <f t="shared" si="0"/>
        <v>4384.5974999999999</v>
      </c>
      <c r="N36">
        <f t="shared" si="1"/>
        <v>9.7073299940766447</v>
      </c>
    </row>
    <row r="37" spans="1:14" x14ac:dyDescent="0.15">
      <c r="A37">
        <v>36</v>
      </c>
      <c r="B37">
        <v>2</v>
      </c>
      <c r="C37" s="23">
        <f>$A37^0.5*VLOOKUP(血条计算评估!B37,D_关卡怪物类型血条判断!$A$2:$B$5,2,FALSE)*500</f>
        <v>6000</v>
      </c>
      <c r="D37">
        <v>3</v>
      </c>
      <c r="E37" s="23">
        <f>$A37^0.5*VLOOKUP(血条计算评估!D37,D_关卡怪物类型血条判断!$A$2:$B$5,2,FALSE)*500</f>
        <v>9000</v>
      </c>
      <c r="F37">
        <v>4</v>
      </c>
      <c r="G37" s="23">
        <f>$A37^0.5*VLOOKUP(血条计算评估!F37,D_关卡怪物类型血条判断!$A$2:$B$5,2,FALSE)*500</f>
        <v>12000</v>
      </c>
      <c r="H37">
        <v>5</v>
      </c>
      <c r="I37" s="23">
        <f>$A37^0.5*VLOOKUP(血条计算评估!H37,D_关卡怪物类型血条判断!$A$2:$B$5,2,FALSE)*500</f>
        <v>15000</v>
      </c>
      <c r="J37" s="25">
        <f>[5]副本难度推算!M40</f>
        <v>46992.99239665216</v>
      </c>
      <c r="M37">
        <f t="shared" si="0"/>
        <v>4652.9359999999997</v>
      </c>
      <c r="N37">
        <f t="shared" si="1"/>
        <v>10.099642977391515</v>
      </c>
    </row>
    <row r="38" spans="1:14" x14ac:dyDescent="0.15">
      <c r="A38">
        <v>37</v>
      </c>
      <c r="B38">
        <v>2</v>
      </c>
      <c r="C38" s="23">
        <f>$A38^0.5*VLOOKUP(血条计算评估!B38,D_关卡怪物类型血条判断!$A$2:$B$5,2,FALSE)*500</f>
        <v>6082.7625302982196</v>
      </c>
      <c r="D38">
        <v>3</v>
      </c>
      <c r="E38" s="23">
        <f>$A38^0.5*VLOOKUP(血条计算评估!D38,D_关卡怪物类型血条判断!$A$2:$B$5,2,FALSE)*500</f>
        <v>9124.1437954473295</v>
      </c>
      <c r="F38">
        <v>4</v>
      </c>
      <c r="G38" s="23">
        <f>$A38^0.5*VLOOKUP(血条计算评估!F38,D_关卡怪物类型血条判断!$A$2:$B$5,2,FALSE)*500</f>
        <v>12165.525060596439</v>
      </c>
      <c r="H38">
        <v>5</v>
      </c>
      <c r="I38" s="23">
        <f>$A38^0.5*VLOOKUP(血条计算评估!H38,D_关卡怪物类型血条判断!$A$2:$B$5,2,FALSE)*500</f>
        <v>15206.906325745547</v>
      </c>
      <c r="J38" s="25">
        <f>[5]副本难度推算!M41</f>
        <v>51729.516364590025</v>
      </c>
      <c r="M38">
        <f t="shared" si="0"/>
        <v>4929.3494999999994</v>
      </c>
      <c r="N38">
        <f t="shared" si="1"/>
        <v>10.494187187293178</v>
      </c>
    </row>
    <row r="39" spans="1:14" x14ac:dyDescent="0.15">
      <c r="A39">
        <v>38</v>
      </c>
      <c r="B39">
        <v>2</v>
      </c>
      <c r="C39" s="23">
        <f>$A39^0.5*VLOOKUP(血条计算评估!B39,D_关卡怪物类型血条判断!$A$2:$B$5,2,FALSE)*500</f>
        <v>6164.4140029689761</v>
      </c>
      <c r="D39">
        <v>3</v>
      </c>
      <c r="E39" s="23">
        <f>$A39^0.5*VLOOKUP(血条计算评估!D39,D_关卡怪物类型血条判断!$A$2:$B$5,2,FALSE)*500</f>
        <v>9246.6210044534637</v>
      </c>
      <c r="F39">
        <v>4</v>
      </c>
      <c r="G39" s="23">
        <f>$A39^0.5*VLOOKUP(血条计算评估!F39,D_关卡怪物类型血条判断!$A$2:$B$5,2,FALSE)*500</f>
        <v>12328.828005937952</v>
      </c>
      <c r="H39">
        <v>5</v>
      </c>
      <c r="I39" s="23">
        <f>$A39^0.5*VLOOKUP(血条计算评估!H39,D_关卡怪物类型血条判断!$A$2:$B$5,2,FALSE)*500</f>
        <v>15411.035007422439</v>
      </c>
      <c r="J39" s="25">
        <f>[5]副本难度推算!M42</f>
        <v>56784.51740497836</v>
      </c>
      <c r="M39">
        <f t="shared" si="0"/>
        <v>5213.8379999999997</v>
      </c>
      <c r="N39">
        <f t="shared" si="1"/>
        <v>10.891116564223584</v>
      </c>
    </row>
    <row r="40" spans="1:14" x14ac:dyDescent="0.15">
      <c r="A40">
        <v>39</v>
      </c>
      <c r="B40">
        <v>2</v>
      </c>
      <c r="C40" s="23">
        <f>$A40^0.5*VLOOKUP(血条计算评估!B40,D_关卡怪物类型血条判断!$A$2:$B$5,2,FALSE)*500</f>
        <v>6244.9979983983985</v>
      </c>
      <c r="D40">
        <v>3</v>
      </c>
      <c r="E40" s="23">
        <f>$A40^0.5*VLOOKUP(血条计算评估!D40,D_关卡怪物类型血条判断!$A$2:$B$5,2,FALSE)*500</f>
        <v>9367.4969975975982</v>
      </c>
      <c r="F40">
        <v>4</v>
      </c>
      <c r="G40" s="23">
        <f>$A40^0.5*VLOOKUP(血条计算评估!F40,D_关卡怪物类型血条判断!$A$2:$B$5,2,FALSE)*500</f>
        <v>12489.995996796797</v>
      </c>
      <c r="H40">
        <v>5</v>
      </c>
      <c r="I40" s="23">
        <f>$A40^0.5*VLOOKUP(血条计算评估!H40,D_关卡怪物类型血条判断!$A$2:$B$5,2,FALSE)*500</f>
        <v>15612.494995995994</v>
      </c>
      <c r="J40" s="25">
        <f>[5]副本难度推算!M43</f>
        <v>62170.410214863972</v>
      </c>
      <c r="M40">
        <f t="shared" si="0"/>
        <v>5506.401499999999</v>
      </c>
      <c r="N40">
        <f t="shared" si="1"/>
        <v>11.290569751381911</v>
      </c>
    </row>
    <row r="41" spans="1:14" x14ac:dyDescent="0.15">
      <c r="A41">
        <v>40</v>
      </c>
      <c r="B41">
        <v>2</v>
      </c>
      <c r="C41" s="23">
        <f>$A41^0.5*VLOOKUP(血条计算评估!B41,D_关卡怪物类型血条判断!$A$2:$B$5,2,FALSE)*500</f>
        <v>6324.555320336759</v>
      </c>
      <c r="D41">
        <v>3</v>
      </c>
      <c r="E41" s="23">
        <f>$A41^0.5*VLOOKUP(血条计算评估!D41,D_关卡怪物类型血条判断!$A$2:$B$5,2,FALSE)*500</f>
        <v>9486.832980505138</v>
      </c>
      <c r="F41">
        <v>4</v>
      </c>
      <c r="G41" s="23">
        <f>$A41^0.5*VLOOKUP(血条计算评估!F41,D_关卡怪物类型血条判断!$A$2:$B$5,2,FALSE)*500</f>
        <v>12649.110640673518</v>
      </c>
      <c r="H41">
        <v>5</v>
      </c>
      <c r="I41" s="23">
        <f>$A41^0.5*VLOOKUP(血条计算评估!H41,D_关卡怪物类型血条判断!$A$2:$B$5,2,FALSE)*500</f>
        <v>15811.388300841898</v>
      </c>
      <c r="J41" s="25">
        <f>[5]副本难度推算!M44</f>
        <v>68511.523503065546</v>
      </c>
      <c r="M41">
        <f t="shared" si="0"/>
        <v>5807.0399999999991</v>
      </c>
      <c r="N41">
        <f t="shared" si="1"/>
        <v>11.79801129371686</v>
      </c>
    </row>
    <row r="42" spans="1:14" x14ac:dyDescent="0.15">
      <c r="A42">
        <v>41</v>
      </c>
      <c r="B42">
        <v>2</v>
      </c>
      <c r="C42" s="23">
        <f>$A42^0.5*VLOOKUP(血条计算评估!B42,D_关卡怪物类型血条判断!$A$2:$B$5,2,FALSE)*500</f>
        <v>6403.1242374328485</v>
      </c>
      <c r="D42">
        <v>3</v>
      </c>
      <c r="E42" s="23">
        <f>$A42^0.5*VLOOKUP(血条计算评估!D42,D_关卡怪物类型血条判断!$A$2:$B$5,2,FALSE)*500</f>
        <v>9604.6863561492719</v>
      </c>
      <c r="F42">
        <v>4</v>
      </c>
      <c r="G42" s="23">
        <f>$A42^0.5*VLOOKUP(血条计算评估!F42,D_关卡怪物类型血条判断!$A$2:$B$5,2,FALSE)*500</f>
        <v>12806.248474865697</v>
      </c>
      <c r="H42">
        <v>5</v>
      </c>
      <c r="I42" s="23">
        <f>$A42^0.5*VLOOKUP(血条计算评估!H42,D_关卡怪物类型血条判断!$A$2:$B$5,2,FALSE)*500</f>
        <v>16007.810593582122</v>
      </c>
      <c r="J42" s="25">
        <f>[5]副本难度推算!M45</f>
        <v>75283.541885462531</v>
      </c>
      <c r="M42">
        <f t="shared" si="0"/>
        <v>6115.7534999999989</v>
      </c>
      <c r="N42">
        <f t="shared" si="1"/>
        <v>12.309773748314504</v>
      </c>
    </row>
    <row r="43" spans="1:14" x14ac:dyDescent="0.15">
      <c r="A43">
        <v>42</v>
      </c>
      <c r="B43">
        <v>2</v>
      </c>
      <c r="C43" s="23">
        <f>$A43^0.5*VLOOKUP(血条计算评估!B43,D_关卡怪物类型血条判断!$A$2:$B$5,2,FALSE)*500</f>
        <v>6480.7406984078607</v>
      </c>
      <c r="D43">
        <v>3</v>
      </c>
      <c r="E43" s="23">
        <f>$A43^0.5*VLOOKUP(血条计算评估!D43,D_关卡怪物类型血条判断!$A$2:$B$5,2,FALSE)*500</f>
        <v>9721.1110476117901</v>
      </c>
      <c r="F43">
        <v>4</v>
      </c>
      <c r="G43" s="23">
        <f>$A43^0.5*VLOOKUP(血条计算评估!F43,D_关卡怪物类型血条判断!$A$2:$B$5,2,FALSE)*500</f>
        <v>12961.481396815721</v>
      </c>
      <c r="H43">
        <v>5</v>
      </c>
      <c r="I43" s="23">
        <f>$A43^0.5*VLOOKUP(血条计算评估!H43,D_关卡怪物类型血条判断!$A$2:$B$5,2,FALSE)*500</f>
        <v>16201.851746019649</v>
      </c>
      <c r="J43" s="25">
        <f>[5]副本难度推算!M46</f>
        <v>82503.226288916951</v>
      </c>
      <c r="M43">
        <f t="shared" si="0"/>
        <v>6432.5419999999995</v>
      </c>
      <c r="N43">
        <f t="shared" si="1"/>
        <v>12.825913346374879</v>
      </c>
    </row>
    <row r="44" spans="1:14" x14ac:dyDescent="0.15">
      <c r="A44">
        <v>43</v>
      </c>
      <c r="B44">
        <v>2</v>
      </c>
      <c r="C44" s="23">
        <f>$A44^0.5*VLOOKUP(血条计算评估!B44,D_关卡怪物类型血条判断!$A$2:$B$5,2,FALSE)*500</f>
        <v>6557.4385243020006</v>
      </c>
      <c r="D44">
        <v>3</v>
      </c>
      <c r="E44" s="23">
        <f>$A44^0.5*VLOOKUP(血条计算评估!D44,D_关卡怪物类型血条判断!$A$2:$B$5,2,FALSE)*500</f>
        <v>9836.1577864530009</v>
      </c>
      <c r="F44">
        <v>4</v>
      </c>
      <c r="G44" s="23">
        <f>$A44^0.5*VLOOKUP(血条计算评估!F44,D_关卡怪物类型血条判断!$A$2:$B$5,2,FALSE)*500</f>
        <v>13114.877048604001</v>
      </c>
      <c r="H44">
        <v>5</v>
      </c>
      <c r="I44" s="23">
        <f>$A44^0.5*VLOOKUP(血条计算评估!H44,D_关卡怪物类型血条判断!$A$2:$B$5,2,FALSE)*500</f>
        <v>16393.596310755001</v>
      </c>
      <c r="J44" s="25">
        <f>[5]副本难度推算!M47</f>
        <v>90187.609011053428</v>
      </c>
      <c r="M44">
        <f t="shared" si="0"/>
        <v>6757.4054999999998</v>
      </c>
      <c r="N44">
        <f t="shared" si="1"/>
        <v>13.346484684255433</v>
      </c>
    </row>
    <row r="45" spans="1:14" x14ac:dyDescent="0.15">
      <c r="A45">
        <v>44</v>
      </c>
      <c r="B45">
        <v>2</v>
      </c>
      <c r="C45" s="23">
        <f>$A45^0.5*VLOOKUP(血条计算评估!B45,D_关卡怪物类型血条判断!$A$2:$B$5,2,FALSE)*500</f>
        <v>6633.2495807107998</v>
      </c>
      <c r="D45">
        <v>3</v>
      </c>
      <c r="E45" s="23">
        <f>$A45^0.5*VLOOKUP(血条计算评估!D45,D_关卡怪物类型血条判断!$A$2:$B$5,2,FALSE)*500</f>
        <v>9949.8743710662002</v>
      </c>
      <c r="F45">
        <v>4</v>
      </c>
      <c r="G45" s="23">
        <f>$A45^0.5*VLOOKUP(血条计算评估!F45,D_关卡怪物类型血条判断!$A$2:$B$5,2,FALSE)*500</f>
        <v>13266.4991614216</v>
      </c>
      <c r="H45">
        <v>5</v>
      </c>
      <c r="I45" s="23">
        <f>$A45^0.5*VLOOKUP(血条计算评估!H45,D_关卡怪物类型血条判断!$A$2:$B$5,2,FALSE)*500</f>
        <v>16583.123951776997</v>
      </c>
      <c r="J45" s="25">
        <f>[5]副本难度推算!M48</f>
        <v>98353.993690285599</v>
      </c>
      <c r="M45">
        <f t="shared" si="0"/>
        <v>7090.3439999999991</v>
      </c>
      <c r="N45">
        <f t="shared" si="1"/>
        <v>13.8715404626751</v>
      </c>
    </row>
    <row r="46" spans="1:14" x14ac:dyDescent="0.15">
      <c r="A46">
        <v>45</v>
      </c>
      <c r="B46">
        <v>2</v>
      </c>
      <c r="C46" s="23">
        <f>$A46^0.5*VLOOKUP(血条计算评估!B46,D_关卡怪物类型血条判断!$A$2:$B$5,2,FALSE)*500</f>
        <v>6708.2039324993693</v>
      </c>
      <c r="D46">
        <v>3</v>
      </c>
      <c r="E46" s="23">
        <f>$A46^0.5*VLOOKUP(血条计算评估!D46,D_关卡怪物类型血条判断!$A$2:$B$5,2,FALSE)*500</f>
        <v>10062.305898749055</v>
      </c>
      <c r="F46">
        <v>4</v>
      </c>
      <c r="G46" s="23">
        <f>$A46^0.5*VLOOKUP(血条计算评估!F46,D_关卡怪物类型血条判断!$A$2:$B$5,2,FALSE)*500</f>
        <v>13416.407864998739</v>
      </c>
      <c r="H46">
        <v>5</v>
      </c>
      <c r="I46" s="23">
        <f>$A46^0.5*VLOOKUP(血条计算评估!H46,D_关卡怪物类型血条判断!$A$2:$B$5,2,FALSE)*500</f>
        <v>16770.509831248426</v>
      </c>
      <c r="J46" s="25">
        <f>[5]副本难度推算!M49</f>
        <v>107019.955261108</v>
      </c>
      <c r="M46">
        <f t="shared" si="0"/>
        <v>7431.3574999999992</v>
      </c>
      <c r="N46">
        <f t="shared" si="1"/>
        <v>14.401131322387331</v>
      </c>
    </row>
    <row r="47" spans="1:14" x14ac:dyDescent="0.15">
      <c r="A47">
        <v>46</v>
      </c>
      <c r="B47">
        <v>2</v>
      </c>
      <c r="C47" s="23">
        <f>$A47^0.5*VLOOKUP(血条计算评估!B47,D_关卡怪物类型血条判断!$A$2:$B$5,2,FALSE)*500</f>
        <v>6782.329983125268</v>
      </c>
      <c r="D47">
        <v>3</v>
      </c>
      <c r="E47" s="23">
        <f>$A47^0.5*VLOOKUP(血条计算评估!D47,D_关卡怪物类型血条判断!$A$2:$B$5,2,FALSE)*500</f>
        <v>10173.494974687901</v>
      </c>
      <c r="F47">
        <v>4</v>
      </c>
      <c r="G47" s="23">
        <f>$A47^0.5*VLOOKUP(血条计算评估!F47,D_关卡怪物类型血条判断!$A$2:$B$5,2,FALSE)*500</f>
        <v>13564.659966250536</v>
      </c>
      <c r="H47">
        <v>5</v>
      </c>
      <c r="I47" s="23">
        <f>$A47^0.5*VLOOKUP(血条计算评估!H47,D_关卡怪物类型血条判断!$A$2:$B$5,2,FALSE)*500</f>
        <v>16955.824957813169</v>
      </c>
      <c r="J47" s="25">
        <f>[5]副本难度推算!M50</f>
        <v>116203.33989693534</v>
      </c>
      <c r="M47">
        <f t="shared" si="0"/>
        <v>7780.4459999999981</v>
      </c>
      <c r="N47">
        <f t="shared" si="1"/>
        <v>14.935305752001282</v>
      </c>
    </row>
    <row r="48" spans="1:14" x14ac:dyDescent="0.15">
      <c r="A48">
        <v>47</v>
      </c>
      <c r="B48">
        <v>2</v>
      </c>
      <c r="C48" s="23">
        <f>$A48^0.5*VLOOKUP(血条计算评估!B48,D_关卡怪物类型血条判断!$A$2:$B$5,2,FALSE)*500</f>
        <v>6855.6546004010443</v>
      </c>
      <c r="D48">
        <v>3</v>
      </c>
      <c r="E48" s="23">
        <f>$A48^0.5*VLOOKUP(血条计算评估!D48,D_关卡怪物类型血条判断!$A$2:$B$5,2,FALSE)*500</f>
        <v>10283.481900601564</v>
      </c>
      <c r="F48">
        <v>4</v>
      </c>
      <c r="G48" s="23">
        <f>$A48^0.5*VLOOKUP(血条计算评估!F48,D_关卡怪物类型血条判断!$A$2:$B$5,2,FALSE)*500</f>
        <v>13711.309200802089</v>
      </c>
      <c r="H48">
        <v>5</v>
      </c>
      <c r="I48" s="23">
        <f>$A48^0.5*VLOOKUP(血条计算评估!H48,D_关卡怪物类型血条判断!$A$2:$B$5,2,FALSE)*500</f>
        <v>17139.136501002609</v>
      </c>
      <c r="J48" s="25">
        <f>[5]副本难度推算!M51</f>
        <v>125922.2649424351</v>
      </c>
      <c r="M48">
        <f t="shared" si="0"/>
        <v>8137.6094999999996</v>
      </c>
      <c r="N48">
        <f t="shared" si="1"/>
        <v>15.474110049448194</v>
      </c>
    </row>
    <row r="49" spans="1:14" x14ac:dyDescent="0.15">
      <c r="A49">
        <v>48</v>
      </c>
      <c r="B49">
        <v>2</v>
      </c>
      <c r="C49" s="23">
        <f>$A49^0.5*VLOOKUP(血条计算评估!B49,D_关卡怪物类型血条判断!$A$2:$B$5,2,FALSE)*500</f>
        <v>6928.2032302755088</v>
      </c>
      <c r="D49">
        <v>3</v>
      </c>
      <c r="E49" s="23">
        <f>$A49^0.5*VLOOKUP(血条计算评估!D49,D_关卡怪物类型血条判断!$A$2:$B$5,2,FALSE)*500</f>
        <v>10392.304845413264</v>
      </c>
      <c r="F49">
        <v>4</v>
      </c>
      <c r="G49" s="23">
        <f>$A49^0.5*VLOOKUP(血条计算评估!F49,D_关卡怪物类型血条判断!$A$2:$B$5,2,FALSE)*500</f>
        <v>13856.406460551018</v>
      </c>
      <c r="H49">
        <v>5</v>
      </c>
      <c r="I49" s="23">
        <f>$A49^0.5*VLOOKUP(血条计算评估!H49,D_关卡怪物类型血条判断!$A$2:$B$5,2,FALSE)*500</f>
        <v>17320.508075688773</v>
      </c>
      <c r="J49" s="25">
        <f>[5]副本难度推算!M52</f>
        <v>136195.11883701631</v>
      </c>
      <c r="M49">
        <f t="shared" si="0"/>
        <v>8502.848</v>
      </c>
      <c r="N49">
        <f t="shared" si="1"/>
        <v>16.017588322996755</v>
      </c>
    </row>
    <row r="50" spans="1:14" x14ac:dyDescent="0.15">
      <c r="A50">
        <v>49</v>
      </c>
      <c r="B50">
        <v>2</v>
      </c>
      <c r="C50" s="23">
        <f>$A50^0.5*VLOOKUP(血条计算评估!B50,D_关卡怪物类型血条判断!$A$2:$B$5,2,FALSE)*500</f>
        <v>7000</v>
      </c>
      <c r="D50">
        <v>3</v>
      </c>
      <c r="E50" s="23">
        <f>$A50^0.5*VLOOKUP(血条计算评估!D50,D_关卡怪物类型血条判断!$A$2:$B$5,2,FALSE)*500</f>
        <v>10500</v>
      </c>
      <c r="F50">
        <v>4</v>
      </c>
      <c r="G50" s="23">
        <f>$A50^0.5*VLOOKUP(血条计算评估!F50,D_关卡怪物类型血条判断!$A$2:$B$5,2,FALSE)*500</f>
        <v>14000</v>
      </c>
      <c r="H50">
        <v>5</v>
      </c>
      <c r="I50" s="23">
        <f>$A50^0.5*VLOOKUP(血条计算评估!H50,D_关卡怪物类型血条判断!$A$2:$B$5,2,FALSE)*500</f>
        <v>17500</v>
      </c>
      <c r="J50" s="25">
        <f>[5]副本难度推算!M53</f>
        <v>147040.56103089673</v>
      </c>
      <c r="M50">
        <f t="shared" si="0"/>
        <v>8876.1614999999983</v>
      </c>
      <c r="N50">
        <f t="shared" si="1"/>
        <v>16.565782521070258</v>
      </c>
    </row>
    <row r="51" spans="1:14" x14ac:dyDescent="0.15">
      <c r="A51">
        <v>50</v>
      </c>
      <c r="B51">
        <v>2</v>
      </c>
      <c r="C51" s="23">
        <f>$A51^0.5*VLOOKUP(血条计算评估!B51,D_关卡怪物类型血条判断!$A$2:$B$5,2,FALSE)*500</f>
        <v>7071.067811865476</v>
      </c>
      <c r="D51">
        <v>3</v>
      </c>
      <c r="E51" s="23">
        <f>$A51^0.5*VLOOKUP(血条计算评估!D51,D_关卡怪物类型血条判断!$A$2:$B$5,2,FALSE)*500</f>
        <v>10606.601717798214</v>
      </c>
      <c r="F51">
        <v>4</v>
      </c>
      <c r="G51" s="23">
        <f>$A51^0.5*VLOOKUP(血条计算评估!F51,D_关卡怪物类型血条判断!$A$2:$B$5,2,FALSE)*500</f>
        <v>14142.135623730952</v>
      </c>
      <c r="H51">
        <v>5</v>
      </c>
      <c r="I51" s="23">
        <f>$A51^0.5*VLOOKUP(血条计算评估!H51,D_关卡怪物类型血条判断!$A$2:$B$5,2,FALSE)*500</f>
        <v>17677.66952966369</v>
      </c>
      <c r="J51" s="25">
        <f>[5]副本难度推算!M54</f>
        <v>159520.13717059622</v>
      </c>
      <c r="M51">
        <f t="shared" si="0"/>
        <v>9257.5499999999993</v>
      </c>
      <c r="N51">
        <f t="shared" si="1"/>
        <v>17.231355722690804</v>
      </c>
    </row>
    <row r="52" spans="1:14" x14ac:dyDescent="0.15">
      <c r="A52">
        <v>51</v>
      </c>
      <c r="B52">
        <v>2</v>
      </c>
      <c r="C52" s="23">
        <f>$A52^0.5*VLOOKUP(血条计算评估!B52,D_关卡怪物类型血条判断!$A$2:$B$5,2,FALSE)*500</f>
        <v>7141.4284285428503</v>
      </c>
      <c r="D52">
        <v>3</v>
      </c>
      <c r="E52" s="23">
        <f>$A52^0.5*VLOOKUP(血条计算评估!D52,D_关卡怪物类型血条判断!$A$2:$B$5,2,FALSE)*500</f>
        <v>10712.142642814275</v>
      </c>
      <c r="F52">
        <v>4</v>
      </c>
      <c r="G52" s="23">
        <f>$A52^0.5*VLOOKUP(血条计算评估!F52,D_关卡怪物类型血条判断!$A$2:$B$5,2,FALSE)*500</f>
        <v>14282.856857085701</v>
      </c>
      <c r="H52">
        <v>5</v>
      </c>
      <c r="I52" s="23">
        <f>$A52^0.5*VLOOKUP(血条计算评估!H52,D_关卡怪物类型血条判断!$A$2:$B$5,2,FALSE)*500</f>
        <v>17853.571071357128</v>
      </c>
      <c r="J52" s="25">
        <f>[5]副本难度推算!M55</f>
        <v>169633.39780854934</v>
      </c>
      <c r="M52">
        <f t="shared" si="0"/>
        <v>9647.0134999999991</v>
      </c>
      <c r="N52">
        <f t="shared" si="1"/>
        <v>17.584032385623733</v>
      </c>
    </row>
    <row r="53" spans="1:14" x14ac:dyDescent="0.15">
      <c r="A53">
        <v>52</v>
      </c>
      <c r="B53">
        <v>2</v>
      </c>
      <c r="C53" s="23">
        <f>$A53^0.5*VLOOKUP(血条计算评估!B53,D_关卡怪物类型血条判断!$A$2:$B$5,2,FALSE)*500</f>
        <v>7211.102550927978</v>
      </c>
      <c r="D53">
        <v>3</v>
      </c>
      <c r="E53" s="23">
        <f>$A53^0.5*VLOOKUP(血条计算评估!D53,D_关卡怪物类型血条判断!$A$2:$B$5,2,FALSE)*500</f>
        <v>10816.653826391967</v>
      </c>
      <c r="F53">
        <v>4</v>
      </c>
      <c r="G53" s="23">
        <f>$A53^0.5*VLOOKUP(血条计算评估!F53,D_关卡怪物类型血条判断!$A$2:$B$5,2,FALSE)*500</f>
        <v>14422.205101855956</v>
      </c>
      <c r="H53">
        <v>5</v>
      </c>
      <c r="I53" s="23">
        <f>$A53^0.5*VLOOKUP(血条计算评估!H53,D_关卡怪物类型血条判断!$A$2:$B$5,2,FALSE)*500</f>
        <v>18027.756377319947</v>
      </c>
      <c r="J53" s="25">
        <f>[5]副本难度推算!M56</f>
        <v>186638.13280369047</v>
      </c>
      <c r="M53">
        <f t="shared" si="0"/>
        <v>10044.552</v>
      </c>
      <c r="N53">
        <f t="shared" si="1"/>
        <v>18.581031070742675</v>
      </c>
    </row>
    <row r="54" spans="1:14" x14ac:dyDescent="0.15">
      <c r="A54">
        <v>53</v>
      </c>
      <c r="B54">
        <v>2</v>
      </c>
      <c r="C54" s="23">
        <f>$A54^0.5*VLOOKUP(血条计算评估!B54,D_关卡怪物类型血条判断!$A$2:$B$5,2,FALSE)*500</f>
        <v>7280.1098892805185</v>
      </c>
      <c r="D54">
        <v>3</v>
      </c>
      <c r="E54" s="23">
        <f>$A54^0.5*VLOOKUP(血条计算评估!D54,D_关卡怪物类型血条判断!$A$2:$B$5,2,FALSE)*500</f>
        <v>10920.164833920777</v>
      </c>
      <c r="F54">
        <v>4</v>
      </c>
      <c r="G54" s="23">
        <f>$A54^0.5*VLOOKUP(血条计算评估!F54,D_关卡怪物类型血条判断!$A$2:$B$5,2,FALSE)*500</f>
        <v>14560.219778561037</v>
      </c>
      <c r="H54">
        <v>5</v>
      </c>
      <c r="I54" s="23">
        <f>$A54^0.5*VLOOKUP(血条计算评估!H54,D_关卡怪物类型血条判断!$A$2:$B$5,2,FALSE)*500</f>
        <v>18200.274723201295</v>
      </c>
      <c r="J54" s="25">
        <f>[5]副本难度推算!M57</f>
        <v>201324.31814386719</v>
      </c>
      <c r="M54">
        <f t="shared" si="0"/>
        <v>10450.165499999999</v>
      </c>
      <c r="N54">
        <f t="shared" si="1"/>
        <v>19.265179881014056</v>
      </c>
    </row>
    <row r="55" spans="1:14" x14ac:dyDescent="0.15">
      <c r="A55">
        <v>54</v>
      </c>
      <c r="B55">
        <v>2</v>
      </c>
      <c r="C55" s="23">
        <f>$A55^0.5*VLOOKUP(血条计算评估!B55,D_关卡怪物类型血条判断!$A$2:$B$5,2,FALSE)*500</f>
        <v>7348.4692283495342</v>
      </c>
      <c r="D55">
        <v>3</v>
      </c>
      <c r="E55" s="23">
        <f>$A55^0.5*VLOOKUP(血条计算评估!D55,D_关卡怪物类型血条判断!$A$2:$B$5,2,FALSE)*500</f>
        <v>11022.703842524301</v>
      </c>
      <c r="F55">
        <v>4</v>
      </c>
      <c r="G55" s="23">
        <f>$A55^0.5*VLOOKUP(血条计算评估!F55,D_关卡怪物类型血条判断!$A$2:$B$5,2,FALSE)*500</f>
        <v>14696.938456699068</v>
      </c>
      <c r="H55">
        <v>5</v>
      </c>
      <c r="I55" s="23">
        <f>$A55^0.5*VLOOKUP(血条计算评估!H55,D_关卡怪物类型血条判断!$A$2:$B$5,2,FALSE)*500</f>
        <v>18371.173070873836</v>
      </c>
      <c r="J55" s="25">
        <f>[5]副本难度推算!M58</f>
        <v>216794.36946781015</v>
      </c>
      <c r="M55">
        <f t="shared" si="0"/>
        <v>10863.853999999999</v>
      </c>
      <c r="N55">
        <f t="shared" si="1"/>
        <v>19.955567284668053</v>
      </c>
    </row>
    <row r="56" spans="1:14" x14ac:dyDescent="0.15">
      <c r="A56">
        <v>55</v>
      </c>
      <c r="B56">
        <v>2</v>
      </c>
      <c r="C56" s="23">
        <f>$A56^0.5*VLOOKUP(血条计算评估!B56,D_关卡怪物类型血条判断!$A$2:$B$5,2,FALSE)*500</f>
        <v>7416.198487095663</v>
      </c>
      <c r="D56">
        <v>3</v>
      </c>
      <c r="E56" s="23">
        <f>$A56^0.5*VLOOKUP(血条计算评估!D56,D_关卡怪物类型血条判断!$A$2:$B$5,2,FALSE)*500</f>
        <v>11124.297730643495</v>
      </c>
      <c r="F56">
        <v>4</v>
      </c>
      <c r="G56" s="23">
        <f>$A56^0.5*VLOOKUP(血条计算评估!F56,D_关卡怪物类型血条判断!$A$2:$B$5,2,FALSE)*500</f>
        <v>14832.396974191326</v>
      </c>
      <c r="H56">
        <v>5</v>
      </c>
      <c r="I56" s="23">
        <f>$A56^0.5*VLOOKUP(血条计算评估!H56,D_关卡怪物类型血条判断!$A$2:$B$5,2,FALSE)*500</f>
        <v>18540.496217739157</v>
      </c>
      <c r="J56" s="25">
        <f>[5]副本难度推算!M59</f>
        <v>233073.01513015016</v>
      </c>
      <c r="M56">
        <f t="shared" si="0"/>
        <v>11285.617499999998</v>
      </c>
      <c r="N56">
        <f t="shared" si="1"/>
        <v>20.652216427692167</v>
      </c>
    </row>
    <row r="57" spans="1:14" x14ac:dyDescent="0.15">
      <c r="A57">
        <v>56</v>
      </c>
      <c r="B57">
        <v>2</v>
      </c>
      <c r="C57" s="23">
        <f>$A57^0.5*VLOOKUP(血条计算评估!B57,D_关卡怪物类型血条判断!$A$2:$B$5,2,FALSE)*500</f>
        <v>7483.3147735478824</v>
      </c>
      <c r="D57">
        <v>3</v>
      </c>
      <c r="E57" s="23">
        <f>$A57^0.5*VLOOKUP(血条计算评估!D57,D_关卡怪物类型血条判断!$A$2:$B$5,2,FALSE)*500</f>
        <v>11224.972160321824</v>
      </c>
      <c r="F57">
        <v>4</v>
      </c>
      <c r="G57" s="23">
        <f>$A57^0.5*VLOOKUP(血条计算评估!F57,D_关卡怪物类型血条判断!$A$2:$B$5,2,FALSE)*500</f>
        <v>14966.629547095765</v>
      </c>
      <c r="H57">
        <v>5</v>
      </c>
      <c r="I57" s="23">
        <f>$A57^0.5*VLOOKUP(血条计算评估!H57,D_关卡怪物类型血条判断!$A$2:$B$5,2,FALSE)*500</f>
        <v>18708.286933869709</v>
      </c>
      <c r="J57" s="25">
        <f>[5]副本难度推算!M60</f>
        <v>250185.32144305485</v>
      </c>
      <c r="M57">
        <f t="shared" si="0"/>
        <v>11715.455999999998</v>
      </c>
      <c r="N57">
        <f t="shared" si="1"/>
        <v>21.355150106240412</v>
      </c>
    </row>
    <row r="58" spans="1:14" x14ac:dyDescent="0.15">
      <c r="A58">
        <v>57</v>
      </c>
      <c r="B58">
        <v>2</v>
      </c>
      <c r="C58" s="23">
        <f>$A58^0.5*VLOOKUP(血条计算评估!B58,D_关卡怪物类型血条判断!$A$2:$B$5,2,FALSE)*500</f>
        <v>7549.83443527075</v>
      </c>
      <c r="D58">
        <v>3</v>
      </c>
      <c r="E58" s="23">
        <f>$A58^0.5*VLOOKUP(血条计算评估!D58,D_关卡怪物类型血条判断!$A$2:$B$5,2,FALSE)*500</f>
        <v>11324.751652906125</v>
      </c>
      <c r="F58">
        <v>4</v>
      </c>
      <c r="G58" s="23">
        <f>$A58^0.5*VLOOKUP(血条计算评估!F58,D_关卡怪物类型血条判断!$A$2:$B$5,2,FALSE)*500</f>
        <v>15099.6688705415</v>
      </c>
      <c r="H58">
        <v>5</v>
      </c>
      <c r="I58" s="23">
        <f>$A58^0.5*VLOOKUP(血条计算评估!H58,D_关卡怪物类型血条判断!$A$2:$B$5,2,FALSE)*500</f>
        <v>18874.586088176875</v>
      </c>
      <c r="J58" s="25">
        <f>[5]副本难度推算!M61</f>
        <v>268156.69255101995</v>
      </c>
      <c r="M58">
        <f t="shared" si="0"/>
        <v>12153.369499999999</v>
      </c>
      <c r="N58">
        <f t="shared" si="1"/>
        <v>22.064390665569739</v>
      </c>
    </row>
    <row r="59" spans="1:14" x14ac:dyDescent="0.15">
      <c r="A59">
        <v>58</v>
      </c>
      <c r="B59">
        <v>2</v>
      </c>
      <c r="C59" s="23">
        <f>$A59^0.5*VLOOKUP(血条计算评估!B59,D_关卡怪物类型血条判断!$A$2:$B$5,2,FALSE)*500</f>
        <v>7615.7731058639083</v>
      </c>
      <c r="D59">
        <v>3</v>
      </c>
      <c r="E59" s="23">
        <f>$A59^0.5*VLOOKUP(血条计算评估!D59,D_关卡怪物类型血条判断!$A$2:$B$5,2,FALSE)*500</f>
        <v>11423.659658795863</v>
      </c>
      <c r="F59">
        <v>4</v>
      </c>
      <c r="G59" s="23">
        <f>$A59^0.5*VLOOKUP(血条计算评估!F59,D_关卡怪物类型血条判断!$A$2:$B$5,2,FALSE)*500</f>
        <v>15231.546211727817</v>
      </c>
      <c r="H59">
        <v>5</v>
      </c>
      <c r="I59" s="23">
        <f>$A59^0.5*VLOOKUP(血条计算评估!H59,D_关卡怪物类型血条判断!$A$2:$B$5,2,FALSE)*500</f>
        <v>19039.43276465977</v>
      </c>
      <c r="J59" s="25">
        <f>[5]副本难度推算!M62</f>
        <v>287012.87030293985</v>
      </c>
      <c r="M59">
        <f t="shared" si="0"/>
        <v>12599.358</v>
      </c>
      <c r="N59">
        <f t="shared" si="1"/>
        <v>22.779959923588159</v>
      </c>
    </row>
    <row r="60" spans="1:14" x14ac:dyDescent="0.15">
      <c r="A60">
        <v>59</v>
      </c>
      <c r="B60">
        <v>2</v>
      </c>
      <c r="C60" s="23">
        <f>$A60^0.5*VLOOKUP(血条计算评估!B60,D_关卡怪物类型血条判断!$A$2:$B$5,2,FALSE)*500</f>
        <v>7681.1457478686079</v>
      </c>
      <c r="D60">
        <v>3</v>
      </c>
      <c r="E60" s="23">
        <f>$A60^0.5*VLOOKUP(血条计算评估!D60,D_关卡怪物类型血条判断!$A$2:$B$5,2,FALSE)*500</f>
        <v>11521.718621802911</v>
      </c>
      <c r="F60">
        <v>4</v>
      </c>
      <c r="G60" s="23">
        <f>$A60^0.5*VLOOKUP(血条计算评估!F60,D_关卡怪物类型血条判断!$A$2:$B$5,2,FALSE)*500</f>
        <v>15362.291495737216</v>
      </c>
      <c r="H60">
        <v>5</v>
      </c>
      <c r="I60" s="23">
        <f>$A60^0.5*VLOOKUP(血条计算评估!H60,D_关卡怪物类型血条判断!$A$2:$B$5,2,FALSE)*500</f>
        <v>19202.864369671519</v>
      </c>
      <c r="J60" s="25">
        <f>[5]副本难度推算!M63</f>
        <v>306779.93412203423</v>
      </c>
      <c r="M60">
        <f t="shared" si="0"/>
        <v>13053.421499999999</v>
      </c>
      <c r="N60">
        <f t="shared" si="1"/>
        <v>23.501879114378884</v>
      </c>
    </row>
    <row r="61" spans="1:14" x14ac:dyDescent="0.15">
      <c r="A61">
        <v>60</v>
      </c>
      <c r="B61">
        <v>2</v>
      </c>
      <c r="C61" s="23">
        <f>$A61^0.5*VLOOKUP(血条计算评估!B61,D_关卡怪物类型血条判断!$A$2:$B$5,2,FALSE)*500</f>
        <v>7745.9666924148341</v>
      </c>
      <c r="D61">
        <v>3</v>
      </c>
      <c r="E61" s="23">
        <f>$A61^0.5*VLOOKUP(血条计算评估!D61,D_关卡怪物类型血条判断!$A$2:$B$5,2,FALSE)*500</f>
        <v>11618.950038622252</v>
      </c>
      <c r="F61">
        <v>4</v>
      </c>
      <c r="G61" s="23">
        <f>$A61^0.5*VLOOKUP(血条计算评估!F61,D_关卡怪物类型血条判断!$A$2:$B$5,2,FALSE)*500</f>
        <v>15491.933384829668</v>
      </c>
      <c r="H61">
        <v>5</v>
      </c>
      <c r="I61" s="23">
        <f>$A61^0.5*VLOOKUP(血条计算评估!H61,D_关卡怪物类型血条判断!$A$2:$B$5,2,FALSE)*500</f>
        <v>19364.916731037083</v>
      </c>
      <c r="J61" s="25">
        <f>[5]副本难度推算!M64</f>
        <v>329097.52403114893</v>
      </c>
      <c r="M61">
        <f t="shared" si="0"/>
        <v>13515.559999999998</v>
      </c>
      <c r="N61">
        <f t="shared" si="1"/>
        <v>24.349529285590016</v>
      </c>
    </row>
    <row r="62" spans="1:14" x14ac:dyDescent="0.15">
      <c r="A62">
        <v>61</v>
      </c>
      <c r="B62">
        <v>2</v>
      </c>
      <c r="C62" s="23">
        <f>$A62^0.5*VLOOKUP(血条计算评估!B62,D_关卡怪物类型血条判断!$A$2:$B$5,2,FALSE)*500</f>
        <v>7810.2496759066544</v>
      </c>
      <c r="D62">
        <v>3</v>
      </c>
      <c r="E62" s="23">
        <f>$A62^0.5*VLOOKUP(血条计算评估!D62,D_关卡怪物类型血条判断!$A$2:$B$5,2,FALSE)*500</f>
        <v>11715.374513859981</v>
      </c>
      <c r="F62">
        <v>4</v>
      </c>
      <c r="G62" s="23">
        <f>$A62^0.5*VLOOKUP(血条计算评估!F62,D_关卡怪物类型血条判断!$A$2:$B$5,2,FALSE)*500</f>
        <v>15620.499351813309</v>
      </c>
      <c r="H62">
        <v>5</v>
      </c>
      <c r="I62" s="23">
        <f>$A62^0.5*VLOOKUP(血条计算评估!H62,D_关卡怪物类型血条判断!$A$2:$B$5,2,FALSE)*500</f>
        <v>19525.624189766633</v>
      </c>
      <c r="J62" s="25">
        <f>[5]副本难度推算!M65</f>
        <v>352509.96247259458</v>
      </c>
      <c r="M62">
        <f t="shared" si="0"/>
        <v>13985.773499999999</v>
      </c>
      <c r="N62">
        <f t="shared" si="1"/>
        <v>25.204895708671</v>
      </c>
    </row>
    <row r="63" spans="1:14" x14ac:dyDescent="0.15">
      <c r="A63">
        <v>62</v>
      </c>
      <c r="B63">
        <v>2</v>
      </c>
      <c r="C63" s="23">
        <f>$A63^0.5*VLOOKUP(血条计算评估!B63,D_关卡怪物类型血条判断!$A$2:$B$5,2,FALSE)*500</f>
        <v>7874.0078740118115</v>
      </c>
      <c r="D63">
        <v>3</v>
      </c>
      <c r="E63" s="23">
        <f>$A63^0.5*VLOOKUP(血条计算评估!D63,D_关卡怪物类型血条判断!$A$2:$B$5,2,FALSE)*500</f>
        <v>11811.011811017717</v>
      </c>
      <c r="F63">
        <v>4</v>
      </c>
      <c r="G63" s="23">
        <f>$A63^0.5*VLOOKUP(血条计算评估!F63,D_关卡怪物类型血条判断!$A$2:$B$5,2,FALSE)*500</f>
        <v>15748.015748023623</v>
      </c>
      <c r="H63">
        <v>5</v>
      </c>
      <c r="I63" s="23">
        <f>$A63^0.5*VLOOKUP(血条计算评估!H63,D_关卡怪物类型血条判断!$A$2:$B$5,2,FALSE)*500</f>
        <v>19685.019685029525</v>
      </c>
      <c r="J63" s="25">
        <f>[5]副本难度推算!M66</f>
        <v>377049.08997165965</v>
      </c>
      <c r="M63">
        <f t="shared" si="0"/>
        <v>14464.061999999998</v>
      </c>
      <c r="N63">
        <f t="shared" si="1"/>
        <v>26.067994590431077</v>
      </c>
    </row>
    <row r="64" spans="1:14" x14ac:dyDescent="0.15">
      <c r="A64">
        <v>63</v>
      </c>
      <c r="B64">
        <v>2</v>
      </c>
      <c r="C64" s="23">
        <f>$A64^0.5*VLOOKUP(血条计算评估!B64,D_关卡怪物类型血条判断!$A$2:$B$5,2,FALSE)*500</f>
        <v>7937.2539331937724</v>
      </c>
      <c r="D64">
        <v>3</v>
      </c>
      <c r="E64" s="23">
        <f>$A64^0.5*VLOOKUP(血条计算评估!D64,D_关卡怪物类型血条判断!$A$2:$B$5,2,FALSE)*500</f>
        <v>11905.880899790658</v>
      </c>
      <c r="F64">
        <v>4</v>
      </c>
      <c r="G64" s="23">
        <f>$A64^0.5*VLOOKUP(血条计算评估!F64,D_关卡怪物类型血条判断!$A$2:$B$5,2,FALSE)*500</f>
        <v>15874.507866387545</v>
      </c>
      <c r="H64">
        <v>5</v>
      </c>
      <c r="I64" s="23">
        <f>$A64^0.5*VLOOKUP(血条计算评估!H64,D_关卡怪物类型血条判断!$A$2:$B$5,2,FALSE)*500</f>
        <v>19843.13483298443</v>
      </c>
      <c r="J64" s="25">
        <f>[5]副本难度推算!M67</f>
        <v>402747.15166459483</v>
      </c>
      <c r="M64">
        <f t="shared" si="0"/>
        <v>14950.425499999998</v>
      </c>
      <c r="N64">
        <f t="shared" si="1"/>
        <v>26.93884208610617</v>
      </c>
    </row>
    <row r="65" spans="1:14" x14ac:dyDescent="0.15">
      <c r="A65">
        <v>64</v>
      </c>
      <c r="B65">
        <v>2</v>
      </c>
      <c r="C65" s="23">
        <f>$A65^0.5*VLOOKUP(血条计算评估!B65,D_关卡怪物类型血条判断!$A$2:$B$5,2,FALSE)*500</f>
        <v>8000</v>
      </c>
      <c r="D65">
        <v>3</v>
      </c>
      <c r="E65" s="23">
        <f>$A65^0.5*VLOOKUP(血条计算评估!D65,D_关卡怪物类型血条判断!$A$2:$B$5,2,FALSE)*500</f>
        <v>12000</v>
      </c>
      <c r="F65">
        <v>4</v>
      </c>
      <c r="G65" s="23">
        <f>$A65^0.5*VLOOKUP(血条计算评估!F65,D_关卡怪物类型血条判断!$A$2:$B$5,2,FALSE)*500</f>
        <v>16000</v>
      </c>
      <c r="H65">
        <v>5</v>
      </c>
      <c r="I65" s="23">
        <f>$A65^0.5*VLOOKUP(血条计算评估!H65,D_关卡怪物类型血条判断!$A$2:$B$5,2,FALSE)*500</f>
        <v>20000</v>
      </c>
      <c r="J65" s="25">
        <f>[5]副本难度推算!M68</f>
        <v>429636.79714311572</v>
      </c>
      <c r="M65">
        <f t="shared" si="0"/>
        <v>15444.863999999998</v>
      </c>
      <c r="N65">
        <f t="shared" si="1"/>
        <v>27.817454212812478</v>
      </c>
    </row>
    <row r="66" spans="1:14" x14ac:dyDescent="0.15">
      <c r="A66">
        <v>65</v>
      </c>
      <c r="B66">
        <v>2</v>
      </c>
      <c r="C66" s="23">
        <f>$A66^0.5*VLOOKUP(血条计算评估!B66,D_关卡怪物类型血条判断!$A$2:$B$5,2,FALSE)*500</f>
        <v>8062.2577482985489</v>
      </c>
      <c r="D66">
        <v>3</v>
      </c>
      <c r="E66" s="23">
        <f>$A66^0.5*VLOOKUP(血条计算评估!D66,D_关卡怪物类型血条判断!$A$2:$B$5,2,FALSE)*500</f>
        <v>12093.386622447824</v>
      </c>
      <c r="F66">
        <v>4</v>
      </c>
      <c r="G66" s="23">
        <f>$A66^0.5*VLOOKUP(血条计算评估!F66,D_关卡怪物类型血条判断!$A$2:$B$5,2,FALSE)*500</f>
        <v>16124.515496597098</v>
      </c>
      <c r="H66">
        <v>5</v>
      </c>
      <c r="I66" s="23">
        <f>$A66^0.5*VLOOKUP(血条计算评估!H66,D_关卡怪物类型血条判断!$A$2:$B$5,2,FALSE)*500</f>
        <v>20155.644370746373</v>
      </c>
      <c r="J66" s="25">
        <f>[5]副本难度推算!M69</f>
        <v>457751.08029818488</v>
      </c>
      <c r="M66">
        <f t="shared" si="0"/>
        <v>15947.377500000001</v>
      </c>
      <c r="N66">
        <f t="shared" si="1"/>
        <v>28.703846779709384</v>
      </c>
    </row>
    <row r="67" spans="1:14" x14ac:dyDescent="0.15">
      <c r="A67">
        <v>66</v>
      </c>
      <c r="B67">
        <v>2</v>
      </c>
      <c r="C67" s="23">
        <f>$A67^0.5*VLOOKUP(血条计算评估!B67,D_关卡怪物类型血条判断!$A$2:$B$5,2,FALSE)*500</f>
        <v>8124.0384046359604</v>
      </c>
      <c r="D67">
        <v>3</v>
      </c>
      <c r="E67" s="23">
        <f>$A67^0.5*VLOOKUP(血条计算评估!D67,D_关卡怪物类型血条判断!$A$2:$B$5,2,FALSE)*500</f>
        <v>12186.057606953942</v>
      </c>
      <c r="F67">
        <v>4</v>
      </c>
      <c r="G67" s="23">
        <f>$A67^0.5*VLOOKUP(血条计算评估!F67,D_关卡怪物类型血条判断!$A$2:$B$5,2,FALSE)*500</f>
        <v>16248.076809271921</v>
      </c>
      <c r="H67">
        <v>5</v>
      </c>
      <c r="I67" s="23">
        <f>$A67^0.5*VLOOKUP(血条计算评估!H67,D_关卡怪物类型血条判断!$A$2:$B$5,2,FALSE)*500</f>
        <v>20310.096011589903</v>
      </c>
      <c r="J67" s="25">
        <f>[5]副本难度推算!M70</f>
        <v>487123.45916340762</v>
      </c>
      <c r="M67">
        <f t="shared" ref="M67:M81" si="2">4.0375*A67^2-18.324*A67+80</f>
        <v>16457.966</v>
      </c>
      <c r="N67">
        <f t="shared" ref="N67:N81" si="3">J67/M67</f>
        <v>29.598035332155117</v>
      </c>
    </row>
    <row r="68" spans="1:14" x14ac:dyDescent="0.15">
      <c r="A68">
        <v>67</v>
      </c>
      <c r="B68">
        <v>2</v>
      </c>
      <c r="C68" s="23">
        <f>$A68^0.5*VLOOKUP(血条计算评估!B68,D_关卡怪物类型血条判断!$A$2:$B$5,2,FALSE)*500</f>
        <v>8185.3527718724499</v>
      </c>
      <c r="D68">
        <v>3</v>
      </c>
      <c r="E68" s="23">
        <f>$A68^0.5*VLOOKUP(血条计算评估!D68,D_关卡怪物类型血条判断!$A$2:$B$5,2,FALSE)*500</f>
        <v>12278.029157808674</v>
      </c>
      <c r="F68">
        <v>4</v>
      </c>
      <c r="G68" s="23">
        <f>$A68^0.5*VLOOKUP(血条计算评估!F68,D_关卡怪物类型血条判断!$A$2:$B$5,2,FALSE)*500</f>
        <v>16370.7055437449</v>
      </c>
      <c r="H68">
        <v>5</v>
      </c>
      <c r="I68" s="23">
        <f>$A68^0.5*VLOOKUP(血条计算评估!H68,D_关卡怪物类型血条判断!$A$2:$B$5,2,FALSE)*500</f>
        <v>20463.381929681127</v>
      </c>
      <c r="J68" s="25">
        <f>[5]副本难度推算!M71</f>
        <v>517787.79575834068</v>
      </c>
      <c r="M68">
        <f t="shared" si="2"/>
        <v>16976.629499999999</v>
      </c>
      <c r="N68">
        <f t="shared" si="3"/>
        <v>30.500035107577787</v>
      </c>
    </row>
    <row r="69" spans="1:14" x14ac:dyDescent="0.15">
      <c r="A69">
        <v>68</v>
      </c>
      <c r="B69">
        <v>2</v>
      </c>
      <c r="C69" s="23">
        <f>$A69^0.5*VLOOKUP(血条计算评估!B69,D_关卡怪物类型血条判断!$A$2:$B$5,2,FALSE)*500</f>
        <v>8246.2112512353215</v>
      </c>
      <c r="D69">
        <v>3</v>
      </c>
      <c r="E69" s="23">
        <f>$A69^0.5*VLOOKUP(血条计算评估!D69,D_关卡怪物类型血条判断!$A$2:$B$5,2,FALSE)*500</f>
        <v>12369.316876852981</v>
      </c>
      <c r="F69">
        <v>4</v>
      </c>
      <c r="G69" s="23">
        <f>$A69^0.5*VLOOKUP(血条计算评估!F69,D_关卡怪物类型血条判断!$A$2:$B$5,2,FALSE)*500</f>
        <v>16492.422502470643</v>
      </c>
      <c r="H69">
        <v>5</v>
      </c>
      <c r="I69" s="23">
        <f>$A69^0.5*VLOOKUP(血条计算评估!H69,D_关卡怪物类型血条判断!$A$2:$B$5,2,FALSE)*500</f>
        <v>20615.528128088303</v>
      </c>
      <c r="J69" s="25">
        <f>[5]副本难度推算!M72</f>
        <v>549778.35593197402</v>
      </c>
      <c r="M69">
        <f t="shared" si="2"/>
        <v>17503.367999999999</v>
      </c>
      <c r="N69">
        <f t="shared" si="3"/>
        <v>31.409861001149839</v>
      </c>
    </row>
    <row r="70" spans="1:14" x14ac:dyDescent="0.15">
      <c r="A70">
        <v>69</v>
      </c>
      <c r="B70">
        <v>2</v>
      </c>
      <c r="C70" s="23">
        <f>$A70^0.5*VLOOKUP(血条计算评估!B70,D_关卡怪物类型血条判断!$A$2:$B$5,2,FALSE)*500</f>
        <v>8306.6238629180752</v>
      </c>
      <c r="D70">
        <v>3</v>
      </c>
      <c r="E70" s="23">
        <f>$A70^0.5*VLOOKUP(血条计算评估!D70,D_关卡怪物类型血条判断!$A$2:$B$5,2,FALSE)*500</f>
        <v>12459.935794377114</v>
      </c>
      <c r="F70">
        <v>4</v>
      </c>
      <c r="G70" s="23">
        <f>$A70^0.5*VLOOKUP(血条计算评估!F70,D_关卡怪物类型血条判断!$A$2:$B$5,2,FALSE)*500</f>
        <v>16613.24772583615</v>
      </c>
      <c r="H70">
        <v>5</v>
      </c>
      <c r="I70" s="23">
        <f>$A70^0.5*VLOOKUP(血条计算评估!H70,D_关卡怪物类型血条判断!$A$2:$B$5,2,FALSE)*500</f>
        <v>20766.559657295187</v>
      </c>
      <c r="J70" s="25">
        <f>[5]副本难度推算!M73</f>
        <v>583129.80920660822</v>
      </c>
      <c r="M70">
        <f t="shared" si="2"/>
        <v>18038.181499999999</v>
      </c>
      <c r="N70">
        <f t="shared" si="3"/>
        <v>32.32752753965849</v>
      </c>
    </row>
    <row r="71" spans="1:14" x14ac:dyDescent="0.15">
      <c r="A71">
        <v>70</v>
      </c>
      <c r="B71">
        <v>2</v>
      </c>
      <c r="C71" s="23">
        <f>$A71^0.5*VLOOKUP(血条计算评估!B71,D_关卡怪物类型血条判断!$A$2:$B$5,2,FALSE)*500</f>
        <v>8366.6002653407559</v>
      </c>
      <c r="D71">
        <v>3</v>
      </c>
      <c r="E71" s="23">
        <f>$A71^0.5*VLOOKUP(血条计算评估!D71,D_关卡怪物类型血条判断!$A$2:$B$5,2,FALSE)*500</f>
        <v>12549.900398011132</v>
      </c>
      <c r="F71">
        <v>4</v>
      </c>
      <c r="G71" s="23">
        <f>$A71^0.5*VLOOKUP(血条计算评估!F71,D_关卡怪物类型血条判断!$A$2:$B$5,2,FALSE)*500</f>
        <v>16733.200530681512</v>
      </c>
      <c r="H71">
        <v>5</v>
      </c>
      <c r="I71" s="23">
        <f>$A71^0.5*VLOOKUP(血条计算评估!H71,D_关卡怪物类型血条判断!$A$2:$B$5,2,FALSE)*500</f>
        <v>20916.50066335189</v>
      </c>
      <c r="J71" s="25">
        <f>[5]副本难度推算!M74</f>
        <v>620217.67267013376</v>
      </c>
      <c r="M71">
        <f t="shared" si="2"/>
        <v>18581.07</v>
      </c>
      <c r="N71">
        <f t="shared" si="3"/>
        <v>33.379007380637056</v>
      </c>
    </row>
    <row r="72" spans="1:14" x14ac:dyDescent="0.15">
      <c r="A72">
        <v>71</v>
      </c>
      <c r="B72">
        <v>2</v>
      </c>
      <c r="C72" s="23">
        <f>$A72^0.5*VLOOKUP(血条计算评估!B72,D_关卡怪物类型血条判断!$A$2:$B$5,2,FALSE)*500</f>
        <v>8426.1497731763593</v>
      </c>
      <c r="D72">
        <v>3</v>
      </c>
      <c r="E72" s="23">
        <f>$A72^0.5*VLOOKUP(血条计算评估!D72,D_关卡怪物类型血条判断!$A$2:$B$5,2,FALSE)*500</f>
        <v>12639.224659764539</v>
      </c>
      <c r="F72">
        <v>4</v>
      </c>
      <c r="G72" s="23">
        <f>$A72^0.5*VLOOKUP(血条计算评估!F72,D_关卡怪物类型血条判断!$A$2:$B$5,2,FALSE)*500</f>
        <v>16852.299546352719</v>
      </c>
      <c r="H72">
        <v>5</v>
      </c>
      <c r="I72" s="23">
        <f>$A72^0.5*VLOOKUP(血条计算评估!H72,D_关卡怪物类型血条判断!$A$2:$B$5,2,FALSE)*500</f>
        <v>21065.374432940898</v>
      </c>
      <c r="J72" s="25">
        <f>[5]副本难度推算!M75</f>
        <v>658900.95051244006</v>
      </c>
      <c r="M72">
        <f t="shared" si="2"/>
        <v>19132.033499999998</v>
      </c>
      <c r="N72">
        <f t="shared" si="3"/>
        <v>34.439671586004707</v>
      </c>
    </row>
    <row r="73" spans="1:14" x14ac:dyDescent="0.15">
      <c r="A73">
        <v>72</v>
      </c>
      <c r="B73">
        <v>2</v>
      </c>
      <c r="C73" s="23">
        <f>$A73^0.5*VLOOKUP(血条计算评估!B73,D_关卡怪物类型血条判断!$A$2:$B$5,2,FALSE)*500</f>
        <v>8485.2813742385697</v>
      </c>
      <c r="D73">
        <v>3</v>
      </c>
      <c r="E73" s="23">
        <f>$A73^0.5*VLOOKUP(血条计算评估!D73,D_关卡怪物类型血条判断!$A$2:$B$5,2,FALSE)*500</f>
        <v>12727.922061357855</v>
      </c>
      <c r="F73">
        <v>4</v>
      </c>
      <c r="G73" s="23">
        <f>$A73^0.5*VLOOKUP(血条计算评估!F73,D_关卡怪物类型血条判断!$A$2:$B$5,2,FALSE)*500</f>
        <v>16970.562748477139</v>
      </c>
      <c r="H73">
        <v>5</v>
      </c>
      <c r="I73" s="23">
        <f>$A73^0.5*VLOOKUP(血条计算评估!H73,D_关卡怪物类型血条判断!$A$2:$B$5,2,FALSE)*500</f>
        <v>21213.203435596424</v>
      </c>
      <c r="J73" s="25">
        <f>[5]副本难度推算!M76</f>
        <v>699220.77768433432</v>
      </c>
      <c r="M73">
        <f t="shared" si="2"/>
        <v>19691.071999999996</v>
      </c>
      <c r="N73">
        <f t="shared" si="3"/>
        <v>35.509533339999692</v>
      </c>
    </row>
    <row r="74" spans="1:14" x14ac:dyDescent="0.15">
      <c r="A74">
        <v>73</v>
      </c>
      <c r="B74">
        <v>2</v>
      </c>
      <c r="C74" s="23">
        <f>$A74^0.5*VLOOKUP(血条计算评估!B74,D_关卡怪物类型血条判断!$A$2:$B$5,2,FALSE)*500</f>
        <v>8544.00374531753</v>
      </c>
      <c r="D74">
        <v>3</v>
      </c>
      <c r="E74" s="23">
        <f>$A74^0.5*VLOOKUP(血条计算评估!D74,D_关卡怪物类型血条判断!$A$2:$B$5,2,FALSE)*500</f>
        <v>12816.005617976294</v>
      </c>
      <c r="F74">
        <v>4</v>
      </c>
      <c r="G74" s="23">
        <f>$A74^0.5*VLOOKUP(血条计算评估!F74,D_关卡怪物类型血条判断!$A$2:$B$5,2,FALSE)*500</f>
        <v>17088.00749063506</v>
      </c>
      <c r="H74">
        <v>5</v>
      </c>
      <c r="I74" s="23">
        <f>$A74^0.5*VLOOKUP(血条计算评估!H74,D_关卡怪物类型血条判断!$A$2:$B$5,2,FALSE)*500</f>
        <v>21360.009363293826</v>
      </c>
      <c r="J74" s="25">
        <f>[5]副本难度推算!M77</f>
        <v>741218.75957786536</v>
      </c>
      <c r="M74">
        <f t="shared" si="2"/>
        <v>20258.1855</v>
      </c>
      <c r="N74">
        <f t="shared" si="3"/>
        <v>36.588605607242826</v>
      </c>
    </row>
    <row r="75" spans="1:14" x14ac:dyDescent="0.15">
      <c r="A75">
        <v>74</v>
      </c>
      <c r="B75">
        <v>2</v>
      </c>
      <c r="C75" s="23">
        <f>$A75^0.5*VLOOKUP(血条计算评估!B75,D_关卡怪物类型血条判断!$A$2:$B$5,2,FALSE)*500</f>
        <v>8602.3252670426264</v>
      </c>
      <c r="D75">
        <v>3</v>
      </c>
      <c r="E75" s="23">
        <f>$A75^0.5*VLOOKUP(血条计算评估!D75,D_关卡怪物类型血条判断!$A$2:$B$5,2,FALSE)*500</f>
        <v>12903.48790056394</v>
      </c>
      <c r="F75">
        <v>4</v>
      </c>
      <c r="G75" s="23">
        <f>$A75^0.5*VLOOKUP(血条计算评估!F75,D_关卡怪物类型血条判断!$A$2:$B$5,2,FALSE)*500</f>
        <v>17204.650534085253</v>
      </c>
      <c r="H75">
        <v>5</v>
      </c>
      <c r="I75" s="23">
        <f>$A75^0.5*VLOOKUP(血条计算评估!H75,D_关卡怪物类型血条判断!$A$2:$B$5,2,FALSE)*500</f>
        <v>21505.813167606568</v>
      </c>
      <c r="J75" s="25">
        <f>[5]副本难度推算!M78</f>
        <v>784936.97185025411</v>
      </c>
      <c r="M75">
        <f t="shared" si="2"/>
        <v>20833.374</v>
      </c>
      <c r="N75">
        <f t="shared" si="3"/>
        <v>37.676901103501244</v>
      </c>
    </row>
    <row r="76" spans="1:14" x14ac:dyDescent="0.15">
      <c r="A76">
        <v>75</v>
      </c>
      <c r="B76">
        <v>2</v>
      </c>
      <c r="C76" s="23">
        <f>$A76^0.5*VLOOKUP(血条计算评估!B76,D_关卡怪物类型血条判断!$A$2:$B$5,2,FALSE)*500</f>
        <v>8660.2540378443864</v>
      </c>
      <c r="D76">
        <v>3</v>
      </c>
      <c r="E76" s="23">
        <f>$A76^0.5*VLOOKUP(血条计算评估!D76,D_关卡怪物类型血条判断!$A$2:$B$5,2,FALSE)*500</f>
        <v>12990.381056766581</v>
      </c>
      <c r="F76">
        <v>4</v>
      </c>
      <c r="G76" s="23">
        <f>$A76^0.5*VLOOKUP(血条计算评估!F76,D_关卡怪物类型血条判断!$A$2:$B$5,2,FALSE)*500</f>
        <v>17320.508075688773</v>
      </c>
      <c r="H76">
        <v>5</v>
      </c>
      <c r="I76" s="23">
        <f>$A76^0.5*VLOOKUP(血条计算评估!H76,D_关卡怪物类型血条判断!$A$2:$B$5,2,FALSE)*500</f>
        <v>21650.635094610971</v>
      </c>
      <c r="J76" s="25">
        <f>[5]副本难度推算!M79</f>
        <v>830417.96024897066</v>
      </c>
      <c r="M76">
        <f t="shared" si="2"/>
        <v>21416.637499999997</v>
      </c>
      <c r="N76">
        <f t="shared" si="3"/>
        <v>38.774432272525075</v>
      </c>
    </row>
    <row r="77" spans="1:14" x14ac:dyDescent="0.15">
      <c r="A77">
        <v>76</v>
      </c>
      <c r="B77">
        <v>2</v>
      </c>
      <c r="C77" s="23">
        <f>$A77^0.5*VLOOKUP(血条计算评估!B77,D_关卡怪物类型血条判断!$A$2:$B$5,2,FALSE)*500</f>
        <v>8717.7978870813477</v>
      </c>
      <c r="D77">
        <v>3</v>
      </c>
      <c r="E77" s="23">
        <f>$A77^0.5*VLOOKUP(血条计算评估!D77,D_关卡怪物类型血条判断!$A$2:$B$5,2,FALSE)*500</f>
        <v>13076.696830622022</v>
      </c>
      <c r="F77">
        <v>4</v>
      </c>
      <c r="G77" s="23">
        <f>$A77^0.5*VLOOKUP(血条计算评估!F77,D_关卡怪物类型血条判断!$A$2:$B$5,2,FALSE)*500</f>
        <v>17435.595774162695</v>
      </c>
      <c r="H77">
        <v>5</v>
      </c>
      <c r="I77" s="23">
        <f>$A77^0.5*VLOOKUP(血条计算评估!H77,D_关卡怪物类型血条判断!$A$2:$B$5,2,FALSE)*500</f>
        <v>21794.494717703368</v>
      </c>
      <c r="J77" s="25">
        <f>[5]副本难度推算!M80</f>
        <v>877704.74043809366</v>
      </c>
      <c r="M77">
        <f t="shared" si="2"/>
        <v>22007.975999999999</v>
      </c>
      <c r="N77">
        <f t="shared" si="3"/>
        <v>39.88121126804635</v>
      </c>
    </row>
    <row r="78" spans="1:14" x14ac:dyDescent="0.15">
      <c r="A78">
        <v>77</v>
      </c>
      <c r="B78">
        <v>2</v>
      </c>
      <c r="C78" s="23">
        <f>$A78^0.5*VLOOKUP(血条计算评估!B78,D_关卡怪物类型血条判断!$A$2:$B$5,2,FALSE)*500</f>
        <v>8774.9643873921232</v>
      </c>
      <c r="D78">
        <v>3</v>
      </c>
      <c r="E78" s="23">
        <f>$A78^0.5*VLOOKUP(血条计算评估!D78,D_关卡怪物类型血条判断!$A$2:$B$5,2,FALSE)*500</f>
        <v>13162.446581088183</v>
      </c>
      <c r="F78">
        <v>4</v>
      </c>
      <c r="G78" s="23">
        <f>$A78^0.5*VLOOKUP(血条计算评估!F78,D_关卡怪物类型血条判断!$A$2:$B$5,2,FALSE)*500</f>
        <v>17549.928774784246</v>
      </c>
      <c r="H78">
        <v>5</v>
      </c>
      <c r="I78" s="23">
        <f>$A78^0.5*VLOOKUP(血条计算评估!H78,D_关卡怪物类型血条判断!$A$2:$B$5,2,FALSE)*500</f>
        <v>21937.410968480308</v>
      </c>
      <c r="J78" s="25">
        <f>[5]副本难度推算!M81</f>
        <v>926840.79782604403</v>
      </c>
      <c r="M78">
        <f t="shared" si="2"/>
        <v>22607.389499999997</v>
      </c>
      <c r="N78">
        <f t="shared" si="3"/>
        <v>40.99724994015979</v>
      </c>
    </row>
    <row r="79" spans="1:14" x14ac:dyDescent="0.15">
      <c r="A79">
        <v>78</v>
      </c>
      <c r="B79">
        <v>2</v>
      </c>
      <c r="C79" s="23">
        <f>$A79^0.5*VLOOKUP(血条计算评估!B79,D_关卡怪物类型血条判断!$A$2:$B$5,2,FALSE)*500</f>
        <v>8831.7608663278479</v>
      </c>
      <c r="D79">
        <v>3</v>
      </c>
      <c r="E79" s="23">
        <f>$A79^0.5*VLOOKUP(血条计算评估!D79,D_关卡怪物类型血条判断!$A$2:$B$5,2,FALSE)*500</f>
        <v>13247.641299491772</v>
      </c>
      <c r="F79">
        <v>4</v>
      </c>
      <c r="G79" s="23">
        <f>$A79^0.5*VLOOKUP(血条计算评估!F79,D_关卡怪物类型血条判断!$A$2:$B$5,2,FALSE)*500</f>
        <v>17663.521732655696</v>
      </c>
      <c r="H79">
        <v>5</v>
      </c>
      <c r="I79" s="23">
        <f>$A79^0.5*VLOOKUP(血条计算评估!H79,D_关卡怪物类型血条判断!$A$2:$B$5,2,FALSE)*500</f>
        <v>22079.402165819618</v>
      </c>
      <c r="J79" s="25">
        <f>[5]副本难度推算!M82</f>
        <v>977870.08739479212</v>
      </c>
      <c r="M79">
        <f t="shared" si="2"/>
        <v>23214.877999999997</v>
      </c>
      <c r="N79">
        <f t="shared" si="3"/>
        <v>42.12255982541852</v>
      </c>
    </row>
    <row r="80" spans="1:14" x14ac:dyDescent="0.15">
      <c r="A80">
        <v>79</v>
      </c>
      <c r="B80">
        <v>2</v>
      </c>
      <c r="C80" s="23">
        <f>$A80^0.5*VLOOKUP(血条计算评估!B80,D_关卡怪物类型血条判断!$A$2:$B$5,2,FALSE)*500</f>
        <v>8888.194417315588</v>
      </c>
      <c r="D80">
        <v>3</v>
      </c>
      <c r="E80" s="23">
        <f>$A80^0.5*VLOOKUP(血条计算评估!D80,D_关卡怪物类型血条判断!$A$2:$B$5,2,FALSE)*500</f>
        <v>13332.291625973383</v>
      </c>
      <c r="F80">
        <v>4</v>
      </c>
      <c r="G80" s="23">
        <f>$A80^0.5*VLOOKUP(血条计算评估!F80,D_关卡怪物类型血条判断!$A$2:$B$5,2,FALSE)*500</f>
        <v>17776.388834631176</v>
      </c>
      <c r="H80">
        <v>5</v>
      </c>
      <c r="I80" s="23">
        <f>$A80^0.5*VLOOKUP(血条计算评估!H80,D_关卡怪物类型血条判断!$A$2:$B$5,2,FALSE)*500</f>
        <v>22220.486043288973</v>
      </c>
      <c r="J80" s="25">
        <f>[5]副本难度推算!M83</f>
        <v>1030837.0335306139</v>
      </c>
      <c r="M80">
        <f t="shared" si="2"/>
        <v>23830.441499999997</v>
      </c>
      <c r="N80">
        <f t="shared" si="3"/>
        <v>43.257152140073188</v>
      </c>
    </row>
    <row r="81" spans="1:14" x14ac:dyDescent="0.15">
      <c r="A81">
        <v>80</v>
      </c>
      <c r="B81">
        <v>2</v>
      </c>
      <c r="C81" s="23">
        <f>$A81^0.5*VLOOKUP(血条计算评估!B81,D_关卡怪物类型血条判断!$A$2:$B$5,2,FALSE)*500</f>
        <v>8944.2719099991591</v>
      </c>
      <c r="D81">
        <v>3</v>
      </c>
      <c r="E81" s="23">
        <f>$A81^0.5*VLOOKUP(血条计算评估!D81,D_关卡怪物类型血条判断!$A$2:$B$5,2,FALSE)*500</f>
        <v>13416.407864998739</v>
      </c>
      <c r="F81">
        <v>4</v>
      </c>
      <c r="G81" s="23">
        <f>$A81^0.5*VLOOKUP(血条计算评估!F81,D_关卡怪物类型血条判断!$A$2:$B$5,2,FALSE)*500</f>
        <v>17888.543819998318</v>
      </c>
      <c r="H81">
        <v>5</v>
      </c>
      <c r="I81" s="23">
        <f>$A81^0.5*VLOOKUP(血条计算评估!H81,D_关卡怪物类型血条判断!$A$2:$B$5,2,FALSE)*500</f>
        <v>22360.679774997898</v>
      </c>
      <c r="J81" s="25">
        <f>[5]副本难度推算!M84</f>
        <v>1089027.6836769141</v>
      </c>
      <c r="K81">
        <v>20</v>
      </c>
      <c r="L81">
        <f>J81/K81</f>
        <v>54451.384183845701</v>
      </c>
      <c r="M81">
        <f t="shared" si="2"/>
        <v>24454.079999999994</v>
      </c>
      <c r="N81">
        <f t="shared" si="3"/>
        <v>44.533578187235598</v>
      </c>
    </row>
  </sheetData>
  <phoneticPr fontId="1" type="noConversion"/>
  <pageMargins left="0.7" right="0.7" top="0.75" bottom="0.75" header="0.3" footer="0.3"/>
  <pageSetup paperSize="9"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D_地图数据</vt:lpstr>
      <vt:lpstr>D_关卡BOSS血条判断</vt:lpstr>
      <vt:lpstr>D_关卡怪物类型血条判断</vt:lpstr>
      <vt:lpstr>D_关卡评星奖励</vt:lpstr>
      <vt:lpstr>D_关卡占领奖励</vt:lpstr>
      <vt:lpstr>地图配置说明</vt:lpstr>
      <vt:lpstr>地图配置辅助表</vt:lpstr>
      <vt:lpstr>血条计算评估</vt:lpstr>
      <vt:lpstr>地图章节数据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Javy</cp:lastModifiedBy>
  <dcterms:created xsi:type="dcterms:W3CDTF">2006-09-16T00:00:00Z</dcterms:created>
  <dcterms:modified xsi:type="dcterms:W3CDTF">2015-08-17T10:10:13Z</dcterms:modified>
</cp:coreProperties>
</file>